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DA TECHNOLOGYS\TASK 4\"/>
    </mc:Choice>
  </mc:AlternateContent>
  <xr:revisionPtr revIDLastSave="0" documentId="13_ncr:1_{83BF3E5C-4F0A-4077-98A1-D0E860A95743}" xr6:coauthVersionLast="47" xr6:coauthVersionMax="47" xr10:uidLastSave="{00000000-0000-0000-0000-000000000000}"/>
  <bookViews>
    <workbookView xWindow="-110" yWindow="-110" windowWidth="19420" windowHeight="11500" firstSheet="3" activeTab="5" xr2:uid="{1EAFCA48-70E0-42EE-A390-6D499CB180CF}"/>
  </bookViews>
  <sheets>
    <sheet name="Sales by Category" sheetId="4" r:id="rId1"/>
    <sheet name="Sales &amp; Profit by Region" sheetId="5" r:id="rId2"/>
    <sheet name="Monthly Sales Trend" sheetId="6" r:id="rId3"/>
    <sheet name="Profit by Sub-Category," sheetId="7" r:id="rId4"/>
    <sheet name="Segment Performance" sheetId="8" r:id="rId5"/>
    <sheet name="data" sheetId="1" r:id="rId6"/>
  </sheet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</calcChain>
</file>

<file path=xl/sharedStrings.xml><?xml version="1.0" encoding="utf-8"?>
<sst xmlns="http://schemas.openxmlformats.org/spreadsheetml/2006/main" count="26134" uniqueCount="5004">
  <si>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</si>
  <si>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</si>
  <si>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</si>
  <si>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</si>
  <si>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</si>
  <si>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</si>
  <si>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</si>
  <si>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</si>
  <si>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</si>
  <si>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</si>
  <si>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</si>
  <si>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</si>
  <si>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</si>
  <si>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</si>
  <si>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</si>
  <si>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</si>
  <si>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</si>
  <si>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</si>
  <si>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</si>
  <si>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</si>
  <si>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</si>
  <si>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</si>
  <si>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</si>
  <si>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</si>
  <si>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</si>
  <si>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</si>
  <si>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</si>
  <si>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</si>
  <si>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</si>
  <si>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</si>
  <si>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</si>
  <si>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</si>
  <si>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</si>
  <si>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</si>
  <si>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</si>
  <si>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</si>
  <si>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</si>
  <si>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</si>
  <si>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</si>
  <si>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</si>
  <si>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</si>
  <si>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</si>
  <si>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</si>
  <si>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</si>
  <si>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</si>
  <si>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</si>
  <si>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</si>
  <si>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</si>
  <si>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</si>
  <si>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</si>
  <si>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</si>
  <si>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</si>
  <si>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</si>
  <si>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</si>
  <si>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</si>
  <si>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</si>
  <si>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</si>
  <si>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</si>
  <si>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</si>
  <si>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</si>
  <si>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</si>
  <si>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</si>
  <si>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</si>
  <si>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</si>
  <si>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</si>
  <si>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</si>
  <si>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</si>
  <si>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</si>
  <si>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</si>
  <si>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</si>
  <si>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</si>
  <si>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</si>
  <si>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</si>
  <si>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</si>
  <si>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</si>
  <si>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</si>
  <si>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</si>
  <si>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</si>
  <si>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</si>
  <si>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</si>
  <si>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</si>
  <si>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</si>
  <si>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</si>
  <si>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</si>
  <si>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</si>
  <si>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</si>
  <si>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</si>
  <si>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</si>
  <si>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</si>
  <si>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</si>
  <si>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</si>
  <si>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</si>
  <si>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</si>
  <si>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</si>
  <si>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</si>
  <si>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</si>
  <si>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</si>
  <si>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</si>
  <si>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</si>
  <si>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</si>
  <si>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</si>
  <si>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</si>
  <si>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</si>
  <si>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</si>
  <si>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</si>
  <si>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</si>
  <si>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</si>
  <si>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</si>
  <si>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</si>
  <si>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</si>
  <si>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</si>
  <si>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</si>
  <si>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</si>
  <si>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</si>
  <si>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</si>
  <si>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</si>
  <si>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</si>
  <si>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</si>
  <si>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</si>
  <si>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</si>
  <si>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</si>
  <si>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</si>
  <si>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</si>
  <si>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</si>
  <si>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</si>
  <si>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</si>
  <si>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</si>
  <si>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</si>
  <si>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</si>
  <si>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</si>
  <si>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</si>
  <si>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</si>
  <si>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</si>
  <si>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</si>
  <si>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</si>
  <si>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</si>
  <si>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</si>
  <si>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</si>
  <si>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</si>
  <si>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</si>
  <si>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</si>
  <si>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</si>
  <si>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</si>
  <si>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</si>
  <si>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</si>
  <si>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</si>
  <si>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</si>
  <si>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</si>
  <si>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</si>
  <si>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</si>
  <si>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</si>
  <si>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</si>
  <si>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</si>
  <si>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</si>
  <si>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</si>
  <si>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</si>
  <si>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</si>
  <si>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</si>
  <si>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</si>
  <si>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</si>
  <si>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</si>
  <si>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</si>
  <si>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</si>
  <si>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</si>
  <si>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</si>
  <si>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</si>
  <si>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</si>
  <si>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</si>
  <si>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</si>
  <si>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</si>
  <si>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</si>
  <si>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</si>
  <si>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</si>
  <si>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</si>
  <si>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</si>
  <si>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</si>
  <si>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</si>
  <si>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</si>
  <si>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</si>
  <si>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</si>
  <si>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</si>
  <si>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</si>
  <si>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</si>
  <si>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</si>
  <si>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</si>
  <si>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</si>
  <si>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</si>
  <si>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</si>
  <si>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</si>
  <si>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</si>
  <si>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</si>
  <si>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</si>
  <si>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</si>
  <si>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</si>
  <si>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</si>
  <si>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</si>
  <si>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</si>
  <si>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</si>
  <si>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</si>
  <si>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</si>
  <si>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</si>
  <si>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</si>
  <si>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</si>
  <si>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</si>
  <si>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</si>
  <si>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</si>
  <si>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</si>
  <si>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</si>
  <si>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</si>
  <si>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</si>
  <si>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</si>
  <si>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</si>
  <si>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</si>
  <si>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</si>
  <si>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</si>
  <si>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</si>
  <si>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</si>
  <si>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</si>
  <si>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</si>
  <si>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</si>
  <si>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</si>
  <si>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</si>
  <si>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</si>
  <si>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</si>
  <si>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</si>
  <si>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</si>
  <si>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</si>
  <si>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</si>
  <si>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</si>
  <si>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</si>
  <si>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</si>
  <si>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</si>
  <si>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</si>
  <si>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</si>
  <si>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</si>
  <si>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</si>
  <si>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</si>
  <si>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</si>
  <si>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</si>
  <si>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</si>
  <si>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</si>
  <si>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</si>
  <si>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</si>
  <si>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</si>
  <si>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</si>
  <si>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</si>
  <si>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</si>
  <si>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</si>
  <si>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</si>
  <si>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</si>
  <si>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</si>
  <si>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</si>
  <si>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</si>
  <si>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</si>
  <si>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</si>
  <si>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</si>
  <si>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</si>
  <si>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</si>
  <si>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</si>
  <si>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</si>
  <si>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</si>
  <si>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</si>
  <si>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</si>
  <si>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</si>
  <si>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</si>
  <si>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</si>
  <si>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</si>
  <si>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</si>
  <si>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</si>
  <si>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</si>
  <si>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</si>
  <si>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</si>
  <si>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</si>
  <si>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</si>
  <si>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</si>
  <si>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</si>
  <si>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</si>
  <si>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</si>
  <si>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</si>
  <si>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</si>
  <si>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</si>
  <si>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</si>
  <si>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</si>
  <si>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</si>
  <si>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</si>
  <si>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</si>
  <si>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</si>
  <si>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</si>
  <si>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</si>
  <si>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</si>
  <si>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</si>
  <si>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</si>
  <si>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</si>
  <si>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</si>
  <si>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</si>
  <si>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</si>
  <si>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</si>
  <si>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</si>
  <si>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</si>
  <si>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</si>
  <si>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</si>
  <si>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</si>
  <si>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</si>
  <si>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</si>
  <si>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</si>
  <si>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</si>
  <si>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</si>
  <si>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</si>
  <si>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</si>
  <si>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</si>
  <si>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</si>
  <si>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</si>
  <si>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</si>
  <si>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</si>
  <si>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</si>
  <si>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</si>
  <si>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</si>
  <si>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</si>
  <si>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</si>
  <si>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</si>
  <si>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</si>
  <si>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</si>
  <si>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</si>
  <si>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</si>
  <si>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</si>
  <si>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</si>
  <si>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</si>
  <si>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</si>
  <si>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</si>
  <si>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</si>
  <si>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</si>
  <si>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</si>
  <si>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</si>
  <si>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</si>
  <si>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</si>
  <si>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</si>
  <si>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</si>
  <si>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</si>
  <si>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</si>
  <si>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</si>
  <si>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</si>
  <si>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</si>
  <si>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</si>
  <si>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</si>
  <si>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</si>
  <si>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</si>
  <si>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</si>
  <si>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</si>
  <si>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</si>
  <si>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</si>
  <si>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</si>
  <si>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</si>
  <si>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</si>
  <si>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</si>
  <si>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</si>
  <si>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</si>
  <si>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</si>
  <si>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</si>
  <si>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</si>
  <si>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</si>
  <si>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</si>
  <si>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</si>
  <si>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</si>
  <si>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</si>
  <si>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</si>
  <si>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</si>
  <si>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</si>
  <si>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</si>
  <si>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</si>
  <si>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</si>
  <si>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</si>
  <si>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</si>
  <si>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</si>
  <si>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</si>
  <si>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</si>
  <si>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</si>
  <si>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</si>
  <si>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</si>
  <si>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</si>
  <si>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</si>
  <si>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</si>
  <si>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</si>
  <si>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</si>
  <si>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</si>
  <si>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</si>
  <si>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</si>
  <si>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</si>
  <si>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</si>
  <si>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</si>
  <si>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</si>
  <si>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</si>
  <si>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</si>
  <si>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</si>
  <si>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</si>
  <si>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</si>
  <si>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</si>
  <si>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</si>
  <si>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</si>
  <si>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</si>
  <si>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</si>
  <si>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</si>
  <si>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</si>
  <si>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</si>
  <si>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</si>
  <si>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</si>
  <si>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</si>
  <si>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</si>
  <si>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</si>
  <si>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</si>
  <si>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</si>
  <si>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</si>
  <si>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</si>
  <si>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</si>
  <si>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</si>
  <si>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</si>
  <si>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</si>
  <si>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</si>
  <si>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</si>
  <si>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</si>
  <si>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</si>
  <si>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</si>
  <si>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</si>
  <si>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</si>
  <si>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</si>
  <si>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</si>
  <si>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</si>
  <si>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</si>
  <si>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</si>
  <si>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</si>
  <si>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</si>
  <si>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</si>
  <si>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</si>
  <si>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</si>
  <si>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</si>
  <si>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</si>
  <si>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</si>
  <si>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</si>
  <si>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</si>
  <si>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</si>
  <si>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</si>
  <si>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</si>
  <si>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</si>
  <si>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</si>
  <si>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</si>
  <si>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</si>
  <si>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</si>
  <si>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</si>
  <si>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</si>
  <si>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</si>
  <si>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</si>
  <si>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</si>
  <si>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</si>
  <si>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</si>
  <si>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</si>
  <si>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</si>
  <si>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</si>
  <si>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</si>
  <si>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</si>
  <si>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</si>
  <si>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</si>
  <si>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</si>
  <si>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</si>
  <si>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</si>
  <si>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</si>
  <si>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</si>
  <si>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</si>
  <si>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</si>
  <si>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</si>
  <si>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</si>
  <si>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</si>
  <si>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</si>
  <si>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</si>
  <si>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</si>
  <si>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</si>
  <si>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</si>
  <si>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</si>
  <si>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</si>
  <si>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</si>
  <si>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</si>
  <si>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</si>
  <si>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</si>
  <si>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</si>
  <si>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</si>
  <si>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</si>
  <si>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</si>
  <si>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</si>
  <si>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</si>
  <si>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</si>
  <si>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</si>
  <si>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</si>
  <si>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</si>
  <si>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</si>
  <si>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</si>
  <si>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</si>
  <si>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</si>
  <si>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</si>
  <si>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</si>
  <si>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</si>
  <si>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</si>
  <si>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</si>
  <si>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</si>
  <si>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</si>
  <si>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</si>
  <si>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</si>
  <si>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</si>
  <si>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</si>
  <si>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</si>
  <si>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</si>
  <si>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</si>
  <si>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</si>
  <si>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</si>
  <si>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</si>
  <si>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</si>
  <si>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</si>
  <si>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</si>
  <si>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</si>
  <si>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</si>
  <si>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</si>
  <si>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</si>
  <si>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</si>
  <si>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</si>
  <si>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</si>
  <si>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</si>
  <si>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</si>
  <si>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</si>
  <si>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</si>
  <si>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</si>
  <si>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</si>
  <si>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</si>
  <si>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</si>
  <si>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</si>
  <si>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</si>
  <si>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</si>
  <si>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</si>
  <si>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</si>
  <si>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</si>
  <si>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</si>
  <si>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</si>
  <si>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</si>
  <si>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</si>
  <si>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</si>
  <si>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</si>
  <si>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</si>
  <si>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</si>
  <si>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</si>
  <si>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</si>
  <si>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</si>
  <si>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</si>
  <si>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</si>
  <si>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</si>
  <si>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</si>
  <si>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</si>
  <si>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</si>
  <si>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</si>
  <si>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</si>
  <si>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</si>
  <si>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</si>
  <si>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</si>
  <si>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</si>
  <si>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</si>
  <si>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</si>
  <si>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</si>
  <si>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</si>
  <si>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</si>
  <si>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</si>
  <si>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</si>
  <si>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</si>
  <si>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</si>
  <si>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</si>
  <si>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</si>
  <si>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</si>
  <si>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</si>
  <si>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</si>
  <si>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</si>
  <si>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</si>
  <si>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</si>
  <si>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</si>
  <si>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</si>
  <si>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</si>
  <si>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</si>
  <si>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</si>
  <si>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</si>
  <si>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</si>
  <si>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</si>
  <si>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</si>
  <si>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</si>
  <si>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</si>
  <si>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</si>
  <si>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</si>
  <si>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</si>
  <si>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</si>
  <si>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</si>
  <si>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</si>
  <si>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</si>
  <si>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</si>
  <si>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</si>
  <si>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</si>
  <si>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</si>
  <si>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</si>
  <si>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</si>
  <si>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</si>
  <si>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</si>
  <si>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</si>
  <si>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</si>
  <si>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</si>
  <si>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</si>
  <si>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</si>
  <si>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</si>
  <si>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</si>
  <si>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</si>
  <si>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</si>
  <si>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</si>
  <si>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</si>
  <si>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</si>
  <si>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</si>
  <si>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</si>
  <si>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</si>
  <si>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</si>
  <si>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</si>
  <si>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</si>
  <si>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</si>
  <si>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</si>
  <si>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</si>
  <si>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</si>
  <si>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</si>
  <si>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</si>
  <si>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</si>
  <si>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</si>
  <si>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</si>
  <si>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</si>
  <si>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</si>
  <si>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</si>
  <si>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</si>
  <si>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</si>
  <si>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</si>
  <si>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</si>
  <si>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</si>
  <si>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</si>
  <si>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</si>
  <si>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</si>
  <si>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</si>
  <si>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</si>
  <si>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</si>
  <si>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</si>
  <si>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</si>
  <si>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</si>
  <si>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</si>
  <si>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</si>
  <si>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</si>
  <si>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</si>
  <si>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</si>
  <si>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</si>
  <si>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</si>
  <si>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</si>
  <si>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</si>
  <si>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</si>
  <si>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</si>
  <si>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</si>
  <si>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</si>
  <si>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</si>
  <si>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</si>
  <si>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</si>
  <si>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</si>
  <si>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</si>
  <si>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</si>
  <si>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</si>
  <si>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</si>
  <si>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</si>
  <si>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</si>
  <si>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</si>
  <si>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</si>
  <si>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</si>
  <si>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</si>
  <si>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</si>
  <si>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</si>
  <si>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</si>
  <si>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</si>
  <si>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</si>
  <si>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</si>
  <si>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</si>
  <si>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</si>
  <si>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</si>
  <si>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</si>
  <si>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</si>
  <si>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</si>
  <si>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</si>
  <si>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</si>
  <si>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</si>
  <si>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</si>
  <si>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</si>
  <si>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</si>
  <si>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</si>
  <si>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</si>
  <si>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</si>
  <si>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</si>
  <si>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</si>
  <si>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</si>
  <si>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</si>
  <si>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</si>
  <si>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</si>
  <si>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</si>
  <si>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</si>
  <si>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</si>
  <si>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</si>
  <si>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</si>
  <si>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</si>
  <si>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</si>
  <si>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</si>
  <si>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</si>
  <si>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</si>
  <si>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</si>
  <si>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</si>
  <si>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</si>
  <si>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</si>
  <si>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</si>
  <si>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</si>
  <si>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</si>
  <si>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</si>
  <si>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</si>
  <si>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</si>
  <si>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</si>
  <si>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</si>
  <si>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</si>
  <si>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</si>
  <si>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</si>
  <si>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</si>
  <si>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</si>
  <si>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</si>
  <si>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</si>
  <si>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</si>
  <si>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</si>
  <si>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</si>
  <si>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</si>
  <si>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</si>
  <si>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</si>
  <si>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</si>
  <si>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</si>
  <si>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</si>
  <si>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</si>
  <si>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</si>
  <si>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</si>
  <si>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</si>
  <si>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</si>
  <si>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</si>
  <si>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</si>
  <si>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</si>
  <si>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</si>
  <si>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</si>
  <si>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</si>
  <si>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</si>
  <si>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</si>
  <si>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</si>
  <si>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</si>
  <si>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</si>
  <si>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</si>
  <si>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</si>
  <si>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</si>
  <si>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</si>
  <si>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</si>
  <si>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</si>
  <si>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</si>
  <si>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</si>
  <si>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</si>
  <si>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</si>
  <si>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</si>
  <si>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</si>
  <si>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</si>
  <si>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</si>
  <si>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</si>
  <si>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</si>
  <si>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</si>
  <si>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</si>
  <si>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</si>
  <si>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</si>
  <si>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</si>
  <si>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</si>
  <si>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</si>
  <si>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</si>
  <si>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</si>
  <si>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</si>
  <si>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</si>
  <si>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</si>
  <si>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</si>
  <si>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</si>
  <si>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</si>
  <si>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</si>
  <si>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</si>
  <si>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</si>
  <si>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</si>
  <si>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</si>
  <si>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</si>
  <si>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</si>
  <si>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</si>
  <si>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</si>
  <si>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</si>
  <si>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</si>
  <si>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</si>
  <si>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</si>
  <si>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</si>
  <si>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</si>
  <si>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</si>
  <si>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</si>
  <si>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</si>
  <si>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</si>
  <si>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</si>
  <si>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</si>
  <si>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</si>
  <si>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</si>
  <si>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</si>
  <si>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</si>
  <si>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</si>
  <si>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</si>
  <si>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</si>
  <si>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</si>
  <si>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</si>
  <si>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</si>
  <si>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</si>
  <si>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</si>
  <si>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</si>
  <si>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</si>
  <si>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</si>
  <si>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</si>
  <si>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</si>
  <si>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</si>
  <si>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</si>
  <si>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</si>
  <si>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</si>
  <si>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</si>
  <si>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</si>
  <si>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</si>
  <si>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</si>
  <si>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</si>
  <si>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</si>
  <si>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</si>
  <si>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</si>
  <si>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</si>
  <si>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</si>
  <si>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</si>
  <si>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</si>
  <si>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</si>
  <si>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</si>
  <si>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</si>
  <si>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</si>
  <si>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</si>
  <si>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</si>
  <si>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</si>
  <si>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</si>
  <si>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</si>
  <si>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</si>
  <si>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</si>
  <si>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</si>
  <si>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</si>
  <si>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</si>
  <si>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</si>
  <si>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</si>
  <si>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</si>
  <si>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</si>
  <si>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</si>
  <si>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</si>
  <si>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</si>
  <si>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</si>
  <si>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</si>
  <si>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</si>
  <si>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</si>
  <si>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</si>
  <si>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</si>
  <si>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</si>
  <si>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</si>
  <si>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</si>
  <si>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</si>
  <si>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</si>
  <si>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</si>
  <si>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</si>
  <si>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</si>
  <si>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</si>
  <si>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</si>
  <si>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</si>
  <si>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</si>
  <si>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</si>
  <si>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</si>
  <si>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</si>
  <si>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</si>
  <si>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</si>
  <si>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</si>
  <si>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</si>
  <si>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</si>
  <si>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</si>
  <si>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</si>
  <si>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</si>
  <si>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</si>
  <si>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</si>
  <si>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</si>
  <si>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</si>
  <si>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</si>
  <si>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</si>
  <si>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</si>
  <si>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</si>
  <si>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</si>
  <si>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</si>
  <si>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</si>
  <si>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</si>
  <si>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</si>
  <si>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</si>
  <si>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</si>
  <si>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</si>
  <si>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</si>
  <si>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</si>
  <si>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</si>
  <si>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</si>
  <si>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</si>
  <si>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</si>
  <si>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</si>
  <si>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</si>
  <si>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</si>
  <si>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</si>
  <si>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</si>
  <si>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</si>
  <si>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</si>
  <si>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</si>
  <si>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</si>
  <si>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</si>
  <si>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</si>
  <si>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</si>
  <si>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</si>
  <si>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</si>
  <si>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</si>
  <si>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</si>
  <si>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</si>
  <si>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</si>
  <si>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</si>
  <si>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</si>
  <si>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</si>
  <si>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</si>
  <si>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</si>
  <si>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</si>
  <si>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</si>
  <si>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</si>
  <si>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</si>
  <si>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</si>
  <si>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</si>
  <si>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</si>
  <si>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</si>
  <si>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</si>
  <si>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</si>
  <si>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</si>
  <si>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</si>
  <si>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</si>
  <si>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</si>
  <si>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</si>
  <si>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</si>
  <si>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</si>
  <si>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</si>
  <si>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</si>
  <si>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</si>
  <si>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</si>
  <si>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</si>
  <si>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</si>
  <si>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</si>
  <si>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</si>
  <si>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</si>
  <si>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</si>
  <si>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</si>
  <si>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</si>
  <si>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</si>
  <si>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</si>
  <si>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</si>
  <si>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</si>
  <si>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</si>
  <si>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</si>
  <si>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</si>
  <si>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</si>
  <si>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</si>
  <si>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</si>
  <si>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</si>
  <si>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</si>
  <si>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</si>
  <si>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</si>
  <si>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</si>
  <si>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</si>
  <si>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</si>
  <si>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</si>
  <si>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</si>
  <si>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</si>
  <si>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</si>
  <si>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</si>
  <si>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</si>
  <si>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</si>
  <si>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</si>
  <si>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</si>
  <si>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</si>
  <si>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</si>
  <si>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</si>
  <si>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</si>
  <si>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</si>
  <si>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</si>
  <si>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</si>
  <si>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</si>
  <si>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</si>
  <si>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</si>
  <si>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</si>
  <si>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</si>
  <si>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</si>
  <si>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</si>
  <si>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</si>
  <si>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</si>
  <si>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</si>
  <si>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</si>
  <si>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</si>
  <si>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</si>
  <si>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</si>
  <si>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</si>
  <si>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</si>
  <si>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</si>
  <si>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</si>
  <si>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</si>
  <si>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</si>
  <si>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</si>
  <si>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</si>
  <si>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</si>
  <si>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</si>
  <si>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</si>
  <si>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</si>
  <si>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</si>
  <si>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</si>
  <si>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</si>
  <si>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</si>
  <si>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</si>
  <si>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</si>
  <si>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</si>
  <si>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</si>
  <si>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</si>
  <si>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</si>
  <si>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</si>
  <si>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</si>
  <si>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</si>
  <si>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</si>
  <si>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</si>
  <si>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</si>
  <si>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</si>
  <si>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</si>
  <si>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</si>
  <si>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</si>
  <si>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</si>
  <si>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</si>
  <si>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</si>
  <si>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</si>
  <si>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</si>
  <si>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</si>
  <si>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</si>
  <si>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</si>
  <si>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</si>
  <si>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</si>
  <si>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</si>
  <si>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</si>
  <si>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</si>
  <si>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</si>
  <si>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</si>
  <si>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</si>
  <si>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</si>
  <si>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</si>
  <si>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</si>
  <si>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</si>
  <si>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</si>
  <si>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</si>
  <si>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</si>
  <si>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</si>
  <si>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</si>
  <si>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</si>
  <si>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</si>
  <si>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</si>
  <si>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</si>
  <si>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</si>
  <si>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</si>
  <si>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</si>
  <si>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</si>
  <si>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</si>
  <si>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</si>
  <si>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</si>
  <si>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</si>
  <si>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</si>
  <si>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</si>
  <si>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</si>
  <si>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</si>
  <si>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</si>
  <si>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</si>
  <si>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</si>
  <si>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</si>
  <si>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</si>
  <si>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</si>
  <si>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</si>
  <si>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</si>
  <si>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</si>
  <si>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</si>
  <si>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</si>
  <si>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</si>
  <si>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</si>
  <si>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</si>
  <si>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</si>
  <si>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</si>
  <si>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</si>
  <si>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</si>
  <si>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</si>
  <si>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</si>
  <si>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</si>
  <si>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</si>
  <si>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</si>
  <si>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</si>
  <si>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</si>
  <si>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</si>
  <si>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</si>
  <si>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</si>
  <si>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</si>
  <si>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</si>
  <si>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</si>
  <si>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</si>
  <si>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</si>
  <si>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</si>
  <si>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</si>
  <si>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</si>
  <si>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</si>
  <si>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</si>
  <si>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</si>
  <si>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</si>
  <si>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</si>
  <si>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</si>
  <si>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</si>
  <si>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</si>
  <si>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</si>
  <si>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</si>
  <si>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</si>
  <si>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</si>
  <si>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</si>
  <si>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</si>
  <si>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</si>
  <si>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</si>
  <si>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</si>
  <si>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</si>
  <si>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</si>
  <si>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</si>
  <si>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</si>
  <si>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</si>
  <si>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</si>
  <si>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</si>
  <si>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</si>
  <si>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</si>
  <si>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</si>
  <si>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</si>
  <si>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</si>
  <si>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</si>
  <si>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</si>
  <si>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</si>
  <si>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</si>
  <si>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</si>
  <si>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</si>
  <si>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</si>
  <si>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</si>
  <si>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</si>
  <si>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</si>
  <si>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</si>
  <si>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</si>
  <si>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</si>
  <si>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</si>
  <si>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</si>
  <si>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</si>
  <si>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</si>
  <si>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</si>
  <si>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</si>
  <si>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</si>
  <si>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</si>
  <si>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</si>
  <si>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</si>
  <si>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</si>
  <si>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</si>
  <si>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</si>
  <si>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</si>
  <si>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</si>
  <si>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</si>
  <si>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</si>
  <si>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</si>
  <si>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</si>
  <si>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</si>
  <si>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</si>
  <si>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</si>
  <si>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</si>
  <si>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</si>
  <si>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</si>
  <si>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</si>
  <si>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</si>
  <si>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</si>
  <si>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</si>
  <si>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</si>
  <si>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</si>
  <si>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</si>
  <si>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</si>
  <si>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</si>
  <si>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</si>
  <si>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</si>
  <si>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</si>
  <si>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</si>
  <si>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</si>
  <si>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</si>
  <si>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</si>
  <si>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</si>
  <si>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</si>
  <si>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</si>
  <si>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</si>
  <si>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</si>
  <si>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</si>
  <si>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</si>
  <si>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</si>
  <si>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</si>
  <si>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</si>
  <si>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</si>
  <si>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</si>
  <si>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</si>
  <si>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</si>
  <si>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</si>
  <si>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</si>
  <si>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</si>
  <si>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</si>
  <si>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</si>
  <si>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</si>
  <si>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</si>
  <si>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</si>
  <si>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</si>
  <si>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</si>
  <si>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</si>
  <si>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</si>
  <si>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</si>
  <si>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</si>
  <si>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</si>
  <si>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</si>
  <si>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</si>
  <si>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</si>
  <si>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</si>
  <si>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</si>
  <si>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</si>
  <si>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</si>
  <si>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</si>
  <si>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</si>
  <si>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</si>
  <si>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</si>
  <si>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</si>
  <si>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</si>
  <si>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</si>
  <si>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</si>
  <si>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</si>
  <si>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</si>
  <si>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</si>
  <si>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</si>
  <si>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</si>
  <si>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</si>
  <si>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</si>
  <si>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</si>
  <si>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</si>
  <si>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</si>
  <si>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</si>
  <si>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</si>
  <si>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</si>
  <si>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</si>
  <si>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</si>
  <si>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</si>
  <si>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</si>
  <si>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</si>
  <si>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</si>
  <si>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</si>
  <si>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</si>
  <si>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</si>
  <si>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</si>
  <si>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</si>
  <si>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</si>
  <si>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</si>
  <si>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</si>
  <si>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</si>
  <si>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</si>
  <si>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</si>
  <si>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</si>
  <si>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</si>
  <si>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</si>
  <si>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</si>
  <si>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</si>
  <si>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</si>
  <si>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</si>
  <si>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</si>
  <si>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</si>
  <si>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</si>
  <si>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</si>
  <si>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</si>
  <si>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</si>
  <si>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</si>
  <si>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</si>
  <si>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</si>
  <si>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</si>
  <si>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</si>
  <si>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</si>
  <si>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</si>
  <si>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</si>
  <si>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</si>
  <si>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</si>
  <si>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</si>
  <si>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</si>
  <si>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</si>
  <si>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</si>
  <si>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</si>
  <si>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</si>
  <si>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</si>
  <si>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</si>
  <si>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</si>
  <si>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</si>
  <si>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</si>
  <si>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</si>
  <si>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</si>
  <si>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</si>
  <si>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</si>
  <si>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</si>
  <si>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</si>
  <si>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</si>
  <si>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</si>
  <si>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</si>
  <si>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</si>
  <si>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</si>
  <si>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</si>
  <si>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</si>
  <si>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</si>
  <si>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</si>
  <si>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</si>
  <si>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</si>
  <si>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</si>
  <si>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</si>
  <si>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</si>
  <si>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</si>
  <si>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</si>
  <si>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</si>
  <si>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</si>
  <si>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</si>
  <si>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</si>
  <si>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</si>
  <si>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</si>
  <si>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</si>
  <si>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</si>
  <si>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</si>
  <si>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</si>
  <si>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</si>
  <si>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</si>
  <si>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</si>
  <si>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</si>
  <si>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</si>
  <si>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</si>
  <si>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</si>
  <si>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</si>
  <si>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</si>
  <si>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</si>
  <si>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</si>
  <si>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</si>
  <si>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</si>
  <si>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</si>
  <si>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</si>
  <si>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</si>
  <si>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</si>
  <si>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</si>
  <si>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</si>
  <si>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</si>
  <si>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</si>
  <si>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</si>
  <si>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</si>
  <si>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</si>
  <si>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</si>
  <si>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</si>
  <si>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</si>
  <si>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</si>
  <si>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</si>
  <si>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</si>
  <si>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</si>
  <si>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</si>
  <si>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</si>
  <si>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</si>
  <si>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</si>
  <si>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</si>
  <si>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</si>
  <si>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</si>
  <si>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</si>
  <si>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</si>
  <si>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</si>
  <si>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</si>
  <si>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</si>
  <si>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</si>
  <si>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</si>
  <si>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</si>
  <si>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</si>
  <si>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</si>
  <si>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</si>
  <si>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</si>
  <si>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</si>
  <si>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</si>
  <si>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</si>
  <si>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</si>
  <si>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</si>
  <si>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</si>
  <si>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</si>
  <si>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</si>
  <si>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</si>
  <si>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</si>
  <si>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</si>
  <si>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</si>
  <si>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</si>
  <si>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</si>
  <si>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</si>
  <si>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</si>
  <si>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</si>
  <si>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</si>
  <si>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</si>
  <si>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</si>
  <si>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</si>
  <si>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</si>
  <si>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</si>
  <si>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</si>
  <si>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</si>
  <si>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</si>
  <si>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</si>
  <si>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</si>
  <si>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</si>
  <si>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</si>
  <si>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</si>
  <si>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</si>
  <si>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</si>
  <si>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</si>
  <si>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</si>
  <si>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</si>
  <si>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</si>
  <si>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</si>
  <si>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</si>
  <si>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</si>
  <si>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</si>
  <si>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</si>
  <si>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</si>
  <si>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</si>
  <si>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</si>
  <si>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</si>
  <si>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</si>
  <si>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</si>
  <si>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</si>
  <si>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</si>
  <si>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</si>
  <si>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</si>
  <si>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</si>
  <si>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</si>
  <si>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</si>
  <si>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</si>
  <si>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</si>
  <si>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</si>
  <si>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</si>
  <si>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</si>
  <si>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</si>
  <si>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</si>
  <si>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</si>
  <si>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</si>
  <si>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</si>
  <si>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</si>
  <si>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</si>
  <si>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</si>
  <si>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</si>
  <si>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</si>
  <si>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</si>
  <si>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</si>
  <si>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</si>
  <si>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</si>
  <si>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</si>
  <si>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</si>
  <si>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</si>
  <si>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</si>
  <si>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</si>
  <si>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</si>
  <si>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</si>
  <si>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</si>
  <si>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</si>
  <si>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</si>
  <si>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</si>
  <si>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</si>
  <si>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</si>
  <si>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</si>
  <si>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</si>
  <si>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</si>
  <si>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</si>
  <si>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</si>
  <si>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</si>
  <si>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</si>
  <si>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</si>
  <si>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</si>
  <si>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</si>
  <si>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</si>
  <si>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</si>
  <si>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</si>
  <si>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</si>
  <si>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</si>
  <si>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</si>
  <si>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</si>
  <si>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</si>
  <si>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</si>
  <si>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</si>
  <si>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</si>
  <si>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</si>
  <si>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</si>
  <si>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</si>
  <si>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</si>
  <si>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</si>
  <si>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</si>
  <si>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</si>
  <si>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</si>
  <si>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</si>
  <si>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</si>
  <si>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</si>
  <si>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</si>
  <si>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</si>
  <si>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</si>
  <si>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</si>
  <si>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</si>
  <si>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</si>
  <si>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</si>
  <si>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</si>
  <si>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</si>
  <si>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</si>
  <si>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</si>
  <si>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</si>
  <si>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</si>
  <si>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</si>
  <si>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</si>
  <si>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</si>
  <si>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</si>
  <si>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</si>
  <si>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</si>
  <si>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</si>
  <si>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</si>
  <si>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</si>
  <si>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</si>
  <si>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</si>
  <si>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</si>
  <si>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</si>
  <si>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</si>
  <si>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</si>
  <si>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</si>
  <si>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</si>
  <si>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</si>
  <si>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</si>
  <si>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</si>
  <si>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</si>
  <si>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</si>
  <si>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</si>
  <si>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</si>
  <si>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</si>
  <si>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</si>
  <si>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</si>
  <si>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</si>
  <si>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</si>
  <si>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</si>
  <si>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</si>
  <si>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</si>
  <si>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</si>
  <si>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</si>
  <si>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</si>
  <si>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</si>
  <si>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</si>
  <si>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</si>
  <si>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</si>
  <si>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</si>
  <si>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</si>
  <si>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</si>
  <si>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</si>
  <si>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</si>
  <si>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</si>
  <si>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</si>
  <si>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</si>
  <si>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</si>
  <si>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</si>
  <si>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</si>
  <si>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</si>
  <si>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</si>
  <si>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</si>
  <si>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</si>
  <si>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</si>
  <si>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</si>
  <si>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</si>
  <si>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</si>
  <si>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</si>
  <si>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</si>
  <si>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</si>
  <si>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</si>
  <si>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</si>
  <si>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</si>
  <si>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</si>
  <si>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</si>
  <si>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</si>
  <si>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</si>
  <si>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</si>
  <si>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</si>
  <si>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</si>
  <si>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</si>
  <si>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</si>
  <si>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</si>
  <si>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</si>
  <si>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</si>
  <si>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</si>
  <si>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</si>
  <si>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</si>
  <si>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</si>
  <si>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</si>
  <si>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</si>
  <si>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</si>
  <si>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</si>
  <si>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</si>
  <si>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</si>
  <si>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</si>
  <si>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</si>
  <si>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</si>
  <si>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</si>
  <si>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</si>
  <si>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</si>
  <si>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</si>
  <si>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</si>
  <si>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</si>
  <si>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</si>
  <si>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</si>
  <si>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</si>
  <si>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</si>
  <si>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</si>
  <si>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</si>
  <si>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</si>
  <si>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</si>
  <si>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</si>
  <si>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</si>
  <si>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</si>
  <si>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</si>
  <si>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</si>
  <si>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</si>
  <si>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</si>
  <si>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</si>
  <si>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</si>
  <si>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</si>
  <si>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</si>
  <si>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</si>
  <si>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</si>
  <si>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</si>
  <si>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</si>
  <si>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</si>
  <si>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</si>
  <si>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</si>
  <si>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</si>
  <si>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</si>
  <si>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</si>
  <si>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</si>
  <si>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</si>
  <si>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</si>
  <si>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</si>
  <si>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</si>
  <si>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</si>
  <si>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</si>
  <si>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</si>
  <si>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</si>
  <si>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</si>
  <si>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</si>
  <si>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</si>
  <si>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</si>
  <si>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</si>
  <si>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</si>
  <si>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</si>
  <si>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</si>
  <si>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</si>
  <si>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</si>
  <si>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</si>
  <si>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</si>
  <si>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</si>
  <si>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</si>
  <si>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</si>
  <si>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</si>
  <si>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</si>
  <si>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</si>
  <si>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</si>
  <si>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</si>
  <si>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</si>
  <si>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</si>
  <si>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</si>
  <si>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</si>
  <si>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</si>
  <si>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</si>
  <si>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</si>
  <si>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</si>
  <si>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</si>
  <si>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</si>
  <si>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</si>
  <si>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</si>
  <si>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</si>
  <si>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</si>
  <si>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</si>
  <si>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</si>
  <si>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</si>
  <si>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</si>
  <si>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</si>
  <si>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</si>
  <si>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</si>
  <si>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</si>
  <si>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</si>
  <si>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</si>
  <si>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</si>
  <si>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</si>
  <si>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</si>
  <si>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</si>
  <si>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</si>
  <si>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</si>
  <si>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</si>
  <si>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</si>
  <si>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</si>
  <si>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</si>
  <si>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</si>
  <si>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</si>
  <si>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</si>
  <si>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</si>
  <si>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</si>
  <si>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</si>
  <si>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</si>
  <si>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</si>
  <si>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</si>
  <si>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</si>
  <si>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</si>
  <si>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</si>
  <si>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</si>
  <si>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</si>
  <si>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</si>
  <si>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</si>
  <si>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</si>
  <si>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</si>
  <si>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</si>
  <si>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</si>
  <si>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</si>
  <si>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</si>
  <si>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</si>
  <si>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</si>
  <si>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</si>
  <si>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</si>
  <si>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</si>
  <si>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</si>
  <si>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</si>
  <si>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</si>
  <si>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</si>
  <si>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</si>
  <si>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</si>
  <si>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</si>
  <si>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</si>
  <si>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</si>
  <si>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</si>
  <si>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</si>
  <si>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</si>
  <si>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</si>
  <si>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</si>
  <si>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</si>
  <si>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</si>
  <si>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</si>
  <si>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</si>
  <si>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</si>
  <si>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</si>
  <si>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</si>
  <si>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</si>
  <si>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</si>
  <si>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</si>
  <si>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</si>
  <si>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</si>
  <si>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</si>
  <si>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</si>
  <si>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</si>
  <si>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</si>
  <si>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</si>
  <si>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</si>
  <si>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</si>
  <si>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</si>
  <si>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</si>
  <si>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</si>
  <si>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</si>
  <si>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</si>
  <si>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</si>
  <si>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</si>
  <si>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</si>
  <si>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</si>
  <si>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</si>
  <si>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</si>
  <si>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</si>
  <si>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</si>
  <si>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</si>
  <si>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</si>
  <si>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</si>
  <si>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</si>
  <si>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</si>
  <si>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</si>
  <si>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</si>
  <si>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</si>
  <si>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</si>
  <si>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</si>
  <si>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</si>
  <si>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</si>
  <si>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</si>
  <si>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</si>
  <si>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</si>
  <si>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</si>
  <si>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</si>
  <si>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</si>
  <si>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</si>
  <si>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</si>
  <si>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</si>
  <si>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</si>
  <si>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</si>
  <si>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</si>
  <si>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</si>
  <si>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</si>
  <si>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</si>
  <si>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</si>
  <si>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</si>
  <si>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</si>
  <si>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</si>
  <si>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</si>
  <si>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</si>
  <si>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</si>
  <si>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</si>
  <si>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</si>
  <si>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</si>
  <si>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</si>
  <si>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</si>
  <si>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</si>
  <si>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</si>
  <si>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</si>
  <si>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</si>
  <si>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</si>
  <si>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</si>
  <si>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</si>
  <si>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</si>
  <si>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</si>
  <si>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</si>
  <si>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</si>
  <si>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</si>
  <si>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</si>
  <si>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</si>
  <si>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</si>
  <si>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</si>
  <si>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</si>
  <si>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</si>
  <si>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</si>
  <si>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</si>
  <si>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</si>
  <si>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</si>
  <si>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</si>
  <si>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</si>
  <si>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</si>
  <si>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</si>
  <si>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</si>
  <si>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</si>
  <si>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</si>
  <si>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</si>
  <si>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</si>
  <si>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</si>
  <si>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</si>
  <si>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</si>
  <si>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</si>
  <si>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</si>
  <si>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</si>
  <si>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</si>
  <si>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</si>
  <si>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</si>
  <si>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</si>
  <si>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</si>
  <si>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</si>
  <si>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</si>
  <si>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</si>
  <si>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</si>
  <si>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</si>
  <si>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</si>
  <si>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</si>
  <si>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</si>
  <si>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</si>
  <si>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</si>
  <si>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</si>
  <si>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</si>
  <si>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</si>
  <si>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</si>
  <si>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</si>
  <si>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</si>
  <si>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</si>
  <si>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</si>
  <si>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</si>
  <si>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</si>
  <si>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</si>
  <si>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</si>
  <si>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</si>
  <si>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</si>
  <si>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</si>
  <si>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</si>
  <si>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</si>
  <si>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</si>
  <si>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</si>
  <si>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</si>
  <si>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</si>
  <si>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</si>
  <si>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</si>
  <si>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</si>
  <si>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</si>
  <si>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</si>
  <si>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</si>
  <si>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</si>
  <si>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</si>
  <si>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</si>
  <si>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</si>
  <si>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</si>
  <si>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</si>
  <si>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</si>
  <si>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</si>
  <si>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</si>
  <si>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</si>
  <si>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</si>
  <si>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</si>
  <si>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</si>
  <si>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</si>
  <si>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</si>
  <si>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</si>
  <si>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</si>
  <si>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</si>
  <si>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</si>
  <si>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</si>
  <si>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</si>
  <si>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</si>
  <si>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</si>
  <si>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</si>
  <si>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</si>
  <si>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</si>
  <si>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</si>
  <si>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</si>
  <si>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</si>
  <si>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</si>
  <si>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</si>
  <si>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</si>
  <si>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</si>
  <si>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</si>
  <si>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</si>
  <si>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</si>
  <si>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</si>
  <si>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</si>
  <si>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</si>
  <si>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</si>
  <si>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</si>
  <si>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</si>
  <si>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</si>
  <si>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</si>
  <si>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</si>
  <si>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</si>
  <si>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</si>
  <si>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</si>
  <si>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</si>
  <si>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</si>
  <si>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</si>
  <si>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</si>
  <si>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</si>
  <si>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</si>
  <si>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</si>
  <si>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</si>
  <si>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</si>
  <si>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</si>
  <si>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</si>
  <si>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</si>
  <si>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</si>
  <si>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</si>
  <si>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</si>
  <si>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</si>
  <si>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</si>
  <si>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</si>
  <si>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</si>
  <si>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</si>
  <si>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</si>
  <si>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</si>
  <si>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</si>
  <si>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</si>
  <si>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</si>
  <si>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</si>
  <si>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</si>
  <si>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</si>
  <si>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</si>
  <si>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</si>
  <si>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</si>
  <si>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</si>
  <si>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</si>
  <si>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</si>
  <si>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</si>
  <si>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</si>
  <si>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</si>
  <si>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</si>
  <si>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</si>
  <si>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</si>
  <si>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</si>
  <si>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</si>
  <si>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</si>
  <si>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</si>
  <si>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</si>
  <si>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</si>
  <si>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</si>
  <si>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</si>
  <si>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</si>
  <si>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</si>
  <si>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</si>
  <si>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</si>
  <si>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</si>
  <si>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</si>
  <si>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</si>
  <si>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</si>
  <si>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</si>
  <si>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</si>
  <si>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</si>
  <si>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</si>
  <si>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</si>
  <si>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</si>
  <si>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</si>
  <si>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</si>
  <si>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</si>
  <si>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</si>
  <si>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</si>
  <si>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</si>
  <si>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</si>
  <si>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</si>
  <si>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</si>
  <si>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</si>
  <si>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</si>
  <si>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</si>
  <si>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</si>
  <si>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</si>
  <si>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</si>
  <si>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</si>
  <si>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</si>
  <si>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</si>
  <si>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</si>
  <si>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</si>
  <si>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</si>
  <si>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</si>
  <si>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</si>
  <si>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</si>
  <si>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</si>
  <si>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</si>
  <si>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</si>
  <si>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</si>
  <si>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</si>
  <si>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</si>
  <si>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</si>
  <si>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</si>
  <si>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</si>
  <si>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</si>
  <si>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</si>
  <si>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</si>
  <si>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</si>
  <si>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</si>
  <si>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</si>
  <si>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</si>
  <si>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</si>
  <si>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</si>
  <si>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</si>
  <si>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</si>
  <si>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</si>
  <si>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</si>
  <si>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</si>
  <si>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</si>
  <si>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</si>
  <si>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</si>
  <si>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</si>
  <si>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</si>
  <si>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</si>
  <si>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</si>
  <si>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</si>
  <si>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</si>
  <si>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</si>
  <si>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</si>
  <si>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</si>
  <si>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</si>
  <si>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</si>
  <si>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</si>
  <si>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</si>
  <si>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</si>
  <si>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</si>
  <si>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</si>
  <si>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</si>
  <si>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</si>
  <si>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</si>
  <si>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</si>
  <si>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</si>
  <si>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</si>
  <si>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</si>
  <si>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</si>
  <si>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</si>
  <si>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</si>
  <si>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</si>
  <si>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</si>
  <si>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</si>
  <si>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</si>
  <si>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</si>
  <si>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</si>
  <si>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</si>
  <si>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</si>
  <si>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</si>
  <si>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</si>
  <si>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</si>
  <si>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</si>
  <si>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</si>
  <si>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</si>
  <si>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</si>
  <si>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</si>
  <si>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</si>
  <si>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</si>
  <si>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</si>
  <si>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</si>
  <si>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</si>
  <si>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</si>
  <si>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</si>
  <si>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</si>
  <si>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</si>
  <si>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</si>
  <si>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</si>
  <si>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</si>
  <si>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</si>
  <si>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</si>
  <si>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</si>
  <si>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</si>
  <si>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</si>
  <si>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</si>
  <si>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</si>
  <si>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</si>
  <si>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</si>
  <si>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</si>
  <si>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</si>
  <si>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</si>
  <si>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</si>
  <si>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</si>
  <si>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</si>
  <si>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</si>
  <si>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</si>
  <si>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</si>
  <si>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</si>
  <si>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</si>
  <si>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</si>
  <si>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</si>
  <si>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</si>
  <si>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</si>
  <si>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</si>
  <si>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</si>
  <si>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</si>
  <si>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</si>
  <si>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</si>
  <si>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</si>
  <si>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</si>
  <si>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</si>
  <si>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</si>
  <si>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</si>
  <si>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</si>
  <si>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</si>
  <si>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</si>
  <si>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</si>
  <si>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</si>
  <si>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</si>
  <si>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</si>
  <si>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</si>
  <si>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</si>
  <si>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</si>
  <si>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</si>
  <si>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</si>
  <si>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</si>
  <si>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</si>
  <si>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</si>
  <si>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</si>
  <si>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</si>
  <si>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</si>
  <si>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</si>
  <si>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</si>
  <si>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</si>
  <si>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</si>
  <si>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</si>
  <si>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</si>
  <si>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</si>
  <si>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</si>
  <si>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</si>
  <si>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</si>
  <si>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</si>
  <si>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</si>
  <si>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</si>
  <si>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</si>
  <si>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</si>
  <si>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</si>
  <si>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</si>
  <si>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</si>
  <si>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</si>
  <si>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</si>
  <si>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</si>
  <si>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</si>
  <si>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</si>
  <si>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</si>
  <si>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</si>
  <si>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</si>
  <si>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</si>
  <si>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</si>
  <si>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</si>
  <si>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</si>
  <si>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</si>
  <si>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</si>
  <si>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</si>
  <si>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</si>
  <si>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</si>
  <si>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</si>
  <si>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</si>
  <si>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</si>
  <si>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</si>
  <si>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</si>
  <si>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</si>
  <si>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</si>
  <si>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</si>
  <si>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</si>
  <si>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</si>
  <si>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</si>
  <si>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</si>
  <si>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</si>
  <si>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</si>
  <si>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</si>
  <si>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</si>
  <si>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</si>
  <si>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</si>
  <si>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</si>
  <si>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</si>
  <si>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</si>
  <si>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</si>
  <si>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</si>
  <si>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</si>
  <si>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</si>
  <si>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</si>
  <si>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</si>
  <si>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</si>
  <si>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</si>
  <si>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</si>
  <si>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</si>
  <si>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</si>
  <si>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</si>
  <si>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</si>
  <si>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</si>
  <si>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</si>
  <si>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</si>
  <si>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</si>
  <si>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</si>
  <si>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</si>
  <si>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</si>
  <si>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</si>
  <si>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</si>
  <si>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</si>
  <si>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</si>
  <si>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</si>
  <si>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</si>
  <si>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</si>
  <si>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</si>
  <si>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</si>
  <si>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</si>
  <si>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</si>
  <si>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</si>
  <si>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</si>
  <si>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</si>
  <si>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</si>
  <si>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</si>
  <si>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</si>
  <si>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</si>
  <si>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</si>
  <si>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</si>
  <si>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</si>
  <si>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</si>
  <si>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</si>
  <si>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</si>
  <si>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</si>
  <si>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</si>
  <si>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</si>
  <si>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</si>
  <si>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</si>
  <si>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</si>
  <si>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</si>
  <si>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</si>
  <si>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</si>
  <si>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</si>
  <si>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</si>
  <si>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</si>
  <si>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</si>
  <si>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</si>
  <si>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</si>
  <si>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</si>
  <si>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</si>
  <si>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</si>
  <si>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</si>
  <si>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</si>
  <si>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</si>
  <si>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</si>
  <si>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</si>
  <si>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</si>
  <si>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</si>
  <si>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</si>
  <si>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</si>
  <si>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</si>
  <si>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</si>
  <si>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</si>
  <si>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</si>
  <si>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</si>
  <si>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</si>
  <si>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</si>
  <si>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</si>
  <si>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</si>
  <si>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</si>
  <si>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</si>
  <si>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</si>
  <si>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</si>
  <si>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</si>
  <si>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</si>
  <si>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</si>
  <si>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</si>
  <si>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</si>
  <si>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</si>
  <si>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</si>
  <si>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</si>
  <si>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</si>
  <si>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</si>
  <si>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</si>
  <si>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</si>
  <si>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</si>
  <si>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</si>
  <si>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</si>
  <si>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</si>
  <si>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</si>
  <si>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</si>
  <si>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</si>
  <si>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</si>
  <si>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</si>
  <si>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</si>
  <si>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</si>
  <si>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</si>
  <si>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</si>
  <si>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</si>
  <si>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</si>
  <si>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</si>
  <si>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</si>
  <si>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</si>
  <si>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</si>
  <si>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</si>
  <si>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</si>
  <si>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</si>
  <si>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</si>
  <si>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</si>
  <si>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</si>
  <si>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</si>
  <si>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</si>
  <si>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</si>
  <si>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</si>
  <si>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</si>
  <si>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</si>
  <si>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</si>
  <si>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</si>
  <si>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</si>
  <si>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</si>
  <si>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</si>
  <si>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</si>
  <si>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</si>
  <si>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</si>
  <si>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</si>
  <si>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</si>
  <si>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</si>
  <si>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</si>
  <si>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</si>
  <si>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</si>
  <si>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</si>
  <si>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</si>
  <si>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</si>
  <si>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</si>
  <si>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</si>
  <si>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</si>
  <si>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</si>
  <si>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</si>
  <si>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</si>
  <si>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</si>
  <si>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</si>
  <si>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</si>
  <si>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</si>
  <si>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</si>
  <si>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</si>
  <si>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</si>
  <si>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</si>
  <si>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</si>
  <si>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</si>
  <si>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</si>
  <si>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</si>
  <si>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</si>
  <si>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</si>
  <si>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</si>
  <si>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</si>
  <si>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</si>
  <si>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</si>
  <si>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</si>
  <si>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</si>
  <si>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</si>
  <si>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</si>
  <si>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</si>
  <si>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</si>
  <si>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</si>
  <si>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</si>
  <si>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</si>
  <si>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</si>
  <si>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</si>
  <si>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</si>
  <si>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</si>
  <si>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</si>
  <si>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</si>
  <si>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</si>
  <si>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</si>
  <si>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</si>
  <si>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</si>
  <si>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</si>
  <si>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</si>
  <si>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</si>
  <si>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</si>
  <si>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</si>
  <si>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</si>
  <si>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</si>
  <si>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</si>
  <si>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</si>
  <si>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</si>
  <si>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</si>
  <si>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</si>
  <si>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</si>
  <si>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</si>
  <si>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</si>
  <si>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</si>
  <si>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</si>
  <si>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</si>
  <si>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</si>
  <si>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</si>
  <si>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</si>
  <si>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</si>
  <si>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</si>
  <si>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</si>
  <si>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</si>
  <si>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</si>
  <si>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</si>
  <si>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</si>
  <si>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</si>
  <si>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</si>
  <si>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</si>
  <si>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</si>
  <si>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</si>
  <si>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</si>
  <si>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</si>
  <si>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</si>
  <si>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</si>
  <si>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</si>
  <si>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</si>
  <si>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</si>
  <si>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</si>
  <si>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</si>
  <si>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</si>
  <si>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</si>
  <si>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</si>
  <si>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</si>
  <si>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</si>
  <si>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</si>
  <si>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</si>
  <si>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</si>
  <si>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</si>
  <si>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</si>
  <si>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</si>
  <si>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</si>
  <si>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</si>
  <si>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</si>
  <si>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</si>
  <si>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</si>
  <si>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</si>
  <si>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</si>
  <si>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</si>
  <si>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</si>
  <si>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</si>
  <si>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</si>
  <si>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</si>
  <si>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</si>
  <si>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</si>
  <si>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</si>
  <si>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</si>
  <si>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</si>
  <si>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</si>
  <si>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</si>
  <si>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</si>
  <si>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</si>
  <si>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</si>
  <si>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</si>
  <si>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</si>
  <si>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</si>
  <si>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</si>
  <si>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</si>
  <si>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</si>
  <si>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</si>
  <si>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</si>
  <si>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</si>
  <si>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</si>
  <si>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</si>
  <si>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</si>
  <si>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</si>
  <si>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</si>
  <si>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</si>
  <si>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</si>
  <si>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</si>
  <si>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</si>
  <si>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</si>
  <si>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</si>
  <si>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</si>
  <si>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</si>
  <si>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</si>
  <si>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</si>
  <si>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</si>
  <si>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</si>
  <si>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</si>
  <si>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</si>
  <si>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</si>
  <si>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</si>
  <si>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</si>
  <si>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</si>
  <si>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</si>
  <si>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</si>
  <si>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</si>
  <si>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</si>
  <si>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</si>
  <si>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</si>
  <si>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</si>
  <si>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</si>
  <si>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</si>
  <si>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</si>
  <si>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</si>
  <si>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</si>
  <si>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</si>
  <si>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</si>
  <si>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</si>
  <si>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</si>
  <si>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</si>
  <si>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</si>
  <si>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</si>
  <si>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</si>
  <si>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</si>
  <si>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</si>
  <si>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</si>
  <si>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</si>
  <si>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</si>
  <si>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</si>
  <si>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</si>
  <si>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</si>
  <si>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</si>
  <si>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</si>
  <si>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</si>
  <si>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</si>
  <si>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</si>
  <si>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</si>
  <si>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</si>
  <si>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</si>
  <si>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</si>
  <si>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</si>
  <si>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</si>
  <si>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</si>
  <si>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</si>
  <si>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</si>
  <si>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</si>
  <si>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</si>
  <si>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</si>
  <si>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</si>
  <si>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</si>
  <si>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</si>
  <si>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</si>
  <si>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</si>
  <si>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</si>
  <si>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</si>
  <si>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</si>
  <si>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</si>
  <si>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</si>
  <si>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</si>
  <si>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</si>
  <si>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</si>
  <si>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</si>
  <si>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</si>
  <si>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</si>
  <si>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</si>
  <si>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</si>
  <si>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</si>
  <si>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</si>
  <si>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</si>
  <si>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</si>
  <si>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</si>
  <si>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</si>
  <si>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</si>
  <si>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</si>
  <si>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</si>
  <si>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</si>
  <si>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</si>
  <si>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</si>
  <si>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</si>
  <si>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</si>
  <si>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</si>
  <si>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</si>
  <si>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</si>
  <si>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</si>
  <si>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</si>
  <si>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</si>
  <si>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</si>
  <si>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</si>
  <si>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</si>
  <si>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</si>
  <si>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</si>
  <si>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</si>
  <si>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</si>
  <si>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</si>
  <si>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</si>
  <si>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</si>
  <si>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</si>
  <si>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</si>
  <si>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</si>
  <si>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</si>
  <si>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</si>
  <si>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</si>
  <si>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</si>
  <si>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</si>
  <si>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</si>
  <si>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</si>
  <si>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</si>
  <si>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</si>
  <si>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</si>
  <si>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</si>
  <si>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</si>
  <si>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</si>
  <si>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</si>
  <si>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</si>
  <si>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</si>
  <si>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</si>
  <si>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</si>
  <si>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</si>
  <si>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</si>
  <si>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</si>
  <si>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</si>
  <si>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</si>
  <si>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</si>
  <si>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</si>
  <si>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</si>
  <si>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</si>
  <si>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</si>
  <si>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</si>
  <si>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</si>
  <si>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</si>
  <si>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</si>
  <si>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</si>
  <si>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</si>
  <si>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</si>
  <si>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</si>
  <si>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</si>
  <si>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</si>
  <si>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</si>
  <si>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</si>
  <si>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</si>
  <si>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</si>
  <si>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</si>
  <si>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</si>
  <si>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</si>
  <si>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</si>
  <si>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</si>
  <si>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</si>
  <si>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</si>
  <si>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</si>
  <si>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</si>
  <si>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</si>
  <si>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</si>
  <si>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</si>
  <si>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</si>
  <si>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</si>
  <si>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</si>
  <si>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</si>
  <si>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</si>
  <si>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</si>
  <si>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</si>
  <si>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</si>
  <si>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</si>
  <si>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</si>
  <si>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</si>
  <si>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</si>
  <si>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</si>
  <si>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</si>
  <si>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</si>
  <si>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</si>
  <si>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</si>
  <si>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</si>
  <si>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</si>
  <si>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</si>
  <si>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</si>
  <si>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</si>
  <si>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</si>
  <si>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</si>
  <si>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</si>
  <si>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</si>
  <si>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</si>
  <si>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</si>
  <si>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</si>
  <si>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</si>
  <si>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</si>
  <si>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</si>
  <si>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</si>
  <si>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</si>
  <si>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</si>
  <si>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</si>
  <si>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</si>
  <si>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</si>
  <si>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</si>
  <si>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</si>
  <si>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</si>
  <si>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</si>
  <si>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</si>
  <si>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</si>
  <si>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</si>
  <si>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</si>
  <si>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</si>
  <si>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</si>
  <si>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</si>
  <si>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</si>
  <si>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</si>
  <si>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</si>
  <si>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</si>
  <si>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</si>
  <si>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</si>
  <si>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</si>
  <si>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</si>
  <si>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</si>
  <si>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</si>
  <si>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</si>
  <si>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</si>
  <si>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</si>
  <si>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</si>
  <si>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</si>
  <si>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</si>
  <si>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</si>
  <si>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</si>
  <si>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</si>
  <si>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</si>
  <si>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</si>
  <si>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</si>
  <si>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</si>
  <si>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</si>
  <si>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</si>
  <si>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</si>
  <si>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</si>
  <si>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</si>
  <si>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</si>
  <si>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</si>
  <si>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</si>
  <si>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</si>
  <si>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</si>
  <si>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</si>
  <si>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</si>
  <si>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</si>
  <si>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</si>
  <si>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</si>
  <si>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</si>
  <si>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</si>
  <si>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</si>
  <si>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</si>
  <si>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</si>
  <si>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</si>
  <si>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</si>
  <si>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</si>
  <si>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</si>
  <si>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</si>
  <si>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</si>
  <si>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</si>
  <si>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</si>
  <si>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</si>
  <si>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</si>
  <si>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</si>
  <si>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</si>
  <si>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</si>
  <si>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</si>
  <si>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</si>
  <si>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</si>
  <si>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</si>
  <si>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</si>
  <si>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</si>
  <si>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</si>
  <si>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</si>
  <si>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</si>
  <si>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</si>
  <si>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</si>
  <si>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</si>
  <si>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</si>
  <si>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</si>
  <si>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</si>
  <si>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</si>
  <si>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</si>
  <si>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</si>
  <si>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</si>
  <si>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</si>
  <si>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</si>
  <si>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</si>
  <si>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</si>
  <si>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</si>
  <si>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</si>
  <si>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</si>
  <si>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</si>
  <si>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</si>
  <si>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</si>
  <si>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</si>
  <si>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</si>
  <si>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</si>
  <si>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</si>
  <si>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</si>
  <si>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</si>
  <si>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</si>
  <si>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</si>
  <si>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</si>
  <si>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</si>
  <si>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</si>
  <si>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</si>
  <si>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</si>
  <si>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</si>
  <si>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</si>
  <si>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</si>
  <si>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</si>
  <si>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</si>
  <si>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</si>
  <si>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</si>
  <si>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</si>
  <si>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</si>
  <si>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</si>
  <si>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</si>
  <si>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</si>
  <si>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</si>
  <si>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</si>
  <si>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</si>
  <si>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</si>
  <si>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</si>
  <si>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</si>
  <si>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</si>
  <si>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</si>
  <si>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</si>
  <si>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</si>
  <si>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</si>
  <si>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</si>
  <si>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</si>
  <si>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</si>
  <si>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</si>
  <si>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</si>
  <si>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</si>
  <si>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</si>
  <si>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</si>
  <si>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</si>
  <si>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</si>
  <si>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</si>
  <si>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</si>
  <si>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</si>
  <si>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</si>
  <si>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</si>
  <si>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</si>
  <si>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</si>
  <si>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</si>
  <si>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</si>
  <si>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</si>
  <si>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</si>
  <si>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</si>
  <si>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</si>
  <si>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</si>
  <si>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</si>
  <si>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</si>
  <si>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</si>
  <si>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</si>
  <si>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</si>
  <si>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</si>
  <si>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</si>
  <si>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</si>
  <si>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</si>
  <si>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</si>
  <si>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</si>
  <si>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</si>
  <si>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</si>
  <si>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</si>
  <si>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</si>
  <si>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</si>
  <si>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</si>
  <si>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</si>
  <si>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</si>
  <si>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</si>
  <si>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</si>
  <si>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</si>
  <si>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</si>
  <si>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</si>
  <si>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</si>
  <si>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</si>
  <si>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</si>
  <si>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</si>
  <si>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</si>
  <si>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</si>
  <si>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</si>
  <si>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</si>
  <si>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</si>
  <si>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</si>
  <si>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</si>
  <si>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</si>
  <si>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</si>
  <si>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</si>
  <si>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</si>
  <si>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</si>
  <si>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</si>
  <si>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</si>
  <si>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</si>
  <si>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</si>
  <si>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</si>
  <si>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</si>
  <si>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</si>
  <si>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</si>
  <si>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</si>
  <si>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</si>
  <si>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</si>
  <si>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</si>
  <si>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</si>
  <si>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</si>
  <si>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</si>
  <si>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</si>
  <si>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</si>
  <si>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</si>
  <si>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</si>
  <si>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</si>
  <si>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</si>
  <si>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</si>
  <si>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</si>
  <si>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</si>
  <si>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</si>
  <si>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</si>
  <si>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</si>
  <si>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</si>
  <si>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</si>
  <si>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</si>
  <si>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</si>
  <si>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</si>
  <si>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</si>
  <si>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</si>
  <si>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</si>
  <si>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</si>
  <si>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</si>
  <si>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</si>
  <si>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</si>
  <si>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</si>
  <si>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</si>
  <si>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</si>
  <si>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</si>
  <si>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</si>
  <si>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</si>
  <si>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</si>
  <si>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</si>
  <si>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</si>
  <si>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</si>
  <si>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</si>
  <si>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</si>
  <si>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</si>
  <si>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</si>
  <si>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</si>
  <si>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</si>
  <si>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</si>
  <si>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</si>
  <si>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</si>
  <si>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</si>
  <si>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</si>
  <si>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</si>
  <si>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</si>
  <si>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</si>
  <si>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</si>
  <si>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</si>
  <si>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</si>
  <si>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</si>
  <si>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</si>
  <si>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</si>
  <si>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</si>
  <si>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</si>
  <si>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</si>
  <si>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</si>
  <si>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</si>
  <si>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</si>
  <si>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</si>
  <si>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</si>
  <si>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</si>
  <si>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</si>
  <si>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</si>
  <si>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</si>
  <si>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</si>
  <si>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</si>
  <si>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</si>
  <si>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</si>
  <si>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</si>
  <si>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</si>
  <si>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</si>
  <si>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</si>
  <si>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</si>
  <si>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</si>
  <si>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</si>
  <si>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</si>
  <si>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</si>
  <si>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</si>
  <si>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</si>
  <si>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</si>
  <si>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</si>
  <si>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</si>
  <si>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</si>
  <si>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</si>
  <si>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</si>
  <si>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</si>
  <si>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</si>
  <si>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</si>
  <si>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</si>
  <si>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</si>
  <si>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</si>
  <si>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</si>
  <si>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</si>
  <si>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</si>
  <si>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</si>
  <si>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</si>
  <si>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</si>
  <si>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</si>
  <si>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</si>
  <si>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</si>
  <si>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</si>
  <si>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</si>
  <si>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</si>
  <si>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</si>
  <si>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</si>
  <si>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</si>
  <si>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</si>
  <si>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</si>
  <si>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</si>
  <si>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</si>
  <si>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</si>
  <si>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</si>
  <si>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</si>
  <si>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</si>
  <si>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</si>
  <si>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</si>
  <si>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</si>
  <si>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</si>
  <si>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</si>
  <si>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</si>
  <si>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</si>
  <si>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</si>
  <si>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</si>
  <si>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</si>
  <si>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</si>
  <si>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</si>
  <si>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</si>
  <si>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</si>
  <si>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</si>
  <si>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</si>
  <si>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</si>
  <si>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</si>
  <si>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</si>
  <si>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</si>
  <si>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</si>
  <si>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</si>
  <si>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</si>
  <si>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</si>
  <si>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</si>
  <si>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</si>
  <si>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</si>
  <si>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</si>
  <si>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</si>
  <si>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</si>
  <si>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</si>
  <si>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</si>
  <si>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</si>
  <si>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</si>
  <si>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</si>
  <si>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</si>
  <si>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</si>
  <si>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</si>
  <si>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</si>
  <si>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</si>
  <si>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</si>
  <si>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</si>
  <si>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</si>
  <si>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</si>
  <si>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</si>
  <si>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</si>
  <si>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</si>
  <si>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</si>
  <si>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</si>
  <si>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</si>
  <si>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</si>
  <si>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</si>
  <si>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</si>
  <si>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</si>
  <si>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</si>
  <si>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</si>
  <si>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</si>
  <si>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</si>
  <si>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</si>
  <si>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</si>
  <si>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</si>
  <si>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</si>
  <si>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</si>
  <si>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</si>
  <si>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</si>
  <si>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</si>
  <si>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</si>
  <si>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</si>
  <si>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</si>
  <si>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</si>
  <si>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</si>
  <si>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</si>
  <si>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</si>
  <si>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</si>
  <si>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</si>
  <si>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</si>
  <si>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</si>
  <si>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</si>
  <si>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</si>
  <si>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</si>
  <si>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</si>
  <si>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</si>
  <si>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</si>
  <si>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</si>
  <si>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</si>
  <si>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</si>
  <si>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</si>
  <si>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</si>
  <si>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</si>
  <si>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</si>
  <si>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</si>
  <si>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</si>
  <si>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</si>
  <si>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</si>
  <si>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</si>
  <si>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</si>
  <si>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</si>
  <si>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</si>
  <si>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</si>
  <si>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</si>
  <si>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</si>
  <si>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</si>
  <si>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</si>
  <si>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</si>
  <si>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</si>
  <si>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</si>
  <si>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</si>
  <si>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</si>
  <si>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</si>
  <si>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</si>
  <si>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</si>
  <si>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</si>
  <si>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</si>
  <si>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</si>
  <si>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</si>
  <si>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</si>
  <si>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</si>
  <si>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</si>
  <si>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</si>
  <si>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</si>
  <si>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</si>
  <si>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</si>
  <si>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</si>
  <si>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</si>
  <si>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</si>
  <si>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</si>
  <si>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</si>
  <si>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</si>
  <si>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</si>
  <si>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</si>
  <si>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</si>
  <si>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</si>
  <si>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</si>
  <si>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</si>
  <si>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</si>
  <si>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</si>
  <si>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</si>
  <si>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</si>
  <si>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</si>
  <si>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</si>
  <si>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</si>
  <si>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</si>
  <si>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</si>
  <si>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</si>
  <si>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</si>
  <si>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</si>
  <si>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</si>
  <si>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</si>
  <si>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</si>
  <si>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</si>
  <si>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</si>
  <si>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</si>
  <si>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</si>
  <si>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</si>
  <si>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</si>
  <si>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</si>
  <si>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</si>
  <si>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</si>
  <si>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</si>
  <si>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</si>
  <si>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</si>
  <si>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</si>
  <si>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</si>
  <si>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</si>
  <si>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</si>
  <si>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</si>
  <si>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</si>
  <si>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</si>
  <si>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</si>
  <si>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</si>
  <si>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</si>
  <si>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</si>
  <si>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</si>
  <si>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</si>
  <si>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</si>
  <si>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</si>
  <si>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</si>
  <si>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</si>
  <si>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</si>
  <si>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</si>
  <si>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</si>
  <si>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</si>
  <si>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</si>
  <si>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</si>
  <si>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</si>
  <si>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</si>
  <si>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</si>
  <si>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</si>
  <si>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</si>
  <si>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</si>
  <si>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</si>
  <si>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</si>
  <si>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</si>
  <si>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</si>
  <si>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</si>
  <si>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</si>
  <si>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</si>
  <si>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</si>
  <si>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</si>
  <si>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</si>
  <si>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</si>
  <si>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</si>
  <si>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</si>
  <si>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</si>
  <si>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</si>
  <si>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</si>
  <si>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</si>
  <si>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</si>
  <si>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</si>
  <si>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</si>
  <si>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</si>
  <si>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</si>
  <si>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</si>
  <si>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</si>
  <si>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</si>
  <si>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</si>
  <si>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</si>
  <si>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</si>
  <si>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</si>
  <si>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</si>
  <si>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</si>
  <si>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</si>
  <si>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</si>
  <si>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</si>
  <si>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</si>
  <si>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</si>
  <si>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</si>
  <si>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</si>
  <si>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</si>
  <si>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</si>
  <si>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</si>
  <si>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</si>
  <si>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</si>
  <si>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</si>
  <si>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</si>
  <si>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</si>
  <si>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</si>
  <si>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</si>
  <si>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</si>
  <si>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</si>
  <si>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</si>
  <si>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</si>
  <si>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</si>
  <si>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</si>
  <si>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</si>
  <si>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</si>
  <si>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</si>
  <si>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</si>
  <si>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</si>
  <si>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</si>
  <si>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</si>
  <si>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</si>
  <si>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</si>
  <si>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</si>
  <si>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</si>
  <si>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</si>
  <si>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</si>
  <si>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</si>
  <si>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</si>
  <si>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</si>
  <si>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</si>
  <si>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</si>
  <si>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</si>
  <si>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</si>
  <si>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</si>
  <si>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</si>
  <si>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</si>
  <si>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</si>
  <si>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</si>
  <si>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</si>
  <si>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</si>
  <si>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</si>
  <si>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</si>
  <si>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</si>
  <si>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</si>
  <si>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</si>
  <si>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</si>
  <si>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</si>
  <si>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</si>
  <si>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</si>
  <si>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</si>
  <si>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</si>
  <si>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</si>
  <si>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</si>
  <si>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</si>
  <si>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</si>
  <si>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</si>
  <si>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</si>
  <si>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</si>
  <si>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</si>
  <si>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</si>
  <si>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</si>
  <si>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</si>
  <si>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</si>
  <si>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</si>
  <si>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</si>
  <si>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</si>
  <si>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</si>
  <si>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</si>
  <si>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</si>
  <si>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</si>
  <si>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</si>
  <si>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</si>
  <si>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</si>
  <si>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</si>
  <si>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</si>
  <si>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</si>
  <si>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</si>
  <si>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</si>
  <si>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</si>
  <si>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</si>
  <si>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</si>
  <si>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</si>
  <si>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</si>
  <si>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</si>
  <si>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</si>
  <si>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</si>
  <si>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</si>
  <si>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</si>
  <si>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</si>
  <si>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</si>
  <si>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</si>
  <si>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</si>
  <si>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</si>
  <si>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</si>
  <si>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</si>
  <si>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</si>
  <si>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</si>
  <si>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</si>
  <si>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</si>
  <si>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</si>
  <si>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</si>
  <si>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</si>
  <si>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</si>
  <si>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</si>
  <si>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</si>
  <si>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</si>
  <si>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</si>
  <si>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</si>
  <si>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</si>
  <si>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</si>
  <si>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</si>
  <si>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</si>
  <si>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</si>
  <si>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</si>
  <si>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</si>
  <si>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</si>
  <si>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</si>
  <si>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</si>
  <si>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</si>
  <si>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</si>
  <si>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</si>
  <si>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</si>
  <si>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</si>
  <si>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</si>
  <si>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</si>
  <si>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</si>
  <si>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</si>
  <si>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</si>
  <si>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</si>
  <si>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</si>
  <si>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</si>
  <si>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</si>
  <si>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</si>
  <si>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</si>
  <si>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</si>
  <si>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</si>
  <si>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</si>
  <si>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</si>
  <si>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</si>
  <si>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</si>
  <si>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</si>
  <si>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</si>
  <si>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</si>
  <si>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</si>
  <si>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</si>
  <si>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</si>
  <si>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</si>
  <si>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</si>
  <si>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</si>
  <si>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</si>
  <si>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</si>
  <si>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</si>
  <si>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</si>
  <si>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</si>
  <si>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</si>
  <si>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</si>
  <si>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</si>
  <si>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</si>
  <si>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</si>
  <si>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</si>
  <si>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</si>
  <si>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</si>
  <si>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</si>
  <si>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</si>
  <si>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</si>
  <si>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</si>
  <si>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</si>
  <si>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</si>
  <si>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</si>
  <si>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</si>
  <si>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</si>
  <si>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</si>
  <si>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</si>
  <si>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</si>
  <si>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</si>
  <si>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</si>
  <si>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</si>
  <si>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</si>
  <si>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</si>
  <si>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</si>
  <si>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</si>
  <si>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</si>
  <si>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</si>
  <si>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</si>
  <si>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</si>
  <si>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</si>
  <si>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</si>
  <si>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</si>
  <si>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</si>
  <si>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</si>
  <si>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</si>
  <si>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</si>
  <si>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</si>
  <si>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</si>
  <si>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</si>
  <si>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</si>
  <si>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</si>
  <si>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</si>
  <si>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</si>
  <si>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</si>
  <si>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</si>
  <si>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</si>
  <si>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</si>
  <si>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</si>
  <si>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</si>
  <si>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</si>
  <si>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</si>
  <si>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</si>
  <si>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</si>
  <si>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</si>
  <si>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</si>
  <si>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</si>
  <si>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</si>
  <si>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</si>
  <si>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</si>
  <si>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</si>
  <si>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</si>
  <si>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</si>
  <si>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</si>
  <si>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</si>
  <si>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</si>
  <si>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</si>
  <si>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</si>
  <si>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</si>
  <si>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</si>
  <si>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</si>
  <si>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</si>
  <si>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</si>
  <si>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</si>
  <si>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</si>
  <si>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</si>
  <si>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</si>
  <si>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</si>
  <si>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</si>
  <si>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</si>
  <si>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</si>
  <si>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</si>
  <si>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</si>
  <si>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</si>
  <si>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</si>
  <si>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</si>
  <si>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</si>
  <si>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</si>
  <si>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</si>
  <si>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</si>
  <si>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</si>
  <si>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</si>
  <si>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</si>
  <si>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</si>
  <si>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</si>
  <si>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</si>
  <si>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</si>
  <si>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</si>
  <si>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</si>
  <si>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</si>
  <si>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</si>
  <si>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</si>
  <si>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</si>
  <si>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</si>
  <si>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</si>
  <si>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</si>
  <si>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</si>
  <si>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</si>
  <si>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</si>
  <si>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</si>
  <si>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</si>
  <si>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</si>
  <si>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</si>
  <si>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</si>
  <si>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</si>
  <si>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</si>
  <si>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</si>
  <si>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</si>
  <si>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</si>
  <si>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</si>
  <si>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</si>
  <si>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</si>
  <si>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</si>
  <si>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</si>
  <si>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</si>
  <si>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</si>
  <si>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</si>
  <si>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</si>
  <si>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</si>
  <si>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</si>
  <si>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</si>
  <si>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</si>
  <si>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</si>
  <si>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</si>
  <si>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</si>
  <si>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</si>
  <si>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</si>
  <si>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</si>
  <si>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</si>
  <si>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</si>
  <si>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</si>
  <si>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</si>
  <si>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</si>
  <si>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</si>
  <si>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</si>
  <si>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</si>
  <si>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</si>
  <si>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</si>
  <si>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</si>
  <si>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</si>
  <si>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</si>
  <si>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</si>
  <si>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</si>
  <si>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</si>
  <si>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</si>
  <si>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</si>
  <si>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</si>
  <si>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</si>
  <si>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</si>
  <si>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</si>
  <si>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</si>
  <si>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</si>
  <si>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</si>
  <si>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</si>
  <si>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</si>
  <si>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</si>
  <si>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</si>
  <si>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</si>
  <si>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</si>
  <si>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</si>
  <si>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</si>
  <si>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</si>
  <si>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</si>
  <si>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</si>
  <si>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</si>
  <si>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</si>
  <si>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</si>
  <si>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</si>
  <si>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</si>
  <si>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</si>
  <si>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</si>
  <si>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</si>
  <si>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</si>
  <si>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</si>
  <si>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</si>
  <si>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</si>
  <si>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</si>
  <si>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</si>
  <si>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</si>
  <si>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</si>
  <si>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</si>
  <si>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</si>
  <si>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</si>
  <si>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</si>
  <si>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</si>
  <si>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</si>
  <si>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</si>
  <si>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</si>
  <si>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</si>
  <si>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</si>
  <si>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</si>
  <si>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</si>
  <si>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</si>
  <si>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</si>
  <si>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</si>
  <si>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</si>
  <si>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</si>
  <si>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</si>
  <si>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</si>
  <si>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</si>
  <si>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</si>
  <si>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</si>
  <si>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</si>
  <si>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</si>
  <si>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</si>
  <si>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</si>
  <si>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</si>
  <si>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</si>
  <si>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</si>
  <si>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</si>
  <si>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</si>
  <si>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</si>
  <si>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</si>
  <si>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</si>
  <si>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</si>
  <si>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</si>
  <si>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</si>
  <si>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</si>
  <si>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</si>
  <si>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</si>
  <si>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</si>
  <si>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</si>
  <si>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</si>
  <si>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</si>
  <si>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</si>
  <si>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</si>
  <si>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</si>
  <si>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</si>
  <si>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</si>
  <si>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</si>
  <si>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</si>
  <si>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</si>
  <si>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</si>
  <si>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</si>
  <si>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</si>
  <si>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</si>
  <si>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</si>
  <si>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</si>
  <si>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</si>
  <si>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</si>
  <si>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</si>
  <si>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</si>
  <si>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</si>
  <si>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</si>
  <si>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</si>
  <si>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</si>
  <si>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</si>
  <si>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</si>
  <si>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</si>
  <si>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</si>
  <si>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</si>
  <si>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</si>
  <si>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</si>
  <si>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</si>
  <si>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</si>
  <si>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</si>
  <si>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</si>
  <si>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</si>
  <si>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</si>
  <si>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</si>
  <si>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</si>
  <si>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</si>
  <si>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</si>
  <si>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</si>
  <si>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</si>
  <si>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</si>
  <si>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</si>
  <si>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</si>
  <si>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</si>
  <si>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</si>
  <si>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</si>
  <si>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</si>
  <si>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</si>
  <si>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</si>
  <si>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</si>
  <si>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</si>
  <si>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</si>
  <si>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</si>
  <si>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</si>
  <si>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</si>
  <si>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</si>
  <si>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</si>
  <si>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</si>
  <si>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</si>
  <si>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</si>
  <si>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</si>
  <si>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</si>
  <si>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</si>
  <si>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</si>
  <si>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</si>
  <si>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</si>
  <si>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</si>
  <si>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</si>
  <si>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</si>
  <si>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</si>
  <si>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</si>
  <si>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</si>
  <si>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</si>
  <si>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</si>
  <si>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</si>
  <si>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</si>
  <si>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</si>
  <si>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</si>
  <si>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</si>
  <si>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</si>
  <si>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</si>
  <si>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</si>
  <si>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</si>
  <si>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</si>
  <si>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</si>
  <si>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</si>
  <si>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</si>
  <si>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</si>
  <si>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</si>
  <si>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</si>
  <si>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</si>
  <si>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</si>
  <si>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</si>
  <si>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</si>
  <si>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</si>
  <si>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</si>
  <si>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</si>
  <si>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</si>
  <si>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</si>
  <si>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</si>
  <si>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</si>
  <si>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</si>
  <si>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</si>
  <si>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</si>
  <si>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</si>
  <si>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</si>
  <si>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</si>
  <si>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</si>
  <si>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</si>
  <si>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</si>
  <si>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</si>
  <si>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</si>
  <si>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</si>
  <si>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</si>
  <si>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</si>
  <si>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</si>
  <si>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</si>
  <si>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</si>
  <si>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</si>
  <si>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</si>
  <si>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</si>
  <si>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</si>
  <si>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</si>
  <si>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</si>
  <si>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</si>
  <si>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</si>
  <si>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</si>
  <si>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</si>
  <si>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</si>
  <si>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</si>
  <si>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</si>
  <si>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</si>
  <si>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</si>
  <si>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</si>
  <si>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</si>
  <si>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</si>
  <si>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</si>
  <si>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</si>
  <si>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</si>
  <si>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</si>
  <si>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</si>
  <si>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</si>
  <si>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</si>
  <si>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</si>
  <si>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</si>
  <si>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</si>
  <si>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</si>
  <si>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</si>
  <si>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</si>
  <si>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</si>
  <si>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</si>
  <si>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</si>
  <si>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</si>
  <si>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</si>
  <si>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</si>
  <si>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</si>
  <si>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</si>
  <si>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</si>
  <si>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</si>
  <si>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</si>
  <si>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</si>
  <si>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</si>
  <si>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</si>
  <si>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</si>
  <si>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</si>
  <si>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</si>
  <si>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</si>
  <si>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</si>
  <si>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</si>
  <si>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</si>
  <si>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</si>
  <si>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</si>
  <si>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</si>
  <si>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</si>
  <si>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</si>
  <si>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</si>
  <si>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</si>
  <si>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</si>
  <si>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</si>
  <si>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</si>
  <si>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</si>
  <si>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</si>
  <si>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</si>
  <si>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</si>
  <si>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</si>
  <si>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</si>
  <si>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</si>
  <si>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</si>
  <si>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</si>
  <si>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</si>
  <si>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</si>
  <si>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</si>
  <si>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</si>
  <si>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</si>
  <si>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</si>
  <si>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</si>
  <si>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</si>
  <si>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</si>
  <si>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</si>
  <si>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</si>
  <si>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</si>
  <si>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</si>
  <si>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</si>
  <si>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</si>
  <si>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</si>
  <si>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</si>
  <si>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</si>
  <si>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</si>
  <si>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</si>
  <si>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</si>
  <si>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</si>
  <si>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</si>
  <si>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</si>
  <si>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</si>
  <si>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</si>
  <si>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</si>
  <si>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</si>
  <si>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</si>
  <si>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</si>
  <si>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</si>
  <si>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</si>
  <si>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</si>
  <si>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</si>
  <si>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</si>
  <si>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</si>
  <si>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</si>
  <si>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</si>
  <si>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</si>
  <si>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</si>
  <si>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</si>
  <si>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</si>
  <si>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</si>
  <si>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</si>
  <si>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</si>
  <si>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</si>
  <si>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</si>
  <si>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</si>
  <si>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</si>
  <si>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</si>
  <si>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</si>
  <si>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</si>
  <si>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</si>
  <si>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</si>
  <si>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</si>
  <si>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</si>
  <si>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</si>
  <si>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</si>
  <si>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</si>
  <si>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</si>
  <si>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</si>
  <si>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</si>
  <si>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</si>
  <si>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</si>
  <si>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</si>
  <si>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</si>
  <si>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</si>
  <si>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</si>
  <si>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</si>
  <si>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</si>
  <si>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</si>
  <si>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</si>
  <si>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</si>
  <si>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</si>
  <si>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</si>
  <si>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</si>
  <si>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</si>
  <si>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</si>
  <si>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</si>
  <si>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</si>
  <si>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</si>
  <si>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</si>
  <si>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</si>
  <si>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</si>
  <si>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</si>
  <si>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</si>
  <si>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</si>
  <si>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</si>
  <si>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</si>
  <si>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</si>
  <si>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</si>
  <si>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</si>
  <si>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</si>
  <si>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</si>
  <si>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</si>
  <si>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</si>
  <si>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</si>
  <si>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</si>
  <si>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</si>
  <si>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</si>
  <si>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</si>
  <si>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</si>
  <si>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</si>
  <si>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</si>
  <si>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</si>
  <si>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</si>
  <si>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</si>
  <si>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</si>
  <si>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</si>
  <si>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</si>
  <si>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</si>
  <si>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</si>
  <si>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</si>
  <si>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</si>
  <si>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</si>
  <si>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</si>
  <si>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</si>
  <si>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</si>
  <si>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</si>
  <si>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</si>
  <si>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</si>
  <si>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</si>
  <si>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</si>
  <si>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</si>
  <si>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</si>
  <si>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</si>
  <si>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</si>
  <si>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</si>
  <si>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</si>
  <si>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</si>
  <si>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</si>
  <si>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</si>
  <si>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</si>
  <si>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</si>
  <si>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</si>
  <si>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</si>
  <si>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</si>
  <si>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</si>
  <si>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</si>
  <si>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</si>
  <si>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</si>
  <si>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</si>
  <si>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</si>
  <si>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</si>
  <si>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</si>
  <si>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</si>
  <si>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</si>
  <si>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</si>
  <si>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</si>
  <si>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</si>
  <si>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</si>
  <si>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</si>
  <si>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</si>
  <si>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</si>
  <si>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</si>
  <si>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</si>
  <si>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</si>
  <si>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</si>
  <si>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</si>
  <si>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</si>
  <si>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</si>
  <si>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</si>
  <si>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</si>
  <si>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</si>
  <si>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</si>
  <si>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</si>
  <si>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</si>
  <si>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</si>
  <si>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</si>
  <si>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</si>
  <si>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</si>
  <si>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</si>
  <si>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</si>
  <si>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</si>
  <si>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</si>
  <si>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</si>
  <si>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</si>
  <si>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</si>
  <si>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</si>
  <si>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</si>
  <si>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</si>
  <si>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</si>
  <si>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</si>
  <si>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</si>
  <si>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</si>
  <si>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</si>
  <si>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</si>
  <si>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</si>
  <si>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</si>
  <si>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</si>
  <si>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</si>
  <si>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</si>
  <si>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</si>
  <si>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</si>
  <si>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</si>
  <si>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</si>
  <si>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</si>
  <si>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</si>
  <si>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</si>
  <si>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</si>
  <si>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</si>
  <si>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</si>
  <si>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</si>
  <si>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</si>
  <si>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</si>
  <si>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</si>
  <si>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</si>
  <si>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</si>
  <si>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</si>
  <si>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</si>
  <si>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</si>
  <si>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</si>
  <si>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</si>
  <si>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</si>
  <si>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</si>
  <si>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</si>
  <si>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</si>
  <si>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</si>
  <si>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</si>
  <si>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</si>
  <si>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</si>
  <si>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</si>
  <si>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</si>
  <si>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</si>
  <si>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</si>
  <si>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</si>
  <si>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</si>
  <si>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</si>
  <si>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</si>
  <si>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</si>
  <si>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</si>
  <si>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</si>
  <si>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</si>
  <si>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</si>
  <si>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</si>
  <si>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</si>
  <si>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</si>
  <si>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</si>
  <si>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</si>
  <si>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</si>
  <si>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</si>
  <si>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</si>
  <si>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</si>
  <si>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</si>
  <si>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</si>
  <si>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</si>
  <si>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</si>
  <si>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</si>
  <si>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</si>
  <si>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</si>
  <si>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</si>
  <si>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</si>
  <si>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</si>
  <si>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</si>
  <si>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</si>
  <si>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</si>
  <si>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</si>
  <si>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</si>
  <si>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</si>
  <si>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</si>
  <si>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</si>
  <si>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</si>
  <si>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</si>
  <si>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</si>
  <si>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</si>
  <si>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</si>
  <si>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</si>
  <si>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</si>
  <si>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</si>
  <si>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</si>
  <si>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</si>
  <si>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</si>
  <si>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</si>
  <si>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</si>
  <si>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</si>
  <si>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</si>
  <si>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</si>
  <si>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</si>
  <si>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</si>
  <si>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</si>
  <si>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</si>
  <si>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</si>
  <si>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</si>
  <si>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</si>
  <si>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</si>
  <si>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</si>
  <si>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</si>
  <si>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</si>
  <si>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</si>
  <si>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</si>
  <si>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</si>
  <si>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</si>
  <si>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</si>
  <si>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</si>
  <si>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</si>
  <si>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</si>
  <si>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</si>
  <si>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</si>
  <si>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</si>
  <si>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</si>
  <si>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</si>
  <si>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</si>
  <si>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</si>
  <si>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</si>
  <si>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</si>
  <si>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</si>
  <si>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</si>
  <si>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</si>
  <si>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</si>
  <si>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</si>
  <si>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</si>
  <si>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</si>
  <si>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</si>
  <si>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</si>
  <si>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</si>
  <si>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</si>
  <si>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</si>
  <si>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</si>
  <si>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</si>
  <si>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</si>
  <si>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</si>
  <si>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</si>
  <si>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</si>
  <si>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</si>
  <si>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</si>
  <si>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</si>
  <si>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</si>
  <si>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</si>
  <si>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</si>
  <si>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</si>
  <si>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</si>
  <si>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</si>
  <si>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</si>
  <si>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</si>
  <si>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</si>
  <si>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</si>
  <si>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</si>
  <si>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</si>
  <si>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</si>
  <si>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</si>
  <si>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</si>
  <si>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</si>
  <si>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</si>
  <si>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</si>
  <si>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</si>
  <si>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</si>
  <si>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</si>
  <si>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</si>
  <si>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</si>
  <si>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</si>
  <si>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</si>
  <si>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</si>
  <si>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</si>
  <si>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</si>
  <si>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</si>
  <si>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</si>
  <si>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</si>
  <si>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</si>
  <si>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</si>
  <si>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</si>
  <si>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</si>
  <si>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</si>
  <si>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</si>
  <si>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</si>
  <si>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</si>
  <si>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</si>
  <si>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</si>
  <si>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</si>
  <si>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</si>
  <si>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</si>
  <si>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</si>
  <si>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</si>
  <si>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</si>
  <si>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</si>
  <si>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</si>
  <si>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</si>
  <si>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</si>
  <si>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</si>
  <si>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</si>
  <si>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</si>
  <si>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</si>
  <si>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</si>
  <si>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</si>
  <si>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</si>
  <si>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</si>
  <si>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</si>
  <si>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</si>
  <si>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</si>
  <si>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</si>
  <si>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</si>
  <si>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</si>
  <si>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</si>
  <si>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</si>
  <si>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</si>
  <si>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</si>
  <si>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</si>
  <si>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</si>
  <si>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</si>
  <si>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</si>
  <si>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</si>
  <si>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</si>
  <si>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</si>
  <si>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</si>
  <si>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</si>
  <si>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</si>
  <si>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</si>
  <si>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</si>
  <si>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</si>
  <si>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</si>
  <si>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</si>
  <si>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</si>
  <si>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</si>
  <si>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</si>
  <si>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</si>
  <si>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</si>
  <si>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</si>
  <si>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</si>
  <si>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</si>
  <si>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</si>
  <si>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</si>
  <si>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</si>
  <si>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</si>
  <si>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</si>
  <si>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</si>
  <si>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</si>
  <si>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</si>
  <si>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</si>
  <si>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</si>
  <si>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</si>
  <si>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</si>
  <si>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</si>
  <si>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</si>
  <si>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</si>
  <si>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</si>
  <si>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</si>
  <si>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</si>
  <si>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</si>
  <si>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</si>
  <si>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</si>
  <si>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</si>
  <si>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</si>
  <si>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</si>
  <si>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</si>
  <si>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</si>
  <si>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</si>
  <si>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</si>
  <si>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</si>
  <si>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</si>
  <si>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</si>
  <si>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</si>
  <si>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</si>
  <si>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</si>
  <si>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</si>
  <si>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</si>
  <si>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</si>
  <si>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</si>
  <si>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</si>
  <si>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</si>
  <si>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</si>
  <si>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</si>
  <si>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</si>
  <si>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</si>
  <si>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</si>
  <si>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</si>
  <si>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</si>
  <si>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</si>
  <si>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</si>
  <si>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</si>
  <si>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</si>
  <si>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</si>
  <si>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</si>
  <si>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</si>
  <si>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</si>
  <si>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</si>
  <si>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</si>
  <si>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</si>
  <si>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</si>
  <si>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</si>
  <si>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</si>
  <si>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</si>
  <si>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</si>
  <si>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</si>
  <si>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</si>
  <si>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</si>
  <si>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</si>
  <si>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</si>
  <si>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</si>
  <si>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</si>
  <si>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</si>
  <si>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</si>
  <si>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</si>
  <si>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</si>
  <si>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</si>
  <si>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</si>
  <si>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</si>
  <si>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</si>
  <si>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</si>
  <si>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</si>
  <si>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</si>
  <si>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</si>
  <si>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</si>
  <si>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</si>
  <si>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</si>
  <si>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</si>
  <si>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</si>
  <si>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</si>
  <si>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</si>
  <si>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</si>
  <si>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</si>
  <si>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</si>
  <si>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</si>
  <si>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</si>
  <si>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</si>
  <si>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</si>
  <si>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</si>
  <si>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</si>
  <si>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</si>
  <si>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</si>
  <si>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</si>
  <si>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</si>
  <si>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</si>
  <si>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</si>
  <si>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</si>
  <si>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</si>
  <si>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</si>
  <si>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</si>
  <si>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</si>
  <si>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</si>
  <si>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</si>
  <si>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</si>
  <si>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</si>
  <si>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</si>
  <si>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</si>
  <si>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</si>
  <si>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</si>
  <si>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</si>
  <si>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</si>
  <si>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</si>
  <si>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</si>
  <si>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</si>
  <si>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</si>
  <si>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</si>
  <si>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</si>
  <si>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</si>
  <si>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</si>
  <si>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</si>
  <si>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</si>
  <si>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</si>
  <si>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</si>
  <si>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</si>
  <si>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</si>
  <si>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</si>
  <si>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</si>
  <si>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</si>
  <si>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</si>
  <si>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</si>
  <si>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</si>
  <si>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</si>
  <si>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</si>
  <si>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</si>
  <si>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</si>
  <si>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</si>
  <si>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</si>
  <si>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</si>
  <si>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</si>
  <si>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</si>
  <si>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</si>
  <si>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</si>
  <si>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</si>
  <si>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</si>
  <si>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</si>
  <si>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</si>
  <si>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</si>
  <si>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</si>
  <si>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</si>
  <si>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</si>
  <si>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</si>
  <si>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</si>
  <si>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</si>
  <si>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</si>
  <si>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</si>
  <si>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</si>
  <si>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</si>
  <si>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</si>
  <si>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</si>
  <si>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</si>
  <si>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</si>
  <si>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</si>
  <si>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</si>
  <si>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</si>
  <si>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</si>
  <si>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</si>
  <si>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</si>
  <si>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</si>
  <si>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</si>
  <si>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</si>
  <si>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</si>
  <si>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</si>
  <si>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</si>
  <si>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</si>
  <si>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</si>
  <si>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</si>
  <si>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</si>
  <si>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</si>
  <si>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</si>
  <si>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</si>
  <si>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</si>
  <si>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</si>
  <si>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</si>
  <si>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</si>
  <si>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</si>
  <si>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</si>
  <si>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</si>
  <si>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</si>
  <si>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</si>
  <si>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</si>
  <si>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</si>
  <si>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</si>
  <si>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</si>
  <si>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</si>
  <si>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</si>
  <si>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</si>
  <si>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</si>
  <si>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</si>
  <si>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</si>
  <si>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</si>
  <si>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</si>
  <si>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</si>
  <si>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</si>
  <si>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</si>
  <si>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</si>
  <si>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</si>
  <si>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</si>
  <si>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</si>
  <si>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</si>
  <si>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</si>
  <si>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</si>
  <si>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</si>
  <si>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</si>
  <si>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</si>
  <si>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</si>
  <si>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</si>
  <si>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</si>
  <si>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</si>
  <si>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</si>
  <si>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</si>
  <si>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</si>
  <si>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</si>
  <si>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</si>
  <si>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</si>
  <si>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</si>
  <si>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</si>
  <si>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</si>
  <si>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</si>
  <si>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</si>
  <si>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</si>
  <si>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</si>
  <si>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</si>
  <si>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</si>
  <si>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</si>
  <si>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</si>
  <si>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</si>
  <si>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</si>
  <si>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</si>
  <si>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</si>
  <si>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</si>
  <si>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</si>
  <si>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</si>
  <si>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</si>
  <si>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</si>
  <si>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</si>
  <si>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</si>
  <si>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</si>
  <si>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</si>
  <si>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</si>
  <si>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</si>
  <si>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</si>
  <si>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</si>
  <si>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</si>
  <si>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</si>
  <si>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</si>
  <si>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</si>
  <si>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</si>
  <si>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</si>
  <si>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</si>
  <si>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</si>
  <si>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</si>
  <si>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</si>
  <si>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</si>
  <si>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</si>
  <si>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</si>
  <si>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</si>
  <si>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</si>
  <si>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</si>
  <si>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</si>
  <si>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</si>
  <si>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</si>
  <si>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</si>
  <si>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</si>
  <si>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</si>
  <si>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</si>
  <si>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</si>
  <si>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</si>
  <si>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</si>
  <si>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</si>
  <si>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</si>
  <si>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</si>
  <si>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</si>
  <si>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</si>
  <si>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</si>
  <si>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</si>
  <si>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</si>
  <si>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</si>
  <si>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</si>
  <si>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</si>
  <si>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</si>
  <si>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</si>
  <si>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</si>
  <si>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</si>
  <si>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</si>
  <si>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</si>
  <si>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</si>
  <si>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</si>
  <si>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</si>
  <si>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</si>
  <si>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</si>
  <si>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</si>
  <si>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</si>
  <si>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</si>
  <si>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</si>
  <si>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</si>
  <si>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</si>
  <si>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</si>
  <si>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</si>
  <si>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</si>
  <si>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</si>
  <si>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</si>
  <si>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</si>
  <si>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</si>
  <si>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</si>
  <si>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</si>
  <si>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</si>
  <si>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</si>
  <si>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</si>
  <si>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</si>
  <si>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</si>
  <si>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</si>
  <si>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</si>
  <si>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</si>
  <si>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</si>
  <si>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</si>
  <si>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</si>
  <si>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</si>
  <si>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</si>
  <si>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</si>
  <si>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</si>
  <si>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</si>
  <si>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</si>
  <si>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</si>
  <si>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</si>
  <si>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</si>
  <si>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</si>
  <si>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</si>
  <si>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</si>
  <si>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</si>
  <si>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</si>
  <si>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</si>
  <si>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</si>
  <si>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</si>
  <si>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</si>
  <si>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</si>
  <si>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</si>
  <si>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</si>
  <si>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</si>
  <si>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</si>
  <si>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</si>
  <si>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</si>
  <si>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</si>
  <si>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</si>
  <si>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</si>
  <si>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</si>
  <si>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</si>
  <si>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</si>
  <si>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</si>
  <si>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</si>
  <si>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</si>
  <si>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</si>
  <si>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</si>
  <si>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</si>
  <si>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</si>
  <si>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</si>
  <si>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</si>
  <si>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</si>
  <si>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</si>
  <si>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</si>
  <si>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</si>
  <si>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</si>
  <si>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</si>
  <si>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</si>
  <si>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</si>
  <si>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</si>
  <si>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</si>
  <si>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</si>
  <si>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</si>
  <si>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</si>
  <si>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</si>
  <si>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</si>
  <si>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</si>
  <si>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</si>
  <si>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</si>
  <si>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</si>
  <si>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</si>
  <si>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</si>
  <si>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</si>
  <si>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</si>
  <si>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</si>
  <si>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</si>
  <si>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</si>
  <si>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</si>
  <si>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</si>
  <si>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</si>
  <si>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</si>
  <si>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</si>
  <si>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</si>
  <si>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</si>
  <si>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</si>
  <si>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</si>
  <si>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</si>
  <si>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</si>
  <si>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</si>
  <si>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</si>
  <si>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</si>
  <si>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</si>
  <si>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</si>
  <si>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</si>
  <si>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</si>
  <si>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</si>
  <si>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</si>
  <si>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</si>
  <si>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</si>
  <si>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</si>
  <si>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</si>
  <si>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</si>
  <si>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</si>
  <si>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</si>
  <si>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</si>
  <si>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</si>
  <si>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</si>
  <si>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</si>
  <si>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</si>
  <si>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</si>
  <si>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</si>
  <si>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</si>
  <si>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</si>
  <si>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</si>
  <si>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</si>
  <si>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</si>
  <si>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</si>
  <si>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</si>
  <si>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</si>
  <si>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</si>
  <si>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</si>
  <si>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</si>
  <si>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</si>
  <si>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</si>
  <si>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</si>
  <si>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</si>
  <si>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</si>
  <si>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</si>
  <si>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</si>
  <si>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</si>
  <si>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</si>
  <si>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</si>
  <si>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</si>
  <si>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</si>
  <si>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</si>
  <si>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</si>
  <si>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</si>
  <si>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</si>
  <si>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</si>
  <si>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</si>
  <si>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</si>
  <si>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</si>
  <si>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</si>
  <si>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</si>
  <si>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</si>
  <si>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</si>
  <si>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</si>
  <si>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</si>
  <si>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</si>
  <si>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</si>
  <si>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</si>
  <si>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</si>
  <si>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</si>
  <si>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</si>
  <si>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</si>
  <si>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</si>
  <si>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</si>
  <si>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</si>
  <si>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</si>
  <si>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</si>
  <si>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</si>
  <si>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</si>
  <si>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</si>
  <si>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</si>
  <si>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</si>
  <si>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</si>
  <si>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</si>
  <si>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</si>
  <si>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</si>
  <si>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</si>
  <si>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</si>
  <si>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</si>
  <si>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</si>
  <si>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</si>
  <si>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</si>
  <si>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</si>
  <si>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</si>
  <si>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</si>
  <si>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</si>
  <si>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</si>
  <si>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</si>
  <si>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</si>
  <si>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</si>
  <si>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</si>
  <si>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</si>
  <si>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</si>
  <si>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</si>
  <si>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</si>
  <si>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</si>
  <si>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</si>
  <si>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</si>
  <si>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</si>
  <si>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</si>
  <si>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</si>
  <si>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</si>
  <si>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</si>
  <si>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</si>
  <si>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</si>
  <si>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</si>
  <si>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</si>
  <si>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</si>
  <si>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</si>
  <si>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</si>
  <si>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</si>
  <si>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</si>
  <si>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</si>
  <si>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</si>
  <si>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</si>
  <si>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</si>
  <si>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</si>
  <si>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</si>
  <si>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</si>
  <si>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</si>
  <si>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</si>
  <si>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</si>
  <si>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</si>
  <si>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</si>
  <si>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</si>
  <si>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</si>
  <si>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</si>
  <si>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</si>
  <si>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</si>
  <si>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</si>
  <si>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</si>
  <si>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</si>
  <si>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</si>
  <si>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</si>
  <si>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</si>
  <si>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</si>
  <si>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</si>
  <si>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</si>
  <si>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</si>
  <si>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</si>
  <si>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</si>
  <si>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</si>
  <si>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</si>
  <si>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</si>
  <si>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</si>
  <si>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</si>
  <si>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</si>
  <si>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</si>
  <si>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</si>
  <si>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</si>
  <si>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</si>
  <si>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</si>
  <si>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</si>
  <si>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</si>
  <si>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</si>
  <si>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</si>
  <si>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</si>
  <si>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</si>
  <si>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</si>
  <si>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</si>
  <si>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</si>
  <si>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</si>
  <si>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</si>
  <si>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</si>
  <si>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</si>
  <si>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</si>
  <si>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</si>
  <si>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</si>
  <si>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</si>
  <si>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</si>
  <si>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</si>
  <si>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</si>
  <si>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</si>
  <si>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</si>
  <si>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</si>
  <si>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</si>
  <si>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</si>
  <si>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</si>
  <si>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</si>
  <si>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</si>
  <si>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</si>
  <si>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</si>
  <si>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</si>
  <si>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</si>
  <si>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</si>
  <si>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</si>
  <si>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</si>
  <si>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</si>
  <si>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</si>
  <si>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</si>
  <si>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</si>
  <si>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</si>
  <si>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</si>
  <si>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</si>
  <si>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</si>
  <si>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</si>
  <si>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</si>
  <si>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</si>
  <si>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</si>
  <si>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</si>
  <si>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</si>
  <si>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</si>
  <si>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</si>
  <si>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</si>
  <si>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</si>
  <si>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</si>
  <si>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</si>
  <si>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</si>
  <si>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</si>
  <si>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</si>
  <si>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</si>
  <si>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</si>
  <si>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</si>
  <si>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</si>
  <si>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</si>
  <si>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</si>
  <si>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</si>
  <si>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</si>
  <si>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</si>
  <si>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</si>
  <si>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</si>
  <si>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</si>
  <si>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</si>
  <si>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</si>
  <si>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</si>
  <si>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</si>
  <si>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</si>
  <si>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</si>
  <si>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</si>
  <si>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</si>
  <si>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</si>
  <si>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</si>
  <si>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</si>
  <si>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</si>
  <si>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</si>
  <si>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</si>
  <si>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</si>
  <si>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</si>
  <si>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</si>
  <si>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</si>
  <si>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</si>
  <si>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</si>
  <si>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</si>
  <si>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</si>
  <si>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</si>
  <si>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</si>
  <si>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</si>
  <si>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</si>
  <si>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</si>
  <si>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</si>
  <si>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</si>
  <si>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</si>
  <si>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</si>
  <si>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</si>
  <si>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</si>
  <si>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</si>
  <si>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</si>
  <si>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</si>
  <si>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</si>
  <si>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</si>
  <si>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</si>
  <si>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</si>
  <si>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</si>
  <si>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</si>
  <si>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</si>
  <si>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</si>
  <si>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</si>
  <si>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</si>
  <si>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</si>
  <si>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</si>
  <si>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</si>
  <si>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</si>
  <si>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</si>
  <si>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</si>
  <si>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</si>
  <si>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</si>
  <si>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</si>
  <si>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</si>
  <si>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</si>
  <si>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</si>
  <si>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</si>
  <si>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</si>
  <si>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</si>
  <si>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</si>
  <si>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</si>
  <si>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</si>
  <si>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</si>
  <si>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</si>
  <si>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</si>
  <si>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</si>
  <si>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</si>
  <si>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</si>
  <si>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</si>
  <si>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</si>
  <si>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</si>
  <si>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</si>
  <si>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</si>
  <si>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</si>
  <si>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</si>
  <si>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</si>
  <si>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</si>
  <si>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</si>
  <si>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</si>
  <si>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</si>
  <si>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</si>
  <si>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order month</t>
  </si>
  <si>
    <t>order year</t>
  </si>
  <si>
    <t>profit_margin</t>
  </si>
  <si>
    <t>profit status</t>
  </si>
  <si>
    <t>discount level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</si>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</sst>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 super store.xlsx]Sales by Category!PivotTable3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158615.70509999996</c:v>
                </c:pt>
                <c:pt idx="1">
                  <c:v>152263.54500000004</c:v>
                </c:pt>
                <c:pt idx="2">
                  <c:v>173243.47099999999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6-4D99-A667-758D189B77CC}"/>
            </c:ext>
          </c:extLst>
        </c:ser>
        <c:ser>
          <c:idx val="1"/>
          <c:order val="1"/>
          <c:tx>
            <c:strRef>
              <c:f>'Sales by Category'!$C$3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Category'!$C$4:$C$7</c:f>
              <c:numCache>
                <c:formatCode>General</c:formatCode>
                <c:ptCount val="3"/>
                <c:pt idx="0">
                  <c:v>5561.5947000000033</c:v>
                </c:pt>
                <c:pt idx="1">
                  <c:v>23515.10559999997</c:v>
                </c:pt>
                <c:pt idx="2">
                  <c:v>21049.087799999998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6-4D99-A667-758D189B7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255295"/>
        <c:axId val="639709359"/>
      </c:barChart>
      <c:catAx>
        <c:axId val="42325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709359"/>
        <c:crosses val="autoZero"/>
        <c:auto val="1"/>
        <c:lblAlgn val="ctr"/>
        <c:lblOffset val="100"/>
        <c:noMultiLvlLbl val="0"/>
      </c:catAx>
      <c:valAx>
        <c:axId val="63970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5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 super store.xlsx]Sales &amp; Profit by Region!PivotTable1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 by Region'!$B$3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&amp; 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&amp; Profit by Region'!$B$4:$B$8</c:f>
              <c:numCache>
                <c:formatCode>General</c:formatCode>
                <c:ptCount val="4"/>
                <c:pt idx="0">
                  <c:v>102899.86060000006</c:v>
                </c:pt>
                <c:pt idx="1">
                  <c:v>129410.51500000001</c:v>
                </c:pt>
                <c:pt idx="2">
                  <c:v>103806.71550000002</c:v>
                </c:pt>
                <c:pt idx="3">
                  <c:v>148005.62999999995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5-4B8F-A157-50D9FB003989}"/>
            </c:ext>
          </c:extLst>
        </c:ser>
        <c:ser>
          <c:idx val="1"/>
          <c:order val="1"/>
          <c:tx>
            <c:strRef>
              <c:f>'Sales &amp; Profit by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&amp; 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&amp; Profit by Region'!$C$4:$C$8</c:f>
              <c:numCache>
                <c:formatCode>General</c:formatCode>
                <c:ptCount val="4"/>
                <c:pt idx="0">
                  <c:v>428.42199999999298</c:v>
                </c:pt>
                <c:pt idx="1">
                  <c:v>17730.406899999998</c:v>
                </c:pt>
                <c:pt idx="2">
                  <c:v>11887.923799999999</c:v>
                </c:pt>
                <c:pt idx="3">
                  <c:v>20079.035399999975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5-4B8F-A157-50D9FB003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642703"/>
        <c:axId val="874411375"/>
      </c:barChart>
      <c:catAx>
        <c:axId val="108164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11375"/>
        <c:crosses val="autoZero"/>
        <c:auto val="1"/>
        <c:lblAlgn val="ctr"/>
        <c:lblOffset val="100"/>
        <c:noMultiLvlLbl val="0"/>
      </c:catAx>
      <c:valAx>
        <c:axId val="87441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4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 super store.xlsx]Monthly Sales Trend!PivotTable2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Sales Trend'!$A$4:$A$40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'Monthly Sales Trend'!$B$4:$B$40</c:f>
              <c:numCache>
                <c:formatCode>General</c:formatCode>
                <c:ptCount val="12"/>
                <c:pt idx="0">
                  <c:v>14518.054999999995</c:v>
                </c:pt>
                <c:pt idx="1">
                  <c:v>4519.8919999999989</c:v>
                </c:pt>
                <c:pt idx="2">
                  <c:v>56933.909</c:v>
                </c:pt>
                <c:pt idx="3">
                  <c:v>28295.344999999987</c:v>
                </c:pt>
                <c:pt idx="4">
                  <c:v>26319.766999999985</c:v>
                </c:pt>
                <c:pt idx="5">
                  <c:v>34669.479600000013</c:v>
                </c:pt>
                <c:pt idx="6">
                  <c:v>33946.392999999989</c:v>
                </c:pt>
                <c:pt idx="7">
                  <c:v>28918.338499999976</c:v>
                </c:pt>
                <c:pt idx="8">
                  <c:v>82670.428799999965</c:v>
                </c:pt>
                <c:pt idx="9">
                  <c:v>32413.339000000004</c:v>
                </c:pt>
                <c:pt idx="10">
                  <c:v>78826.95670000001</c:v>
                </c:pt>
                <c:pt idx="11">
                  <c:v>62090.817500000012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1-4D9A-940F-E7BB7AE69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696223"/>
        <c:axId val="874307215"/>
      </c:barChart>
      <c:catAx>
        <c:axId val="108769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07215"/>
        <c:crosses val="autoZero"/>
        <c:auto val="1"/>
        <c:lblAlgn val="ctr"/>
        <c:lblOffset val="100"/>
        <c:noMultiLvlLbl val="0"/>
      </c:catAx>
      <c:valAx>
        <c:axId val="8743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9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 super store.xlsx]Profit by Sub-Category,!PivotTable3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Sub-Category,'!$B$3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Sub-Category,'!$A$4:$A$21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'Profit by Sub-Category,'!$B$4:$B$21</c:f>
              <c:numCache>
                <c:formatCode>General</c:formatCode>
                <c:ptCount val="17"/>
                <c:pt idx="0">
                  <c:v>5535.7886999999992</c:v>
                </c:pt>
                <c:pt idx="1">
                  <c:v>2528.7162999999991</c:v>
                </c:pt>
                <c:pt idx="2">
                  <c:v>1419.1905000000004</c:v>
                </c:pt>
                <c:pt idx="3">
                  <c:v>5649.9867999999969</c:v>
                </c:pt>
                <c:pt idx="4">
                  <c:v>-621.5075000000005</c:v>
                </c:pt>
                <c:pt idx="5">
                  <c:v>6993.7566000000043</c:v>
                </c:pt>
                <c:pt idx="6">
                  <c:v>3380.9332999999997</c:v>
                </c:pt>
                <c:pt idx="7">
                  <c:v>1472.8036999999995</c:v>
                </c:pt>
                <c:pt idx="8">
                  <c:v>193.52829999999992</c:v>
                </c:pt>
                <c:pt idx="9">
                  <c:v>2207.6914999999995</c:v>
                </c:pt>
                <c:pt idx="10">
                  <c:v>1106.5159999999996</c:v>
                </c:pt>
                <c:pt idx="11">
                  <c:v>119.79689999999437</c:v>
                </c:pt>
                <c:pt idx="12">
                  <c:v>6480.0403999999962</c:v>
                </c:pt>
                <c:pt idx="13">
                  <c:v>12012.568900000004</c:v>
                </c:pt>
                <c:pt idx="14">
                  <c:v>4180.8869999999988</c:v>
                </c:pt>
                <c:pt idx="15">
                  <c:v>483.43659999999971</c:v>
                </c:pt>
                <c:pt idx="16">
                  <c:v>-3018.3459000000007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8-4B55-9AEA-B981E6604135}"/>
            </c:ext>
          </c:extLst>
        </c:ser>
        <c:ser>
          <c:idx val="1"/>
          <c:order val="1"/>
          <c:tx>
            <c:strRef>
              <c:f>'Profit by Sub-Category,'!$C$3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by Sub-Category,'!$A$4:$A$21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'Profit by Sub-Category,'!$C$4:$C$21</c:f>
              <c:numCache>
                <c:formatCode>General</c:formatCode>
                <c:ptCount val="17"/>
                <c:pt idx="0">
                  <c:v>22934.449999999997</c:v>
                </c:pt>
                <c:pt idx="1">
                  <c:v>15517.924999999999</c:v>
                </c:pt>
                <c:pt idx="2">
                  <c:v>6115.0059999999976</c:v>
                </c:pt>
                <c:pt idx="3">
                  <c:v>43853.174000000006</c:v>
                </c:pt>
                <c:pt idx="4">
                  <c:v>18121.229599999999</c:v>
                </c:pt>
                <c:pt idx="5">
                  <c:v>79376.59600000002</c:v>
                </c:pt>
                <c:pt idx="6">
                  <c:v>12049.762000000001</c:v>
                </c:pt>
                <c:pt idx="7">
                  <c:v>3793.1980000000003</c:v>
                </c:pt>
                <c:pt idx="8">
                  <c:v>693.50800000000004</c:v>
                </c:pt>
                <c:pt idx="9">
                  <c:v>14626.098</c:v>
                </c:pt>
                <c:pt idx="10">
                  <c:v>2458.9240000000004</c:v>
                </c:pt>
                <c:pt idx="11">
                  <c:v>61598.620999999999</c:v>
                </c:pt>
                <c:pt idx="12">
                  <c:v>15090.018</c:v>
                </c:pt>
                <c:pt idx="13">
                  <c:v>76660.637999999992</c:v>
                </c:pt>
                <c:pt idx="14">
                  <c:v>50373.161999999975</c:v>
                </c:pt>
                <c:pt idx="15">
                  <c:v>14368.629999999994</c:v>
                </c:pt>
                <c:pt idx="16">
                  <c:v>46491.781499999997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98-4B55-9AEA-B981E6604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138399"/>
        <c:axId val="874309615"/>
      </c:barChart>
      <c:catAx>
        <c:axId val="108913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09615"/>
        <c:crosses val="autoZero"/>
        <c:auto val="1"/>
        <c:lblAlgn val="ctr"/>
        <c:lblOffset val="100"/>
        <c:noMultiLvlLbl val="0"/>
      </c:catAx>
      <c:valAx>
        <c:axId val="8743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13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 super store.xlsx]Segment Performance!PivotTable4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Performance'!$B$3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Performance'!$A$4:$A$7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Performance'!$B$4:$B$7</c:f>
              <c:numCache>
                <c:formatCode>General</c:formatCode>
                <c:ptCount val="3"/>
                <c:pt idx="0">
                  <c:v>267377.08860000013</c:v>
                </c:pt>
                <c:pt idx="1">
                  <c:v>125706.04870000001</c:v>
                </c:pt>
                <c:pt idx="2">
                  <c:v>91039.583800000008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5-48A2-8A5C-AC56424B6076}"/>
            </c:ext>
          </c:extLst>
        </c:ser>
        <c:ser>
          <c:idx val="1"/>
          <c:order val="1"/>
          <c:tx>
            <c:strRef>
              <c:f>'Segment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Performance'!$A$4:$A$7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Performance'!$C$4:$C$7</c:f>
              <c:numCache>
                <c:formatCode>General</c:formatCode>
                <c:ptCount val="3"/>
                <c:pt idx="0">
                  <c:v>24897.317399999985</c:v>
                </c:pt>
                <c:pt idx="1">
                  <c:v>13818.903899999998</c:v>
                </c:pt>
                <c:pt idx="2">
                  <c:v>11409.566799999984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B5-48A2-8A5C-AC56424B6076}"/>
            </c:ext>
          </c:extLst>
        </c:ser>
        <c:ser>
          <c:idx val="2"/>
          <c:order val="2"/>
          <c:tx>
            <c:strRef>
              <c:f>'Segment Performance'!$D$3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'Segment Performance'!$A$4:$A$7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Performance'!$D$4:$D$7</c:f>
              <c:numCache>
                <c:formatCode>General</c:formatCode>
                <c:ptCount val="3"/>
                <c:pt idx="0">
                  <c:v>4053</c:v>
                </c:pt>
                <c:pt idx="1">
                  <c:v>2327</c:v>
                </c:pt>
                <c:pt idx="2">
                  <c:v>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B5-48A2-8A5C-AC56424B6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010271"/>
        <c:axId val="874317775"/>
      </c:barChart>
      <c:catAx>
        <c:axId val="114401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17775"/>
        <c:crosses val="autoZero"/>
        <c:auto val="1"/>
        <c:lblAlgn val="ctr"/>
        <c:lblOffset val="100"/>
        <c:noMultiLvlLbl val="0"/>
      </c:catAx>
      <c:valAx>
        <c:axId val="87431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01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5</xdr:row>
      <xdr:rowOff>107950</xdr:rowOff>
    </xdr:from>
    <xdr:to>
      <xdr:col>11</xdr:col>
      <xdr:colOff>31750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CE9DD-A5BB-70D8-ACA2-CF1CDD991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174625</xdr:colOff>
      <xdr:row>1</xdr:row>
      <xdr:rowOff>6350</xdr:rowOff>
    </xdr:from>
    <xdr:to>
      <xdr:col>11</xdr:col>
      <xdr:colOff>479425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95954-C883-3DEF-D550-44EDB178D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D8609-F1FC-06CA-BFC6-4C52A53C6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2</xdr:row>
      <xdr:rowOff>114300</xdr:rowOff>
    </xdr:from>
    <xdr:to>
      <xdr:col>11</xdr:col>
      <xdr:colOff>527050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2C149-6971-3A7F-B575-9C6A460BF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59B58-4CCC-2EF2-EA09-8006A36D3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7.748818171298" createdVersion="8" refreshedVersion="8" minRefreshableVersion="3" recordCount="1999" xr:uid="{8223AF94-39E6-4F55-BA7E-2AB3A449B69C}">
  <cacheSource type="worksheet">
    <worksheetSource name="Table1"/>
  </cacheSource>
  <cacheFields count="28">
    <cacheField name="Row ID" numFmtId="0">
      <sharedItems containsSemiMixedTypes="0" containsString="0" containsNumber="1" containsInteger="1" minValue="1" maxValue="1999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3-12-29T00:00:00" count="303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</sharedItems>
      <fieldGroup par="27"/>
    </cacheField>
    <cacheField name="Ship Date" numFmtId="14">
      <sharedItems containsSemiMixedTypes="0" containsNonDate="0" containsDate="1" containsString="0" minDate="2023-01-07T00:00:00" maxDate="2024-01-04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841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85200000000000009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701.8928000000014" maxValue="4630.4755000000005"/>
    </cacheField>
    <cacheField name="order year" numFmtId="0">
      <sharedItems containsSemiMixedTypes="0" containsString="0" containsNumber="1" containsInteger="1" minValue="2023" maxValue="2023" count="1">
        <n v="2023"/>
      </sharedItems>
    </cacheField>
    <cacheField name="order 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fit_margin" numFmtId="0">
      <sharedItems containsSemiMixedTypes="0" containsString="0" containsNumber="1" minValue="-462.73660000000018" maxValue="997.995"/>
    </cacheField>
    <cacheField name="profit status" numFmtId="0">
      <sharedItems/>
    </cacheField>
    <cacheField name="discount level" numFmtId="0">
      <sharedItems/>
    </cacheField>
    <cacheField name="Days (Order Date)" numFmtId="0" databaseField="0">
      <fieldGroup base="2">
        <rangePr groupBy="days" startDate="2023-01-03T00:00:00" endDate="2023-12-29T00:00:00"/>
        <groupItems count="368">
          <s v="&lt;03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12-2023"/>
        </groupItems>
      </fieldGroup>
    </cacheField>
    <cacheField name="Months (Order Date)" numFmtId="0" databaseField="0">
      <fieldGroup base="2">
        <rangePr groupBy="months" startDate="2023-01-03T00:00:00" endDate="2023-12-29T00:00:00"/>
        <groupItems count="14">
          <s v="&lt;03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n v="1"/>
    <s v="US-2023-103800"/>
    <x v="0"/>
    <d v="2023-01-07T00:00:00"/>
    <s v="Standard Class"/>
    <s v="DP-13000"/>
    <s v="Darren Powers"/>
    <x v="0"/>
    <s v="United States"/>
    <s v="Houston"/>
    <s v="Texas"/>
    <n v="77095"/>
    <x v="0"/>
    <s v="OFF-PA-10000174"/>
    <x v="0"/>
    <x v="0"/>
    <s v="Message Book, Wirebound, Four 5 1/2&quot; X 4&quot; Forms/Pg., 200 Dupl. Sets/Book"/>
    <n v="16.448"/>
    <n v="2"/>
    <n v="0.2"/>
    <n v="5.5511999999999979"/>
    <x v="0"/>
    <x v="0"/>
    <n v="2.775599999999999"/>
    <s v="Profit"/>
    <s v="Low"/>
  </r>
  <r>
    <n v="2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BI-10004094"/>
    <x v="0"/>
    <x v="1"/>
    <s v="GBC Standard Plastic Binding Systems Combs"/>
    <n v="3.5399999999999991"/>
    <n v="2"/>
    <n v="0.8"/>
    <n v="-5.4870000000000001"/>
    <x v="0"/>
    <x v="0"/>
    <n v="-2.7435"/>
    <s v="Loss"/>
    <s v="High"/>
  </r>
  <r>
    <n v="3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LA-10003223"/>
    <x v="0"/>
    <x v="2"/>
    <s v="Avery 508"/>
    <n v="11.784000000000001"/>
    <n v="3"/>
    <n v="0.2"/>
    <n v="4.2716999999999992"/>
    <x v="0"/>
    <x v="0"/>
    <n v="1.4238999999999997"/>
    <s v="Profit"/>
    <s v="Low"/>
  </r>
  <r>
    <n v="4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ST-10002743"/>
    <x v="0"/>
    <x v="3"/>
    <s v="SAFCO Boltless Steel Shelving"/>
    <n v="272.73599999999999"/>
    <n v="3"/>
    <n v="0.2"/>
    <n v="-64.774800000000013"/>
    <x v="0"/>
    <x v="0"/>
    <n v="-21.591600000000003"/>
    <s v="Loss"/>
    <s v="Low"/>
  </r>
  <r>
    <n v="5"/>
    <s v="US-2023-141817"/>
    <x v="2"/>
    <d v="2023-01-12T00:00:00"/>
    <s v="Standard Class"/>
    <s v="MB-18085"/>
    <s v="Mick Brown"/>
    <x v="0"/>
    <s v="United States"/>
    <s v="Philadelphia"/>
    <s v="Pennsylvania"/>
    <n v="19143"/>
    <x v="1"/>
    <s v="OFF-AR-10003478"/>
    <x v="0"/>
    <x v="4"/>
    <s v="Avery Hi-Liter EverBold Pen Style Fluorescent Highlighters, 4/Pack"/>
    <n v="19.536000000000001"/>
    <n v="3"/>
    <n v="0.2"/>
    <n v="4.8840000000000003"/>
    <x v="0"/>
    <x v="0"/>
    <n v="1.6280000000000001"/>
    <s v="Profit"/>
    <s v="Low"/>
  </r>
  <r>
    <n v="6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FUR-CH-10004063"/>
    <x v="1"/>
    <x v="5"/>
    <s v="Global Deluxe High-Back Manager's Chair"/>
    <n v="2573.8200000000002"/>
    <n v="9"/>
    <n v="0"/>
    <n v="746.40779999999972"/>
    <x v="0"/>
    <x v="0"/>
    <n v="82.934199999999976"/>
    <s v="Profit"/>
    <s v="No Discount"/>
  </r>
  <r>
    <n v="7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AR-10001662"/>
    <x v="0"/>
    <x v="4"/>
    <s v="Rogers Handheld Barrel Pencil Sharpener"/>
    <n v="5.48"/>
    <n v="2"/>
    <n v="0"/>
    <n v="1.4796000000000005"/>
    <x v="0"/>
    <x v="0"/>
    <n v="0.73980000000000024"/>
    <s v="Profit"/>
    <s v="No Discount"/>
  </r>
  <r>
    <n v="8"/>
    <s v="US-2023-106054"/>
    <x v="3"/>
    <d v="2023-01-07T00:00:00"/>
    <s v="First Class"/>
    <s v="JO-15145"/>
    <s v="Jack O'Briant"/>
    <x v="2"/>
    <s v="United States"/>
    <s v="Athens"/>
    <s v="Georgia"/>
    <n v="30605"/>
    <x v="2"/>
    <s v="OFF-AR-10002399"/>
    <x v="0"/>
    <x v="4"/>
    <s v="Dixon Prang Watercolor Pencils, 10-Color Set with Brush"/>
    <n v="12.78"/>
    <n v="3"/>
    <n v="0"/>
    <n v="5.2397999999999998"/>
    <x v="0"/>
    <x v="0"/>
    <n v="1.7465999999999999"/>
    <s v="Profit"/>
    <s v="No Discount"/>
  </r>
  <r>
    <n v="9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BI-10004632"/>
    <x v="0"/>
    <x v="1"/>
    <s v="Ibico Hi-Tech Manual Binding System"/>
    <n v="609.98"/>
    <n v="2"/>
    <n v="0"/>
    <n v="274.49099999999999"/>
    <x v="0"/>
    <x v="0"/>
    <n v="137.24549999999999"/>
    <s v="Profit"/>
    <s v="No Discount"/>
  </r>
  <r>
    <n v="10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FA-10001883"/>
    <x v="0"/>
    <x v="6"/>
    <s v="Alliance Super-Size Bands, Assorted Sizes"/>
    <n v="31.12"/>
    <n v="4"/>
    <n v="0"/>
    <n v="0.31119999999999948"/>
    <x v="0"/>
    <x v="0"/>
    <n v="7.7799999999999869E-2"/>
    <s v="Profit"/>
    <s v="No Discount"/>
  </r>
  <r>
    <n v="11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PA-10000955"/>
    <x v="0"/>
    <x v="0"/>
    <s v="Southworth 25% Cotton Granite Paper &amp; Envelopes"/>
    <n v="6.54"/>
    <n v="1"/>
    <n v="0"/>
    <n v="3.0084"/>
    <x v="0"/>
    <x v="0"/>
    <n v="3.0084"/>
    <s v="Profit"/>
    <s v="No Discount"/>
  </r>
  <r>
    <n v="12"/>
    <s v="US-2023-130813"/>
    <x v="3"/>
    <d v="2023-01-08T00:00:00"/>
    <s v="Second Class"/>
    <s v="LS-17230"/>
    <s v="Lycoris Saunders"/>
    <x v="0"/>
    <s v="United States"/>
    <s v="Los Angeles"/>
    <s v="California"/>
    <n v="90049"/>
    <x v="3"/>
    <s v="OFF-PA-10002005"/>
    <x v="0"/>
    <x v="0"/>
    <s v="Xerox 225"/>
    <n v="19.440000000000001"/>
    <n v="3"/>
    <n v="0"/>
    <n v="9.3312000000000008"/>
    <x v="0"/>
    <x v="0"/>
    <n v="3.1104000000000003"/>
    <s v="Profit"/>
    <s v="No Discount"/>
  </r>
  <r>
    <n v="13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TEC-PH-10004539"/>
    <x v="2"/>
    <x v="7"/>
    <s v="Wireless Extenders zBoost YX545 SOHO Signal Booster"/>
    <n v="755.96"/>
    <n v="4"/>
    <n v="0"/>
    <n v="204.10919999999999"/>
    <x v="0"/>
    <x v="0"/>
    <n v="51.027299999999997"/>
    <s v="Profit"/>
    <s v="No Discount"/>
  </r>
  <r>
    <n v="14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TEC-PH-10004977"/>
    <x v="2"/>
    <x v="7"/>
    <s v="GE 30524EE4"/>
    <n v="391.98"/>
    <n v="2"/>
    <n v="0"/>
    <n v="113.67419999999998"/>
    <x v="0"/>
    <x v="0"/>
    <n v="56.837099999999992"/>
    <s v="Profit"/>
    <s v="No Discount"/>
  </r>
  <r>
    <n v="15"/>
    <s v="US-2023-105417"/>
    <x v="4"/>
    <d v="2023-01-12T00:00:00"/>
    <s v="Standard Class"/>
    <s v="VS-21820"/>
    <s v="Vivek Sundaresam"/>
    <x v="0"/>
    <s v="United States"/>
    <s v="Huntsville"/>
    <s v="Texas"/>
    <n v="77340"/>
    <x v="0"/>
    <s v="FUR-FU-10004864"/>
    <x v="1"/>
    <x v="8"/>
    <s v="Howard Miller 14-1/2&quot; Diameter Chrome Round Wall Clock"/>
    <n v="76.728000000000009"/>
    <n v="3"/>
    <n v="0.6"/>
    <n v="-53.709599999999988"/>
    <x v="0"/>
    <x v="0"/>
    <n v="-17.903199999999995"/>
    <s v="Loss"/>
    <s v="High"/>
  </r>
  <r>
    <n v="16"/>
    <s v="US-2023-105417"/>
    <x v="4"/>
    <d v="2023-01-12T00:00:00"/>
    <s v="Standard Class"/>
    <s v="VS-21820"/>
    <s v="Vivek Sundaresam"/>
    <x v="0"/>
    <s v="United States"/>
    <s v="Huntsville"/>
    <s v="Texas"/>
    <n v="77340"/>
    <x v="0"/>
    <s v="OFF-BI-10003708"/>
    <x v="0"/>
    <x v="1"/>
    <s v="Acco Four Pocket Poly Ring Binder with Label Holder, Smoke, 1&quot;"/>
    <n v="10.429999999999998"/>
    <n v="7"/>
    <n v="0.8"/>
    <n v="-18.252500000000005"/>
    <x v="0"/>
    <x v="0"/>
    <n v="-2.6075000000000008"/>
    <s v="Loss"/>
    <s v="High"/>
  </r>
  <r>
    <n v="17"/>
    <s v="US-2023-135405"/>
    <x v="5"/>
    <d v="2023-01-13T00:00:00"/>
    <s v="Standard Class"/>
    <s v="MS-17830"/>
    <s v="Melanie Seite"/>
    <x v="0"/>
    <s v="United States"/>
    <s v="Laredo"/>
    <s v="Texas"/>
    <n v="78041"/>
    <x v="0"/>
    <s v="OFF-AR-10004078"/>
    <x v="0"/>
    <x v="4"/>
    <s v="Newell 312"/>
    <n v="9.3439999999999994"/>
    <n v="2"/>
    <n v="0.2"/>
    <n v="1.1679999999999997"/>
    <x v="0"/>
    <x v="0"/>
    <n v="0.58399999999999985"/>
    <s v="Profit"/>
    <s v="Low"/>
  </r>
  <r>
    <n v="18"/>
    <s v="US-2023-135405"/>
    <x v="5"/>
    <d v="2023-01-13T00:00:00"/>
    <s v="Standard Class"/>
    <s v="MS-17830"/>
    <s v="Melanie Seite"/>
    <x v="0"/>
    <s v="United States"/>
    <s v="Laredo"/>
    <s v="Texas"/>
    <n v="78041"/>
    <x v="0"/>
    <s v="TEC-AC-10001266"/>
    <x v="2"/>
    <x v="9"/>
    <s v="Memorex Micro Travel Drive 8 GB"/>
    <n v="31.200000000000003"/>
    <n v="3"/>
    <n v="0.2"/>
    <n v="9.7499999999999964"/>
    <x v="0"/>
    <x v="0"/>
    <n v="3.2499999999999987"/>
    <s v="Profit"/>
    <s v="Low"/>
  </r>
  <r>
    <n v="19"/>
    <s v="US-2023-149020"/>
    <x v="6"/>
    <d v="2023-01-15T00:00:00"/>
    <s v="Standard Class"/>
    <s v="AJ-10780"/>
    <s v="Anthony Jacobs"/>
    <x v="2"/>
    <s v="United States"/>
    <s v="Springfield"/>
    <s v="Virginia"/>
    <n v="22153"/>
    <x v="2"/>
    <s v="FUR-FU-10000965"/>
    <x v="1"/>
    <x v="8"/>
    <s v="Howard Miller 11-1/2&quot; Diameter Ridgewood Wall Clock"/>
    <n v="51.94"/>
    <n v="1"/>
    <n v="0"/>
    <n v="21.295400000000001"/>
    <x v="0"/>
    <x v="0"/>
    <n v="21.295400000000001"/>
    <s v="Profit"/>
    <s v="No Discount"/>
  </r>
  <r>
    <n v="20"/>
    <s v="US-2023-149020"/>
    <x v="6"/>
    <d v="2023-01-15T00:00:00"/>
    <s v="Standard Class"/>
    <s v="AJ-10780"/>
    <s v="Anthony Jacobs"/>
    <x v="2"/>
    <s v="United States"/>
    <s v="Springfield"/>
    <s v="Virginia"/>
    <n v="22153"/>
    <x v="2"/>
    <s v="OFF-LA-10004272"/>
    <x v="0"/>
    <x v="2"/>
    <s v="Avery 482"/>
    <n v="2.89"/>
    <n v="1"/>
    <n v="0"/>
    <n v="1.3583000000000001"/>
    <x v="0"/>
    <x v="0"/>
    <n v="1.3583000000000001"/>
    <s v="Profit"/>
    <s v="No Discount"/>
  </r>
  <r>
    <n v="21"/>
    <s v="US-2023-130092"/>
    <x v="7"/>
    <d v="2023-01-14T00:00:00"/>
    <s v="First Class"/>
    <s v="SV-20365"/>
    <s v="Seth Vernon"/>
    <x v="0"/>
    <s v="United States"/>
    <s v="Dover"/>
    <s v="Delaware"/>
    <n v="19901"/>
    <x v="1"/>
    <s v="FUR-FU-10000010"/>
    <x v="1"/>
    <x v="8"/>
    <s v="DAX Value U-Channel Document Frames, Easel Back"/>
    <n v="9.94"/>
    <n v="2"/>
    <n v="0"/>
    <n v="3.0813999999999995"/>
    <x v="0"/>
    <x v="0"/>
    <n v="1.5406999999999997"/>
    <s v="Profit"/>
    <s v="No Discount"/>
  </r>
  <r>
    <n v="22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FUR-BO-10003034"/>
    <x v="1"/>
    <x v="10"/>
    <s v="O'Sullivan Elevations Bookcase, Cherry Finish"/>
    <n v="333.99899999999997"/>
    <n v="3"/>
    <n v="0.15"/>
    <n v="3.9294000000000082"/>
    <x v="0"/>
    <x v="0"/>
    <n v="1.3098000000000027"/>
    <s v="Profit"/>
    <s v="Low"/>
  </r>
  <r>
    <n v="23"/>
    <s v="US-2023-109232"/>
    <x v="8"/>
    <d v="2023-01-16T00:00:00"/>
    <s v="Second Class"/>
    <s v="ND-18370"/>
    <s v="Natalie DeCherney"/>
    <x v="0"/>
    <s v="United States"/>
    <s v="Mount Pleasant"/>
    <s v="South Carolina"/>
    <n v="29464"/>
    <x v="2"/>
    <s v="FUR-CH-10000422"/>
    <x v="1"/>
    <x v="5"/>
    <s v="Global Highback Leather Tilter in Burgundy"/>
    <n v="545.93999999999994"/>
    <n v="6"/>
    <n v="0"/>
    <n v="87.350400000000036"/>
    <x v="0"/>
    <x v="0"/>
    <n v="14.558400000000006"/>
    <s v="Profit"/>
    <s v="No Discount"/>
  </r>
  <r>
    <n v="24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OFF-AR-10003514"/>
    <x v="0"/>
    <x v="4"/>
    <s v="4009 Highlighters by Sanford"/>
    <n v="19.899999999999999"/>
    <n v="5"/>
    <n v="0"/>
    <n v="6.5669999999999984"/>
    <x v="0"/>
    <x v="0"/>
    <n v="1.3133999999999997"/>
    <s v="Profit"/>
    <s v="No Discount"/>
  </r>
  <r>
    <n v="25"/>
    <s v="US-2023-118192"/>
    <x v="8"/>
    <d v="2023-01-18T00:00:00"/>
    <s v="Standard Class"/>
    <s v="MM-17920"/>
    <s v="Michael Moore"/>
    <x v="0"/>
    <s v="United States"/>
    <s v="Newark"/>
    <s v="Ohio"/>
    <n v="43055"/>
    <x v="1"/>
    <s v="OFF-BI-10003476"/>
    <x v="0"/>
    <x v="1"/>
    <s v="Avery Metallic Poly Binders"/>
    <n v="3.4380000000000006"/>
    <n v="2"/>
    <n v="0.7"/>
    <n v="-2.5212000000000003"/>
    <x v="0"/>
    <x v="0"/>
    <n v="-1.2606000000000002"/>
    <s v="Loss"/>
    <s v="High"/>
  </r>
  <r>
    <n v="26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BI-10004187"/>
    <x v="0"/>
    <x v="1"/>
    <s v="3-ring staple pack"/>
    <n v="5.64"/>
    <n v="3"/>
    <n v="0"/>
    <n v="2.7071999999999994"/>
    <x v="0"/>
    <x v="0"/>
    <n v="0.90239999999999976"/>
    <s v="Profit"/>
    <s v="No Discount"/>
  </r>
  <r>
    <n v="27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EN-10001532"/>
    <x v="0"/>
    <x v="11"/>
    <s v="Brown Kraft Recycled Envelopes"/>
    <n v="50.94"/>
    <n v="3"/>
    <n v="0"/>
    <n v="25.47"/>
    <x v="0"/>
    <x v="0"/>
    <n v="8.49"/>
    <s v="Profit"/>
    <s v="No Discount"/>
  </r>
  <r>
    <n v="28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EN-10001990"/>
    <x v="0"/>
    <x v="11"/>
    <s v="Staple envelope"/>
    <n v="11.36"/>
    <n v="2"/>
    <n v="0"/>
    <n v="5.3391999999999991"/>
    <x v="0"/>
    <x v="0"/>
    <n v="2.6695999999999995"/>
    <s v="Profit"/>
    <s v="No Discount"/>
  </r>
  <r>
    <n v="29"/>
    <s v="US-2023-118192"/>
    <x v="8"/>
    <d v="2023-01-18T00:00:00"/>
    <s v="Standard Class"/>
    <s v="MM-17920"/>
    <s v="Michael Moore"/>
    <x v="0"/>
    <s v="United States"/>
    <s v="Newark"/>
    <s v="Ohio"/>
    <n v="43055"/>
    <x v="1"/>
    <s v="OFF-PA-10002947"/>
    <x v="0"/>
    <x v="0"/>
    <s v="Xerox 1923"/>
    <n v="37.408000000000001"/>
    <n v="7"/>
    <n v="0.2"/>
    <n v="13.0928"/>
    <x v="0"/>
    <x v="0"/>
    <n v="1.8704000000000001"/>
    <s v="Profit"/>
    <s v="Low"/>
  </r>
  <r>
    <n v="30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ST-10000025"/>
    <x v="0"/>
    <x v="3"/>
    <s v="Fellowes Stor/Drawer Steel Plus Storage Drawers"/>
    <n v="572.58000000000004"/>
    <n v="6"/>
    <n v="0"/>
    <n v="34.354799999999955"/>
    <x v="0"/>
    <x v="0"/>
    <n v="5.7257999999999925"/>
    <s v="Profit"/>
    <s v="No Discount"/>
  </r>
  <r>
    <n v="31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OFF-ST-10000078"/>
    <x v="0"/>
    <x v="3"/>
    <s v="Tennsco 6- and 18-Compartment Lockers"/>
    <n v="1325.8500000000001"/>
    <n v="5"/>
    <n v="0"/>
    <n v="238.65299999999991"/>
    <x v="0"/>
    <x v="0"/>
    <n v="47.730599999999981"/>
    <s v="Profit"/>
    <s v="No Discount"/>
  </r>
  <r>
    <n v="32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TEC-AC-10003174"/>
    <x v="2"/>
    <x v="9"/>
    <s v="Plantronics S12 Corded Telephone Headset System"/>
    <n v="646.74"/>
    <n v="6"/>
    <n v="0"/>
    <n v="258.69600000000003"/>
    <x v="0"/>
    <x v="0"/>
    <n v="43.116000000000007"/>
    <s v="Profit"/>
    <s v="No Discount"/>
  </r>
  <r>
    <n v="33"/>
    <s v="US-2023-149524"/>
    <x v="9"/>
    <d v="2023-01-15T00:00:00"/>
    <s v="First Class"/>
    <s v="BS-11590"/>
    <s v="Brendan Sweed"/>
    <x v="2"/>
    <s v="United States"/>
    <s v="Philadelphia"/>
    <s v="Pennsylvania"/>
    <n v="19140"/>
    <x v="1"/>
    <s v="FUR-BO-10003433"/>
    <x v="1"/>
    <x v="10"/>
    <s v="Sauder Cornerstone Collection Library"/>
    <n v="61.96"/>
    <n v="4"/>
    <n v="0.5"/>
    <n v="-53.285600000000009"/>
    <x v="0"/>
    <x v="0"/>
    <n v="-13.321400000000002"/>
    <s v="Loss"/>
    <s v="High"/>
  </r>
  <r>
    <n v="34"/>
    <s v="US-2023-103366"/>
    <x v="10"/>
    <d v="2023-01-17T00:00:00"/>
    <s v="First Class"/>
    <s v="EH-13990"/>
    <s v="Erica Hackney"/>
    <x v="0"/>
    <s v="United States"/>
    <s v="Roswell"/>
    <s v="Georgia"/>
    <n v="30076"/>
    <x v="2"/>
    <s v="TEC-AC-10003628"/>
    <x v="2"/>
    <x v="9"/>
    <s v="Logitech 910-002974 M325 Wireless Mouse for Web Scrolling"/>
    <n v="149.94999999999999"/>
    <n v="5"/>
    <n v="0"/>
    <n v="65.978000000000009"/>
    <x v="0"/>
    <x v="0"/>
    <n v="13.195600000000002"/>
    <s v="Profit"/>
    <s v="No Discount"/>
  </r>
  <r>
    <n v="35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FUR-FU-10001095"/>
    <x v="1"/>
    <x v="8"/>
    <s v="DAX Black Cherry Wood-Tone Poster Frame"/>
    <n v="127.10400000000001"/>
    <n v="6"/>
    <n v="0.2"/>
    <n v="28.598399999999998"/>
    <x v="0"/>
    <x v="0"/>
    <n v="4.7664"/>
    <s v="Profit"/>
    <s v="Low"/>
  </r>
  <r>
    <n v="36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OFF-BI-10001575"/>
    <x v="0"/>
    <x v="1"/>
    <s v="GBC Linen Binding Covers"/>
    <n v="18.588000000000005"/>
    <n v="2"/>
    <n v="0.7"/>
    <n v="-13.6312"/>
    <x v="0"/>
    <x v="0"/>
    <n v="-6.8155999999999999"/>
    <s v="Loss"/>
    <s v="High"/>
  </r>
  <r>
    <n v="37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OFF-LA-10001074"/>
    <x v="0"/>
    <x v="2"/>
    <s v="Round Specialty Laser Printer Labels"/>
    <n v="30.072000000000003"/>
    <n v="3"/>
    <n v="0.2"/>
    <n v="10.149299999999997"/>
    <x v="0"/>
    <x v="0"/>
    <n v="3.3830999999999989"/>
    <s v="Profit"/>
    <s v="Low"/>
  </r>
  <r>
    <n v="38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TEC-PH-10004614"/>
    <x v="2"/>
    <x v="7"/>
    <s v="AT&amp;T 841000 Phone"/>
    <n v="124.19999999999999"/>
    <n v="3"/>
    <n v="0.4"/>
    <n v="-31.050000000000011"/>
    <x v="0"/>
    <x v="0"/>
    <n v="-10.350000000000003"/>
    <s v="Loss"/>
    <s v="Medium"/>
  </r>
  <r>
    <n v="39"/>
    <s v="US-2023-123477"/>
    <x v="12"/>
    <d v="2023-01-21T00:00:00"/>
    <s v="Second Class"/>
    <s v="DW-13195"/>
    <s v="David Wiener"/>
    <x v="2"/>
    <s v="United States"/>
    <s v="Springfield"/>
    <s v="Oregon"/>
    <n v="97477"/>
    <x v="3"/>
    <s v="OFF-AP-10000692"/>
    <x v="0"/>
    <x v="12"/>
    <s v="Fellowes Mighty 8 Compact Surge Protector"/>
    <n v="64.864000000000004"/>
    <n v="4"/>
    <n v="0.2"/>
    <n v="6.4864000000000033"/>
    <x v="0"/>
    <x v="0"/>
    <n v="1.6216000000000008"/>
    <s v="Profit"/>
    <s v="Low"/>
  </r>
  <r>
    <n v="40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FUR-BO-10001972"/>
    <x v="1"/>
    <x v="10"/>
    <s v="O'Sullivan 4-Shelf Bookcase in Odessa Pine"/>
    <n v="181.47000000000003"/>
    <n v="5"/>
    <n v="0.7"/>
    <n v="-320.59699999999998"/>
    <x v="0"/>
    <x v="0"/>
    <n v="-64.119399999999999"/>
    <s v="Loss"/>
    <s v="High"/>
  </r>
  <r>
    <n v="41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BI-10003676"/>
    <x v="0"/>
    <x v="1"/>
    <s v="GBC Standard Recycled Report Covers, Clear Plastic Sheets"/>
    <n v="32.340000000000003"/>
    <n v="10"/>
    <n v="0.7"/>
    <n v="-23.716000000000001"/>
    <x v="0"/>
    <x v="0"/>
    <n v="-2.3715999999999999"/>
    <s v="Loss"/>
    <s v="High"/>
  </r>
  <r>
    <n v="42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EN-10002504"/>
    <x v="0"/>
    <x v="11"/>
    <s v="Tyvek  Top-Opening Peel &amp; Seel Envelopes, Plain White"/>
    <n v="108.72"/>
    <n v="5"/>
    <n v="0.2"/>
    <n v="36.692999999999998"/>
    <x v="0"/>
    <x v="0"/>
    <n v="7.3385999999999996"/>
    <s v="Profit"/>
    <s v="Low"/>
  </r>
  <r>
    <n v="43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PA-10000659"/>
    <x v="0"/>
    <x v="0"/>
    <s v="TOPS Carbonless Receipt Book, Four 2-3/4 x 7-1/4 Money Receipts per Page"/>
    <n v="56.064"/>
    <n v="4"/>
    <n v="0.2"/>
    <n v="19.622399999999999"/>
    <x v="0"/>
    <x v="0"/>
    <n v="4.9055999999999997"/>
    <s v="Profit"/>
    <s v="Low"/>
  </r>
  <r>
    <n v="44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FUR-CH-10002331"/>
    <x v="1"/>
    <x v="5"/>
    <s v="Hon 4700 Series Mobuis Mid-Back Task Chairs with Adjustable Arms"/>
    <n v="1067.94"/>
    <n v="3"/>
    <n v="0"/>
    <n v="224.2673999999999"/>
    <x v="0"/>
    <x v="0"/>
    <n v="74.755799999999965"/>
    <s v="Profit"/>
    <s v="No Discount"/>
  </r>
  <r>
    <n v="45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FUR-FU-10002268"/>
    <x v="1"/>
    <x v="8"/>
    <s v="Ultra Door Push Plate"/>
    <n v="14.73"/>
    <n v="3"/>
    <n v="0"/>
    <n v="4.8608999999999991"/>
    <x v="0"/>
    <x v="0"/>
    <n v="1.6202999999999996"/>
    <s v="Profit"/>
    <s v="No Discount"/>
  </r>
  <r>
    <n v="46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FUR-FU-10002918"/>
    <x v="1"/>
    <x v="8"/>
    <s v="Eldon ClusterMat Chair Mat with Cordless Antistatic Protection"/>
    <n v="272.94"/>
    <n v="3"/>
    <n v="0"/>
    <n v="30.023400000000009"/>
    <x v="0"/>
    <x v="0"/>
    <n v="10.007800000000003"/>
    <s v="Profit"/>
    <s v="No Discount"/>
  </r>
  <r>
    <n v="47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FUR-FU-10003194"/>
    <x v="1"/>
    <x v="8"/>
    <s v="Eldon Expressions Desk Accessory, Wood Pencil Holder, Oak"/>
    <n v="38.6"/>
    <n v="4"/>
    <n v="0"/>
    <n v="11.579999999999998"/>
    <x v="0"/>
    <x v="0"/>
    <n v="2.8949999999999996"/>
    <s v="Profit"/>
    <s v="No Discount"/>
  </r>
  <r>
    <n v="48"/>
    <s v="US-2023-148614"/>
    <x v="14"/>
    <d v="2023-01-25T00:00:00"/>
    <s v="Standard Class"/>
    <s v="MV-17485"/>
    <s v="Mark Van Huff"/>
    <x v="0"/>
    <s v="United States"/>
    <s v="Los Angeles"/>
    <s v="California"/>
    <n v="90049"/>
    <x v="3"/>
    <s v="FUR-FU-10003194"/>
    <x v="1"/>
    <x v="8"/>
    <s v="Eldon Expressions Desk Accessory, Wood Pencil Holder, Oak"/>
    <n v="19.3"/>
    <n v="2"/>
    <n v="0"/>
    <n v="5.7899999999999991"/>
    <x v="0"/>
    <x v="0"/>
    <n v="2.8949999999999996"/>
    <s v="Profit"/>
    <s v="No Discount"/>
  </r>
  <r>
    <n v="49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AP-10002311"/>
    <x v="0"/>
    <x v="12"/>
    <s v="Holmes Replacement Filter for HEPA Air Cleaner, Very Large Room, HEPA Filter"/>
    <n v="247.71600000000001"/>
    <n v="4"/>
    <n v="0.1"/>
    <n v="93.581600000000009"/>
    <x v="0"/>
    <x v="0"/>
    <n v="23.395400000000002"/>
    <s v="Profit"/>
    <s v="Low"/>
  </r>
  <r>
    <n v="50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AR-10002375"/>
    <x v="0"/>
    <x v="4"/>
    <s v="Newell 351"/>
    <n v="22.959999999999997"/>
    <n v="7"/>
    <n v="0"/>
    <n v="6.6583999999999968"/>
    <x v="0"/>
    <x v="0"/>
    <n v="0.95119999999999949"/>
    <s v="Profit"/>
    <s v="No Discount"/>
  </r>
  <r>
    <n v="51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AR-10003811"/>
    <x v="0"/>
    <x v="4"/>
    <s v="Newell 327"/>
    <n v="6.63"/>
    <n v="3"/>
    <n v="0"/>
    <n v="1.7901"/>
    <x v="0"/>
    <x v="0"/>
    <n v="0.59670000000000001"/>
    <s v="Profit"/>
    <s v="No Discount"/>
  </r>
  <r>
    <n v="52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AR-10004456"/>
    <x v="0"/>
    <x v="4"/>
    <s v="Panasonic KP-4ABK Battery-Operated Pencil Sharpener"/>
    <n v="43.92"/>
    <n v="3"/>
    <n v="0"/>
    <n v="12.736799999999999"/>
    <x v="0"/>
    <x v="0"/>
    <n v="4.2455999999999996"/>
    <s v="Profit"/>
    <s v="No Discount"/>
  </r>
  <r>
    <n v="53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  <n v="5"/>
    <n v="0"/>
    <n v="8.9534999999999982"/>
    <x v="0"/>
    <x v="0"/>
    <n v="1.7906999999999997"/>
    <s v="Profit"/>
    <s v="No Discount"/>
  </r>
  <r>
    <n v="54"/>
    <s v="US-2023-147774"/>
    <x v="14"/>
    <d v="2023-01-26T00:00:00"/>
    <s v="Standard Class"/>
    <s v="MM-18280"/>
    <s v="Muhammed MacIntyre"/>
    <x v="2"/>
    <s v="United States"/>
    <s v="Smyrna"/>
    <s v="Tennessee"/>
    <n v="37167"/>
    <x v="2"/>
    <s v="OFF-BI-10003091"/>
    <x v="0"/>
    <x v="1"/>
    <s v="GBC DocuBind TL200 Manual Binding Machine"/>
    <n v="67.194000000000003"/>
    <n v="1"/>
    <n v="0.7"/>
    <n v="-51.515399999999985"/>
    <x v="0"/>
    <x v="0"/>
    <n v="-51.515399999999985"/>
    <s v="Loss"/>
    <s v="High"/>
  </r>
  <r>
    <n v="55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BI-10004364"/>
    <x v="0"/>
    <x v="1"/>
    <s v="Storex Dura Pro Binders"/>
    <n v="29.700000000000003"/>
    <n v="5"/>
    <n v="0"/>
    <n v="13.365"/>
    <x v="0"/>
    <x v="0"/>
    <n v="2.673"/>
    <s v="Profit"/>
    <s v="No Discount"/>
  </r>
  <r>
    <n v="56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EN-10001539"/>
    <x v="0"/>
    <x v="11"/>
    <s v="Staple envelope"/>
    <n v="23.34"/>
    <n v="3"/>
    <n v="0"/>
    <n v="10.969799999999999"/>
    <x v="0"/>
    <x v="0"/>
    <n v="3.6565999999999996"/>
    <s v="Profit"/>
    <s v="No Discount"/>
  </r>
  <r>
    <n v="57"/>
    <s v="US-2023-148614"/>
    <x v="14"/>
    <d v="2023-01-25T00:00:00"/>
    <s v="Standard Class"/>
    <s v="MV-17485"/>
    <s v="Mark Van Huff"/>
    <x v="0"/>
    <s v="United States"/>
    <s v="Los Angeles"/>
    <s v="California"/>
    <n v="90049"/>
    <x v="3"/>
    <s v="OFF-PA-10002893"/>
    <x v="0"/>
    <x v="0"/>
    <s v="Wirebound Service Call Books, 5 1/2&quot; x 4&quot;"/>
    <n v="19.36"/>
    <n v="2"/>
    <n v="0"/>
    <n v="9.2927999999999997"/>
    <x v="0"/>
    <x v="0"/>
    <n v="4.6463999999999999"/>
    <s v="Profit"/>
    <s v="No Discount"/>
  </r>
  <r>
    <n v="58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ST-10000760"/>
    <x v="0"/>
    <x v="3"/>
    <s v="Eldon Fold 'N Roll Cart System"/>
    <n v="13.98"/>
    <n v="1"/>
    <n v="0"/>
    <n v="4.0541999999999998"/>
    <x v="0"/>
    <x v="0"/>
    <n v="4.0541999999999998"/>
    <s v="Profit"/>
    <s v="No Discount"/>
  </r>
  <r>
    <n v="59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ST-10003123"/>
    <x v="0"/>
    <x v="3"/>
    <s v="Fellowes Bases and Tops For Staxonsteel/High-Stak Systems"/>
    <n v="66.58"/>
    <n v="2"/>
    <n v="0"/>
    <n v="15.979199999999999"/>
    <x v="0"/>
    <x v="0"/>
    <n v="7.9895999999999994"/>
    <s v="Profit"/>
    <s v="No Discount"/>
  </r>
  <r>
    <n v="60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TEC-PH-10001061"/>
    <x v="2"/>
    <x v="7"/>
    <s v="Apple iPhone 5C"/>
    <n v="699.93"/>
    <n v="7"/>
    <n v="0"/>
    <n v="181.98179999999999"/>
    <x v="0"/>
    <x v="0"/>
    <n v="25.997399999999999"/>
    <s v="Profit"/>
    <s v="No Discount"/>
  </r>
  <r>
    <n v="61"/>
    <s v="US-2023-110422"/>
    <x v="15"/>
    <d v="2023-01-23T00:00:00"/>
    <s v="Second Class"/>
    <s v="TB-21400"/>
    <s v="Tom Boeckenhauer"/>
    <x v="0"/>
    <s v="United States"/>
    <s v="Miami"/>
    <s v="Florida"/>
    <n v="33180"/>
    <x v="2"/>
    <s v="FUR-FU-10001889"/>
    <x v="1"/>
    <x v="8"/>
    <s v="Ultra Door Pull Handle"/>
    <n v="25.248000000000001"/>
    <n v="3"/>
    <n v="0.2"/>
    <n v="4.1027999999999993"/>
    <x v="0"/>
    <x v="0"/>
    <n v="1.3675999999999997"/>
    <s v="Profit"/>
    <s v="Low"/>
  </r>
  <r>
    <n v="62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  <x v="0"/>
    <x v="0"/>
    <n v="2.09"/>
    <s v="Profit"/>
    <s v="No Discount"/>
  </r>
  <r>
    <n v="63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  <x v="0"/>
    <x v="0"/>
    <n v="3.79"/>
    <s v="Profit"/>
    <s v="No Discount"/>
  </r>
  <r>
    <n v="64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  <x v="0"/>
    <x v="0"/>
    <n v="2.6379999999999999"/>
    <s v="Profit"/>
    <s v="No Discount"/>
  </r>
  <r>
    <n v="65"/>
    <s v="CA-2023-115238"/>
    <x v="15"/>
    <d v="2023-01-24T00:00:00"/>
    <s v="Standard Class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  <x v="0"/>
    <x v="0"/>
    <n v="3.11"/>
    <s v="Profit"/>
    <s v="No Discount"/>
  </r>
  <r>
    <n v="66"/>
    <s v="CA-2023-115238"/>
    <x v="15"/>
    <d v="2023-01-24T00:00:00"/>
    <s v="Standard Class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  <x v="0"/>
    <x v="0"/>
    <n v="5.8659999999999997"/>
    <s v="Profit"/>
    <s v="No Discount"/>
  </r>
  <r>
    <n v="67"/>
    <s v="US-2023-146997"/>
    <x v="16"/>
    <d v="2023-01-27T00:00:00"/>
    <s v="Standard Class"/>
    <s v="SG-20605"/>
    <s v="Speros Goranitis"/>
    <x v="0"/>
    <s v="United States"/>
    <s v="Lafayette"/>
    <s v="Indiana"/>
    <n v="47905"/>
    <x v="0"/>
    <s v="OFF-FA-10003467"/>
    <x v="0"/>
    <x v="6"/>
    <s v="Alliance Big Bands Rubber Bands, 12/Pack"/>
    <n v="5.9399999999999995"/>
    <n v="3"/>
    <n v="0"/>
    <n v="0"/>
    <x v="0"/>
    <x v="0"/>
    <n v="0"/>
    <s v="Break-even"/>
    <s v="No Discount"/>
  </r>
  <r>
    <n v="68"/>
    <s v="US-2023-102645"/>
    <x v="16"/>
    <d v="2023-01-28T00:00:00"/>
    <s v="Standard Class"/>
    <s v="IM-15055"/>
    <s v="Ionia McGrath"/>
    <x v="0"/>
    <s v="United States"/>
    <s v="Las Vegas"/>
    <s v="Nevada"/>
    <n v="89115"/>
    <x v="3"/>
    <s v="OFF-PA-10001804"/>
    <x v="0"/>
    <x v="0"/>
    <s v="Xerox 195"/>
    <n v="40.08"/>
    <n v="6"/>
    <n v="0"/>
    <n v="19.238399999999999"/>
    <x v="0"/>
    <x v="0"/>
    <n v="3.2063999999999999"/>
    <s v="Profit"/>
    <s v="No Discount"/>
  </r>
  <r>
    <n v="69"/>
    <s v="US-2023-167997"/>
    <x v="17"/>
    <d v="2023-01-29T00:00:00"/>
    <s v="First Class"/>
    <s v="CA-11965"/>
    <s v="Carol Adams"/>
    <x v="2"/>
    <s v="United States"/>
    <s v="Rapid City"/>
    <s v="South Dakota"/>
    <n v="57701"/>
    <x v="0"/>
    <s v="FUR-BO-10004409"/>
    <x v="1"/>
    <x v="10"/>
    <s v="Safco Value Mate Series Steel Bookcases, Baked Enamel Finish on Steel, Gray"/>
    <n v="141.96"/>
    <n v="2"/>
    <n v="0"/>
    <n v="39.748800000000003"/>
    <x v="0"/>
    <x v="0"/>
    <n v="19.874400000000001"/>
    <s v="Profit"/>
    <s v="No Discount"/>
  </r>
  <r>
    <n v="70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FUR-FU-10001847"/>
    <x v="1"/>
    <x v="8"/>
    <s v="Eldon Image Series Black Desk Accessories"/>
    <n v="12.419999999999998"/>
    <n v="3"/>
    <n v="0"/>
    <n v="4.4711999999999996"/>
    <x v="0"/>
    <x v="0"/>
    <n v="1.4903999999999999"/>
    <s v="Profit"/>
    <s v="No Discount"/>
  </r>
  <r>
    <n v="71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FUR-FU-10004587"/>
    <x v="1"/>
    <x v="8"/>
    <s v="GE General Use Halogen Bulbs, 100 Watts, 1 Bulb per Pack"/>
    <n v="62.820000000000007"/>
    <n v="3"/>
    <n v="0"/>
    <n v="30.7818"/>
    <x v="0"/>
    <x v="0"/>
    <n v="10.2606"/>
    <s v="Profit"/>
    <s v="No Discount"/>
  </r>
  <r>
    <n v="72"/>
    <s v="US-2023-167997"/>
    <x v="17"/>
    <d v="2023-01-29T00:00:00"/>
    <s v="First Class"/>
    <s v="CA-11965"/>
    <s v="Carol Adams"/>
    <x v="2"/>
    <s v="United States"/>
    <s v="Rapid City"/>
    <s v="South Dakota"/>
    <n v="57701"/>
    <x v="0"/>
    <s v="OFF-BI-10001758"/>
    <x v="0"/>
    <x v="1"/>
    <s v="Wilson Jones 14 Line Acrylic Coated Pressboard Data Binders"/>
    <n v="10.68"/>
    <n v="2"/>
    <n v="0"/>
    <n v="5.0195999999999996"/>
    <x v="0"/>
    <x v="0"/>
    <n v="2.5097999999999998"/>
    <s v="Profit"/>
    <s v="No Discount"/>
  </r>
  <r>
    <n v="73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PA-10000380"/>
    <x v="0"/>
    <x v="0"/>
    <s v="REDIFORM Incoming/Outgoing Call Register, 11&quot; X 8 1/2&quot;, 100 Messages"/>
    <n v="16.68"/>
    <n v="2"/>
    <n v="0"/>
    <n v="8.34"/>
    <x v="0"/>
    <x v="0"/>
    <n v="4.17"/>
    <s v="Profit"/>
    <s v="No Discount"/>
  </r>
  <r>
    <n v="74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PA-10003072"/>
    <x v="0"/>
    <x v="0"/>
    <s v="Eureka Recycled Copy Paper 8 1/2&quot; x 11&quot;, Ream"/>
    <n v="19.440000000000001"/>
    <n v="3"/>
    <n v="0"/>
    <n v="9.3312000000000008"/>
    <x v="0"/>
    <x v="0"/>
    <n v="3.1104000000000003"/>
    <s v="Profit"/>
    <s v="No Discount"/>
  </r>
  <r>
    <n v="75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ST-10004337"/>
    <x v="0"/>
    <x v="3"/>
    <s v="SAFCO Commercial Wire Shelving, 72h"/>
    <n v="489.92"/>
    <n v="8"/>
    <n v="0"/>
    <n v="0"/>
    <x v="0"/>
    <x v="0"/>
    <n v="0"/>
    <s v="Break-even"/>
    <s v="No Discount"/>
  </r>
  <r>
    <n v="76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TEC-PH-10002103"/>
    <x v="2"/>
    <x v="7"/>
    <s v="Jabra SPEAK 410"/>
    <n v="187.98"/>
    <n v="2"/>
    <n v="0"/>
    <n v="52.634399999999999"/>
    <x v="0"/>
    <x v="0"/>
    <n v="26.3172"/>
    <s v="Profit"/>
    <s v="No Discount"/>
  </r>
  <r>
    <n v="77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TEC-PH-10004833"/>
    <x v="2"/>
    <x v="7"/>
    <s v="Macally Suction Cup Mount"/>
    <n v="155.35"/>
    <n v="13"/>
    <n v="0"/>
    <n v="0"/>
    <x v="0"/>
    <x v="0"/>
    <n v="0"/>
    <s v="Break-even"/>
    <s v="No Discount"/>
  </r>
  <r>
    <n v="78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FUR-TA-10003469"/>
    <x v="1"/>
    <x v="13"/>
    <s v="Balt Split Level Computer Training Table"/>
    <n v="333"/>
    <n v="3"/>
    <n v="0.2"/>
    <n v="-16.649999999999991"/>
    <x v="0"/>
    <x v="0"/>
    <n v="-5.5499999999999972"/>
    <s v="Loss"/>
    <s v="Low"/>
  </r>
  <r>
    <n v="79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OFF-AR-10003179"/>
    <x v="0"/>
    <x v="4"/>
    <s v="Dixon Ticonderoga Core-Lock Colored Pencils"/>
    <n v="36.44"/>
    <n v="4"/>
    <n v="0"/>
    <n v="12.025199999999998"/>
    <x v="0"/>
    <x v="0"/>
    <n v="3.0062999999999995"/>
    <s v="Profit"/>
    <s v="No Discount"/>
  </r>
  <r>
    <n v="80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OFF-ST-10003692"/>
    <x v="0"/>
    <x v="3"/>
    <s v="Recycled Steel Personal File for Hanging File Folders"/>
    <n v="57.23"/>
    <n v="1"/>
    <n v="0"/>
    <n v="14.307499999999997"/>
    <x v="0"/>
    <x v="0"/>
    <n v="14.307499999999997"/>
    <s v="Profit"/>
    <s v="No Discount"/>
  </r>
  <r>
    <n v="81"/>
    <s v="US-2023-100328"/>
    <x v="19"/>
    <d v="2023-02-03T00:00:00"/>
    <s v="Standard Class"/>
    <s v="JC-15340"/>
    <s v="Jasper Cacioppo"/>
    <x v="0"/>
    <s v="United States"/>
    <s v="New York City"/>
    <s v="New York"/>
    <n v="10024"/>
    <x v="1"/>
    <s v="OFF-BI-10000343"/>
    <x v="0"/>
    <x v="1"/>
    <s v="Pressboard Covers with Storage Hooks, 9 1/2&quot; x 11&quot;, Light Blue"/>
    <n v="3.9280000000000004"/>
    <n v="1"/>
    <n v="0.2"/>
    <n v="1.3256999999999999"/>
    <x v="0"/>
    <x v="0"/>
    <n v="1.3256999999999999"/>
    <s v="Profit"/>
    <s v="Low"/>
  </r>
  <r>
    <n v="82"/>
    <s v="US-2023-134103"/>
    <x v="20"/>
    <d v="2023-02-04T00:00:00"/>
    <s v="Standard Class"/>
    <s v="MV-18190"/>
    <s v="Mike Vittorini"/>
    <x v="0"/>
    <s v="United States"/>
    <s v="Detroit"/>
    <s v="Michigan"/>
    <n v="48234"/>
    <x v="0"/>
    <s v="OFF-PA-10001204"/>
    <x v="0"/>
    <x v="0"/>
    <s v="Xerox 1972"/>
    <n v="10.56"/>
    <n v="2"/>
    <n v="0"/>
    <n v="4.7519999999999998"/>
    <x v="0"/>
    <x v="0"/>
    <n v="2.3759999999999999"/>
    <s v="Profit"/>
    <s v="No Discount"/>
  </r>
  <r>
    <n v="83"/>
    <s v="US-2023-134103"/>
    <x v="20"/>
    <d v="2023-02-04T00:00:00"/>
    <s v="Standard Class"/>
    <s v="MV-18190"/>
    <s v="Mike Vittorini"/>
    <x v="0"/>
    <s v="United States"/>
    <s v="Detroit"/>
    <s v="Michigan"/>
    <n v="48234"/>
    <x v="0"/>
    <s v="OFF-ST-10000991"/>
    <x v="0"/>
    <x v="3"/>
    <s v="Space Solutions HD Industrial Steel Shelving."/>
    <n v="229.94"/>
    <n v="2"/>
    <n v="0"/>
    <n v="6.8982000000000028"/>
    <x v="0"/>
    <x v="0"/>
    <n v="3.4491000000000014"/>
    <s v="Profit"/>
    <s v="No Discount"/>
  </r>
  <r>
    <n v="84"/>
    <s v="US-2023-115161"/>
    <x v="21"/>
    <d v="2023-02-02T00:00:00"/>
    <s v="First Class"/>
    <s v="LC-17050"/>
    <s v="Liz Carlisle"/>
    <x v="0"/>
    <s v="United States"/>
    <s v="Mission Viejo"/>
    <s v="California"/>
    <n v="92691"/>
    <x v="3"/>
    <s v="FUR-BO-10003966"/>
    <x v="1"/>
    <x v="10"/>
    <s v="Sauder Facets Collection Library, Sky Alder Finish"/>
    <n v="290.666"/>
    <n v="2"/>
    <n v="0.15"/>
    <n v="3.4195999999999884"/>
    <x v="0"/>
    <x v="0"/>
    <n v="1.7097999999999942"/>
    <s v="Profit"/>
    <s v="Low"/>
  </r>
  <r>
    <n v="85"/>
    <s v="US-2023-140795"/>
    <x v="22"/>
    <d v="2023-02-03T00:00:00"/>
    <s v="First Class"/>
    <s v="BD-11500"/>
    <s v="Bradley Drucker"/>
    <x v="0"/>
    <s v="United States"/>
    <s v="Green Bay"/>
    <s v="Wisconsin"/>
    <n v="54302"/>
    <x v="0"/>
    <s v="TEC-AC-10001432"/>
    <x v="2"/>
    <x v="9"/>
    <s v="Enermax Aurora Lite Keyboard"/>
    <n v="468.90000000000003"/>
    <n v="6"/>
    <n v="0"/>
    <n v="206.31600000000006"/>
    <x v="0"/>
    <x v="1"/>
    <n v="34.38600000000001"/>
    <s v="Profit"/>
    <s v="No Discount"/>
  </r>
  <r>
    <n v="86"/>
    <s v="US-2023-123400"/>
    <x v="23"/>
    <d v="2023-02-09T00:00:00"/>
    <s v="Standard Class"/>
    <s v="EB-13930"/>
    <s v="Eric Barreto"/>
    <x v="0"/>
    <s v="United States"/>
    <s v="Saint Petersburg"/>
    <s v="Florida"/>
    <n v="33710"/>
    <x v="2"/>
    <s v="OFF-BI-10000666"/>
    <x v="0"/>
    <x v="1"/>
    <s v="Surelock Post Binders"/>
    <n v="18.336000000000002"/>
    <n v="2"/>
    <n v="0.7"/>
    <n v="-12.224"/>
    <x v="0"/>
    <x v="1"/>
    <n v="-6.1120000000000001"/>
    <s v="Loss"/>
    <s v="High"/>
  </r>
  <r>
    <n v="87"/>
    <s v="US-2023-139857"/>
    <x v="23"/>
    <d v="2023-02-06T00:00:00"/>
    <s v="Standard Class"/>
    <s v="CD-12790"/>
    <s v="Cynthia Delaney"/>
    <x v="1"/>
    <s v="United States"/>
    <s v="San Diego"/>
    <s v="California"/>
    <n v="92037"/>
    <x v="3"/>
    <s v="OFF-FA-10001843"/>
    <x v="0"/>
    <x v="6"/>
    <s v="Staples"/>
    <n v="12.350000000000001"/>
    <n v="5"/>
    <n v="0"/>
    <n v="5.8045"/>
    <x v="0"/>
    <x v="1"/>
    <n v="1.1609"/>
    <s v="Profit"/>
    <s v="No Discount"/>
  </r>
  <r>
    <n v="88"/>
    <s v="US-2023-123400"/>
    <x v="23"/>
    <d v="2023-02-09T00:00:00"/>
    <s v="Standard Class"/>
    <s v="EB-13930"/>
    <s v="Eric Barreto"/>
    <x v="0"/>
    <s v="United States"/>
    <s v="Saint Petersburg"/>
    <s v="Florida"/>
    <n v="33710"/>
    <x v="2"/>
    <s v="TEC-PH-10002890"/>
    <x v="2"/>
    <x v="7"/>
    <s v="AT&amp;T 17929 Lendline Telephone"/>
    <n v="180.96"/>
    <n v="5"/>
    <n v="0.2"/>
    <n v="13.571999999999996"/>
    <x v="0"/>
    <x v="1"/>
    <n v="2.714399999999999"/>
    <s v="Profit"/>
    <s v="Low"/>
  </r>
  <r>
    <n v="89"/>
    <s v="US-2023-111059"/>
    <x v="24"/>
    <d v="2023-02-06T00:00:00"/>
    <s v="Second Class"/>
    <s v="TB-21400"/>
    <s v="Tom Boeckenhauer"/>
    <x v="0"/>
    <s v="United States"/>
    <s v="Seattle"/>
    <s v="Washington"/>
    <n v="98105"/>
    <x v="3"/>
    <s v="OFF-BI-10002827"/>
    <x v="0"/>
    <x v="1"/>
    <s v="Avery Durable Poly Binders"/>
    <n v="13.272000000000002"/>
    <n v="3"/>
    <n v="0.2"/>
    <n v="4.3133999999999997"/>
    <x v="0"/>
    <x v="1"/>
    <n v="1.4378"/>
    <s v="Profit"/>
    <s v="Low"/>
  </r>
  <r>
    <n v="90"/>
    <s v="US-2023-111059"/>
    <x v="24"/>
    <d v="2023-02-06T00:00:00"/>
    <s v="Second Class"/>
    <s v="TB-21400"/>
    <s v="Tom Boeckenhauer"/>
    <x v="0"/>
    <s v="United States"/>
    <s v="Seattle"/>
    <s v="Washington"/>
    <n v="98105"/>
    <x v="3"/>
    <s v="OFF-BI-10004593"/>
    <x v="0"/>
    <x v="1"/>
    <s v="Ibico Laser Imprintable Binding System Covers"/>
    <n v="83.84"/>
    <n v="2"/>
    <n v="0.2"/>
    <n v="27.247999999999998"/>
    <x v="0"/>
    <x v="1"/>
    <n v="13.623999999999999"/>
    <s v="Profit"/>
    <s v="Low"/>
  </r>
  <r>
    <n v="91"/>
    <s v="US-2023-104808"/>
    <x v="25"/>
    <d v="2023-02-08T00:00:00"/>
    <s v="Second Class"/>
    <s v="MH-17440"/>
    <s v="Mark Haberlin"/>
    <x v="2"/>
    <s v="United States"/>
    <s v="Escondido"/>
    <s v="California"/>
    <n v="92025"/>
    <x v="3"/>
    <s v="OFF-BI-10003676"/>
    <x v="0"/>
    <x v="1"/>
    <s v="GBC Standard Recycled Report Covers, Clear Plastic Sheets"/>
    <n v="17.248000000000001"/>
    <n v="2"/>
    <n v="0.2"/>
    <n v="6.0367999999999986"/>
    <x v="0"/>
    <x v="1"/>
    <n v="3.0183999999999993"/>
    <s v="Profit"/>
    <s v="Low"/>
  </r>
  <r>
    <n v="92"/>
    <s v="US-2023-107181"/>
    <x v="25"/>
    <d v="2023-02-08T00:00:00"/>
    <s v="Standard Class"/>
    <s v="DB-13270"/>
    <s v="Deborah Brumfield"/>
    <x v="1"/>
    <s v="United States"/>
    <s v="San Diego"/>
    <s v="California"/>
    <n v="92024"/>
    <x v="3"/>
    <s v="OFF-BI-10004230"/>
    <x v="0"/>
    <x v="1"/>
    <s v="GBC Recycled Grain Textured Covers"/>
    <n v="82.896000000000001"/>
    <n v="3"/>
    <n v="0.2"/>
    <n v="29.0136"/>
    <x v="0"/>
    <x v="1"/>
    <n v="9.6712000000000007"/>
    <s v="Profit"/>
    <s v="Low"/>
  </r>
  <r>
    <n v="93"/>
    <s v="US-2023-107181"/>
    <x v="25"/>
    <d v="2023-02-08T00:00:00"/>
    <s v="Standard Class"/>
    <s v="DB-13270"/>
    <s v="Deborah Brumfield"/>
    <x v="1"/>
    <s v="United States"/>
    <s v="San Diego"/>
    <s v="California"/>
    <n v="92024"/>
    <x v="3"/>
    <s v="OFF-PA-10000350"/>
    <x v="0"/>
    <x v="0"/>
    <s v="Message Book, Standard Line &quot;While You Were Out&quot;, 5 1/2&quot; X 4&quot;, 200 Sets/Book"/>
    <n v="34.24"/>
    <n v="4"/>
    <n v="0"/>
    <n v="16.0928"/>
    <x v="0"/>
    <x v="1"/>
    <n v="4.0232000000000001"/>
    <s v="Profit"/>
    <s v="No Discount"/>
  </r>
  <r>
    <n v="94"/>
    <s v="US-2023-108182"/>
    <x v="26"/>
    <d v="2023-02-10T00:00:00"/>
    <s v="Second Class"/>
    <s v="DL-13315"/>
    <s v="Delfina Latchford"/>
    <x v="0"/>
    <s v="United States"/>
    <s v="Romeoville"/>
    <s v="Illinois"/>
    <n v="60441"/>
    <x v="0"/>
    <s v="OFF-BI-10001196"/>
    <x v="0"/>
    <x v="1"/>
    <s v="Avery Flip-Chart Easel Binder, Black"/>
    <n v="8.9519999999999982"/>
    <n v="2"/>
    <n v="0.8"/>
    <n v="-14.770800000000001"/>
    <x v="0"/>
    <x v="1"/>
    <n v="-7.3854000000000006"/>
    <s v="Loss"/>
    <s v="High"/>
  </r>
  <r>
    <n v="95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OFF-LA-10002787"/>
    <x v="0"/>
    <x v="2"/>
    <s v="Avery 480"/>
    <n v="15"/>
    <n v="4"/>
    <n v="0"/>
    <n v="7.1999999999999993"/>
    <x v="0"/>
    <x v="1"/>
    <n v="1.7999999999999998"/>
    <s v="Profit"/>
    <s v="No Discount"/>
  </r>
  <r>
    <n v="96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TEC-PH-10001615"/>
    <x v="2"/>
    <x v="7"/>
    <s v="AT&amp;T CL82213"/>
    <n v="144.94999999999999"/>
    <n v="5"/>
    <n v="0"/>
    <n v="42.035499999999985"/>
    <x v="0"/>
    <x v="1"/>
    <n v="8.4070999999999962"/>
    <s v="Profit"/>
    <s v="No Discount"/>
  </r>
  <r>
    <n v="97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TEC-PH-10003645"/>
    <x v="2"/>
    <x v="7"/>
    <s v="Aastra 57i VoIP phone"/>
    <n v="161.61000000000001"/>
    <n v="1"/>
    <n v="0"/>
    <n v="42.018600000000006"/>
    <x v="0"/>
    <x v="1"/>
    <n v="42.018600000000006"/>
    <s v="Profit"/>
    <s v="No Discount"/>
  </r>
  <r>
    <n v="98"/>
    <s v="US-2023-169390"/>
    <x v="27"/>
    <d v="2023-02-10T00:00:00"/>
    <s v="Second Class"/>
    <s v="CS-12250"/>
    <s v="Chris Selesnick"/>
    <x v="2"/>
    <s v="United States"/>
    <s v="New York City"/>
    <s v="New York"/>
    <n v="10024"/>
    <x v="1"/>
    <s v="OFF-ST-10001558"/>
    <x v="0"/>
    <x v="3"/>
    <s v="Acco Perma 4000 Stacking Storage Drawers"/>
    <n v="64.959999999999994"/>
    <n v="4"/>
    <n v="0"/>
    <n v="9.7439999999999998"/>
    <x v="0"/>
    <x v="1"/>
    <n v="2.4359999999999999"/>
    <s v="Profit"/>
    <s v="No Discount"/>
  </r>
  <r>
    <n v="99"/>
    <s v="US-2023-107755"/>
    <x v="27"/>
    <d v="2023-02-12T00:00:00"/>
    <s v="Standard Class"/>
    <s v="CK-12760"/>
    <s v="Cyma Kinney"/>
    <x v="2"/>
    <s v="United States"/>
    <s v="Linden"/>
    <s v="New Jersey"/>
    <n v="7036"/>
    <x v="1"/>
    <s v="TEC-AC-10000710"/>
    <x v="2"/>
    <x v="9"/>
    <s v="Maxell DVD-RAM Discs"/>
    <n v="115.36"/>
    <n v="7"/>
    <n v="0"/>
    <n v="49.604800000000012"/>
    <x v="0"/>
    <x v="1"/>
    <n v="7.086400000000002"/>
    <s v="Profit"/>
    <s v="No Discount"/>
  </r>
  <r>
    <n v="100"/>
    <s v="US-2023-125759"/>
    <x v="28"/>
    <d v="2023-02-09T00:00:00"/>
    <s v="First Class"/>
    <s v="NM-18445"/>
    <s v="Nathan Mautz"/>
    <x v="1"/>
    <s v="United States"/>
    <s v="North Las Vegas"/>
    <s v="Nevada"/>
    <n v="89031"/>
    <x v="3"/>
    <s v="FUR-FU-10002111"/>
    <x v="1"/>
    <x v="8"/>
    <s v="Master Caster Door Stop, Large Brown"/>
    <n v="14.56"/>
    <n v="2"/>
    <n v="0"/>
    <n v="5.5327999999999999"/>
    <x v="0"/>
    <x v="1"/>
    <n v="2.7664"/>
    <s v="Profit"/>
    <s v="No Discount"/>
  </r>
  <r>
    <n v="101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FUR-CH-10001146"/>
    <x v="1"/>
    <x v="5"/>
    <s v="Global Value Mid-Back Manager's Chair, Gray"/>
    <n v="60.89"/>
    <n v="1"/>
    <n v="0"/>
    <n v="15.222499999999997"/>
    <x v="0"/>
    <x v="1"/>
    <n v="15.222499999999997"/>
    <s v="Profit"/>
    <s v="No Discount"/>
  </r>
  <r>
    <n v="102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FUR-FU-10002298"/>
    <x v="1"/>
    <x v="8"/>
    <s v="Rubbermaid ClusterMat Chairmats, Mat Size- 66&quot; x 60&quot;, Lip 20&quot; x 11&quot; -90 Degree Angle"/>
    <n v="332.94"/>
    <n v="3"/>
    <n v="0"/>
    <n v="53.270399999999995"/>
    <x v="0"/>
    <x v="1"/>
    <n v="17.756799999999998"/>
    <s v="Profit"/>
    <s v="No Discount"/>
  </r>
  <r>
    <n v="103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FUR-TA-10003715"/>
    <x v="1"/>
    <x v="13"/>
    <s v="Hon 2111 Invitation Series Corner Table"/>
    <n v="1256.22"/>
    <n v="6"/>
    <n v="0"/>
    <n v="75.37319999999994"/>
    <x v="0"/>
    <x v="1"/>
    <n v="12.56219999999999"/>
    <s v="Profit"/>
    <s v="No Discount"/>
  </r>
  <r>
    <n v="104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OFF-BI-10003291"/>
    <x v="0"/>
    <x v="1"/>
    <s v="Wilson Jones Leather-Like Binders with DublLock Round Rings"/>
    <n v="17.46"/>
    <n v="2"/>
    <n v="0"/>
    <n v="8.2061999999999991"/>
    <x v="0"/>
    <x v="1"/>
    <n v="4.1030999999999995"/>
    <s v="Profit"/>
    <s v="No Discount"/>
  </r>
  <r>
    <n v="105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BI-10004654"/>
    <x v="0"/>
    <x v="1"/>
    <s v="VariCap6 Expandable Binder"/>
    <n v="51.900000000000006"/>
    <n v="3"/>
    <n v="0"/>
    <n v="24.393000000000001"/>
    <x v="0"/>
    <x v="1"/>
    <n v="8.1310000000000002"/>
    <s v="Profit"/>
    <s v="No Discount"/>
  </r>
  <r>
    <n v="106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BI-10004728"/>
    <x v="0"/>
    <x v="1"/>
    <s v="Wilson Jones Turn Tabs Binder Tool for Ring Binders"/>
    <n v="9.64"/>
    <n v="2"/>
    <n v="0"/>
    <n v="4.4344000000000001"/>
    <x v="0"/>
    <x v="1"/>
    <n v="2.2172000000000001"/>
    <s v="Profit"/>
    <s v="No Discount"/>
  </r>
  <r>
    <n v="107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LA-10004853"/>
    <x v="0"/>
    <x v="2"/>
    <s v="Avery 483"/>
    <n v="14.940000000000001"/>
    <n v="3"/>
    <n v="0"/>
    <n v="6.8723999999999998"/>
    <x v="0"/>
    <x v="1"/>
    <n v="2.2907999999999999"/>
    <s v="Profit"/>
    <s v="No Discount"/>
  </r>
  <r>
    <n v="108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ST-10002583"/>
    <x v="0"/>
    <x v="3"/>
    <s v="Fellowes Neat Ideas Storage Cubes"/>
    <n v="64.959999999999994"/>
    <n v="2"/>
    <n v="0"/>
    <n v="2.598399999999998"/>
    <x v="0"/>
    <x v="1"/>
    <n v="1.299199999999999"/>
    <s v="Profit"/>
    <s v="No Discount"/>
  </r>
  <r>
    <n v="109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TEC-AC-10001432"/>
    <x v="2"/>
    <x v="9"/>
    <s v="Enermax Aurora Lite Keyboard"/>
    <n v="234.45000000000002"/>
    <n v="3"/>
    <n v="0"/>
    <n v="103.15800000000003"/>
    <x v="0"/>
    <x v="1"/>
    <n v="34.38600000000001"/>
    <s v="Profit"/>
    <s v="No Discount"/>
  </r>
  <r>
    <n v="110"/>
    <s v="US-2023-110674"/>
    <x v="30"/>
    <d v="2023-02-18T00:00:00"/>
    <s v="Standard Class"/>
    <s v="SC-20095"/>
    <s v="Sanjit Chand"/>
    <x v="0"/>
    <s v="United States"/>
    <s v="Concord"/>
    <s v="California"/>
    <n v="94521"/>
    <x v="3"/>
    <s v="FUR-CH-10000225"/>
    <x v="1"/>
    <x v="5"/>
    <s v="Global Geo Office Task Chair, Gray"/>
    <n v="129.56800000000001"/>
    <n v="2"/>
    <n v="0.2"/>
    <n v="-24.294000000000018"/>
    <x v="0"/>
    <x v="1"/>
    <n v="-12.147000000000009"/>
    <s v="Loss"/>
    <s v="Low"/>
  </r>
  <r>
    <n v="111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OFF-AP-10001293"/>
    <x v="0"/>
    <x v="12"/>
    <s v="Belkin 8 Outlet Surge Protector"/>
    <n v="81.96"/>
    <n v="2"/>
    <n v="0"/>
    <n v="22.948799999999999"/>
    <x v="0"/>
    <x v="1"/>
    <n v="11.474399999999999"/>
    <s v="Profit"/>
    <s v="No Discount"/>
  </r>
  <r>
    <n v="112"/>
    <s v="US-2023-107706"/>
    <x v="31"/>
    <d v="2023-02-19T00:00:00"/>
    <s v="Second Class"/>
    <s v="ST-20530"/>
    <s v="Shui Tom"/>
    <x v="0"/>
    <s v="United States"/>
    <s v="Houston"/>
    <s v="Texas"/>
    <n v="77095"/>
    <x v="0"/>
    <s v="OFF-PA-10000466"/>
    <x v="0"/>
    <x v="0"/>
    <s v="Memo Book, 100 Message Capacity, 5 3/8” x 11”"/>
    <n v="16.176000000000002"/>
    <n v="3"/>
    <n v="0.2"/>
    <n v="6.0659999999999989"/>
    <x v="0"/>
    <x v="1"/>
    <n v="2.0219999999999998"/>
    <s v="Profit"/>
    <s v="Low"/>
  </r>
  <r>
    <n v="113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OFF-SU-10000157"/>
    <x v="0"/>
    <x v="14"/>
    <s v="Compact Automatic Electric Letter Opener"/>
    <n v="238.62"/>
    <n v="2"/>
    <n v="0"/>
    <n v="4.7724000000000046"/>
    <x v="0"/>
    <x v="1"/>
    <n v="2.3862000000000023"/>
    <s v="Profit"/>
    <s v="No Discount"/>
  </r>
  <r>
    <n v="114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TEC-AC-10000736"/>
    <x v="2"/>
    <x v="9"/>
    <s v="Logitech G600 MMO Gaming Mouse"/>
    <n v="239.96999999999997"/>
    <n v="3"/>
    <n v="0"/>
    <n v="86.389199999999988"/>
    <x v="0"/>
    <x v="1"/>
    <n v="28.796399999999995"/>
    <s v="Profit"/>
    <s v="No Discount"/>
  </r>
  <r>
    <n v="115"/>
    <s v="US-2023-165568"/>
    <x v="32"/>
    <d v="2023-02-19T00:00:00"/>
    <s v="Standard Class"/>
    <s v="BF-11020"/>
    <s v="Barry Französisch"/>
    <x v="2"/>
    <s v="United States"/>
    <s v="Seattle"/>
    <s v="Washington"/>
    <n v="98105"/>
    <x v="3"/>
    <s v="OFF-BI-10001031"/>
    <x v="0"/>
    <x v="1"/>
    <s v="Pressboard Data Binders by Wilson Jones"/>
    <n v="21.36"/>
    <n v="5"/>
    <n v="0.2"/>
    <n v="7.2089999999999996"/>
    <x v="0"/>
    <x v="1"/>
    <n v="1.4418"/>
    <s v="Profit"/>
    <s v="Low"/>
  </r>
  <r>
    <n v="116"/>
    <s v="US-2023-122567"/>
    <x v="33"/>
    <d v="2023-02-21T00:00:00"/>
    <s v="Standard Class"/>
    <s v="MN-17935"/>
    <s v="Michael Nguyen"/>
    <x v="0"/>
    <s v="United States"/>
    <s v="Dallas"/>
    <s v="Texas"/>
    <n v="75220"/>
    <x v="0"/>
    <s v="OFF-AP-10001303"/>
    <x v="0"/>
    <x v="12"/>
    <s v="Holmes Cool Mist Humidifier for the Whole House with 8-Gallon Output per Day, Extended Life Filter"/>
    <n v="7.9599999999999973"/>
    <n v="2"/>
    <n v="0.8"/>
    <n v="-13.930000000000003"/>
    <x v="0"/>
    <x v="1"/>
    <n v="-6.9650000000000016"/>
    <s v="Loss"/>
    <s v="High"/>
  </r>
  <r>
    <n v="117"/>
    <s v="US-2023-122567"/>
    <x v="33"/>
    <d v="2023-02-21T00:00:00"/>
    <s v="Standard Class"/>
    <s v="MN-17935"/>
    <s v="Michael Nguyen"/>
    <x v="0"/>
    <s v="United States"/>
    <s v="Dallas"/>
    <s v="Texas"/>
    <n v="75220"/>
    <x v="0"/>
    <s v="OFF-BI-10002012"/>
    <x v="0"/>
    <x v="1"/>
    <s v="Wilson Jones Easy Flow II Sheet Lifters"/>
    <n v="1.0799999999999998"/>
    <n v="3"/>
    <n v="0.8"/>
    <n v="-1.7280000000000002"/>
    <x v="0"/>
    <x v="1"/>
    <n v="-0.57600000000000007"/>
    <s v="Loss"/>
    <s v="High"/>
  </r>
  <r>
    <n v="118"/>
    <s v="US-2023-154165"/>
    <x v="34"/>
    <d v="2023-02-24T00:00:00"/>
    <s v="Standard Class"/>
    <s v="DL-13315"/>
    <s v="Delfina Latchford"/>
    <x v="0"/>
    <s v="United States"/>
    <s v="Chicago"/>
    <s v="Illinois"/>
    <n v="60653"/>
    <x v="0"/>
    <s v="OFF-AR-10003631"/>
    <x v="0"/>
    <x v="4"/>
    <s v="Staples in misc. colors"/>
    <n v="54.207999999999998"/>
    <n v="14"/>
    <n v="0.2"/>
    <n v="8.808799999999998"/>
    <x v="0"/>
    <x v="1"/>
    <n v="0.62919999999999987"/>
    <s v="Profit"/>
    <s v="Low"/>
  </r>
  <r>
    <n v="119"/>
    <s v="US-2023-165589"/>
    <x v="35"/>
    <d v="2023-02-18T00:00:00"/>
    <s v="Same Day"/>
    <s v="TB-21595"/>
    <s v="Troy Blackwell"/>
    <x v="0"/>
    <s v="United States"/>
    <s v="Lubbock"/>
    <s v="Texas"/>
    <n v="79424"/>
    <x v="0"/>
    <s v="FUR-FU-10002396"/>
    <x v="1"/>
    <x v="8"/>
    <s v="DAX Copper Panel Document Frame, 5 x 7 Size"/>
    <n v="25.16"/>
    <n v="5"/>
    <n v="0.6"/>
    <n v="-11.321999999999999"/>
    <x v="0"/>
    <x v="1"/>
    <n v="-2.2643999999999997"/>
    <s v="Loss"/>
    <s v="High"/>
  </r>
  <r>
    <n v="120"/>
    <s v="US-2023-152905"/>
    <x v="35"/>
    <d v="2023-02-24T00:00:00"/>
    <s v="Standard Class"/>
    <s v="AB-10015"/>
    <s v="Aaron Bergman"/>
    <x v="0"/>
    <s v="United States"/>
    <s v="Arlington"/>
    <s v="Texas"/>
    <n v="76017"/>
    <x v="0"/>
    <s v="OFF-ST-10000321"/>
    <x v="0"/>
    <x v="3"/>
    <s v="Akro Stacking Bins"/>
    <n v="12.624000000000001"/>
    <n v="2"/>
    <n v="0.2"/>
    <n v="-2.5248000000000022"/>
    <x v="0"/>
    <x v="1"/>
    <n v="-1.2624000000000011"/>
    <s v="Loss"/>
    <s v="Low"/>
  </r>
  <r>
    <n v="121"/>
    <s v="US-2023-109491"/>
    <x v="36"/>
    <d v="2023-02-26T00:00:00"/>
    <s v="Standard Class"/>
    <s v="LC-16930"/>
    <s v="Linda Cazamias"/>
    <x v="2"/>
    <s v="United States"/>
    <s v="Richmond"/>
    <s v="Indiana"/>
    <n v="47374"/>
    <x v="0"/>
    <s v="FUR-FU-10000221"/>
    <x v="1"/>
    <x v="8"/>
    <s v="Master Caster Door Stop, Brown"/>
    <n v="20.32"/>
    <n v="4"/>
    <n v="0"/>
    <n v="6.9087999999999994"/>
    <x v="0"/>
    <x v="1"/>
    <n v="1.7271999999999998"/>
    <s v="Profit"/>
    <s v="No Discount"/>
  </r>
  <r>
    <n v="122"/>
    <s v="US-2023-164903"/>
    <x v="36"/>
    <d v="2023-02-24T00:00:00"/>
    <s v="Standard Class"/>
    <s v="SR-20740"/>
    <s v="Steven Roelle"/>
    <x v="1"/>
    <s v="United States"/>
    <s v="Los Angeles"/>
    <s v="California"/>
    <n v="90049"/>
    <x v="3"/>
    <s v="OFF-PA-10003363"/>
    <x v="0"/>
    <x v="0"/>
    <s v="Xerox 204"/>
    <n v="12.96"/>
    <n v="2"/>
    <n v="0"/>
    <n v="6.2208000000000006"/>
    <x v="0"/>
    <x v="1"/>
    <n v="3.1104000000000003"/>
    <s v="Profit"/>
    <s v="No Discount"/>
  </r>
  <r>
    <n v="123"/>
    <s v="US-2023-109491"/>
    <x v="36"/>
    <d v="2023-02-26T00:00:00"/>
    <s v="Standard Class"/>
    <s v="LC-16930"/>
    <s v="Linda Cazamias"/>
    <x v="2"/>
    <s v="United States"/>
    <s v="Richmond"/>
    <s v="Indiana"/>
    <n v="47374"/>
    <x v="0"/>
    <s v="TEC-AC-10001284"/>
    <x v="2"/>
    <x v="9"/>
    <s v="Enermax Briskie RF Wireless Keyboard and Mouse Combo"/>
    <n v="62.31"/>
    <n v="3"/>
    <n v="0"/>
    <n v="22.4316"/>
    <x v="0"/>
    <x v="1"/>
    <n v="7.4771999999999998"/>
    <s v="Profit"/>
    <s v="No Discount"/>
  </r>
  <r>
    <n v="124"/>
    <s v="US-2023-165540"/>
    <x v="37"/>
    <d v="2023-02-25T00:00:00"/>
    <s v="Standard Class"/>
    <s v="TM-21010"/>
    <s v="Tamara Manning"/>
    <x v="0"/>
    <s v="United States"/>
    <s v="Woodstock"/>
    <s v="Illinois"/>
    <n v="60098"/>
    <x v="0"/>
    <s v="OFF-BI-10004094"/>
    <x v="0"/>
    <x v="1"/>
    <s v="GBC Standard Plastic Binding Systems Combs"/>
    <n v="8.8499999999999979"/>
    <n v="5"/>
    <n v="0.8"/>
    <n v="-13.717499999999998"/>
    <x v="0"/>
    <x v="1"/>
    <n v="-2.7434999999999996"/>
    <s v="Loss"/>
    <s v="High"/>
  </r>
  <r>
    <n v="125"/>
    <s v="US-2023-133354"/>
    <x v="38"/>
    <d v="2023-02-24T00:00:00"/>
    <s v="First Class"/>
    <s v="SA-20830"/>
    <s v="Sue Ann Reed"/>
    <x v="0"/>
    <s v="United States"/>
    <s v="Moreno Valley"/>
    <s v="California"/>
    <n v="92553"/>
    <x v="3"/>
    <s v="OFF-PA-10001800"/>
    <x v="0"/>
    <x v="0"/>
    <s v="Xerox 220"/>
    <n v="19.440000000000001"/>
    <n v="3"/>
    <n v="0"/>
    <n v="9.3312000000000008"/>
    <x v="0"/>
    <x v="1"/>
    <n v="3.1104000000000003"/>
    <s v="Profit"/>
    <s v="No Discount"/>
  </r>
  <r>
    <n v="126"/>
    <s v="US-2023-103744"/>
    <x v="39"/>
    <d v="2023-02-27T00:00:00"/>
    <s v="Standard Class"/>
    <s v="MG-17875"/>
    <s v="Michael Grace"/>
    <x v="1"/>
    <s v="United States"/>
    <s v="El Paso"/>
    <s v="Texas"/>
    <n v="79907"/>
    <x v="0"/>
    <s v="OFF-BI-10000320"/>
    <x v="0"/>
    <x v="1"/>
    <s v="GBC Plastic Binding Combs"/>
    <n v="4.427999999999999"/>
    <n v="3"/>
    <n v="0.8"/>
    <n v="-6.8633999999999986"/>
    <x v="0"/>
    <x v="1"/>
    <n v="-2.2877999999999994"/>
    <s v="Loss"/>
    <s v="High"/>
  </r>
  <r>
    <n v="127"/>
    <s v="US-2023-103744"/>
    <x v="39"/>
    <d v="2023-02-27T00:00:00"/>
    <s v="Standard Class"/>
    <s v="MG-17875"/>
    <s v="Michael Grace"/>
    <x v="1"/>
    <s v="United States"/>
    <s v="El Paso"/>
    <s v="Texas"/>
    <n v="79907"/>
    <x v="0"/>
    <s v="OFF-LA-10004425"/>
    <x v="0"/>
    <x v="2"/>
    <s v="Staple-on labels"/>
    <n v="6.9360000000000008"/>
    <n v="3"/>
    <n v="0.2"/>
    <n v="2.3409000000000004"/>
    <x v="0"/>
    <x v="1"/>
    <n v="0.7803000000000001"/>
    <s v="Profit"/>
    <s v="Low"/>
  </r>
  <r>
    <n v="128"/>
    <s v="US-2023-137680"/>
    <x v="40"/>
    <d v="2023-03-02T00:00:00"/>
    <s v="Standard Class"/>
    <s v="JH-15430"/>
    <s v="Jennifer Halladay"/>
    <x v="0"/>
    <s v="United States"/>
    <s v="Medford"/>
    <s v="Oregon"/>
    <n v="97504"/>
    <x v="3"/>
    <s v="OFF-PA-10000069"/>
    <x v="0"/>
    <x v="0"/>
    <s v="TOPS 4 x 6 Fluorescent Color Memo Sheets, 500 Sheets per Pack"/>
    <n v="22.776000000000003"/>
    <n v="3"/>
    <n v="0.2"/>
    <n v="7.6868999999999996"/>
    <x v="0"/>
    <x v="1"/>
    <n v="2.5623"/>
    <s v="Profit"/>
    <s v="Low"/>
  </r>
  <r>
    <n v="129"/>
    <s v="US-2023-137680"/>
    <x v="40"/>
    <d v="2023-03-02T00:00:00"/>
    <s v="Standard Class"/>
    <s v="JH-15430"/>
    <s v="Jennifer Halladay"/>
    <x v="0"/>
    <s v="United States"/>
    <s v="Medford"/>
    <s v="Oregon"/>
    <n v="97504"/>
    <x v="3"/>
    <s v="OFF-PA-10000174"/>
    <x v="0"/>
    <x v="0"/>
    <s v="Message Book, Wirebound, Four 5 1/2&quot; X 4&quot; Forms/Pg., 200 Dupl. Sets/Book"/>
    <n v="32.896000000000001"/>
    <n v="4"/>
    <n v="0.2"/>
    <n v="11.102399999999996"/>
    <x v="0"/>
    <x v="1"/>
    <n v="2.775599999999999"/>
    <s v="Profit"/>
    <s v="Low"/>
  </r>
  <r>
    <n v="130"/>
    <s v="US-2023-156545"/>
    <x v="41"/>
    <d v="2023-03-03T00:00:00"/>
    <s v="First Class"/>
    <s v="JS-16030"/>
    <s v="Joy Smith"/>
    <x v="0"/>
    <s v="United States"/>
    <s v="Columbus"/>
    <s v="Ohio"/>
    <n v="43229"/>
    <x v="1"/>
    <s v="OFF-AR-10003560"/>
    <x v="0"/>
    <x v="4"/>
    <s v="Zebra Zazzle Fluorescent Highlighters"/>
    <n v="19.456000000000003"/>
    <n v="4"/>
    <n v="0.2"/>
    <n v="3.4047999999999981"/>
    <x v="0"/>
    <x v="1"/>
    <n v="0.85119999999999951"/>
    <s v="Profit"/>
    <s v="Low"/>
  </r>
  <r>
    <n v="131"/>
    <s v="US-2023-113880"/>
    <x v="42"/>
    <d v="2023-03-05T00:00:00"/>
    <s v="Standard Class"/>
    <s v="VF-21715"/>
    <s v="Vicky Freymann"/>
    <x v="1"/>
    <s v="United States"/>
    <s v="Elmhurst"/>
    <s v="Illinois"/>
    <n v="60126"/>
    <x v="0"/>
    <s v="FUR-CH-10000863"/>
    <x v="1"/>
    <x v="5"/>
    <s v="Novimex Swivel Fabric Task Chair"/>
    <n v="634.11599999999999"/>
    <n v="6"/>
    <n v="0.3"/>
    <n v="-172.11720000000003"/>
    <x v="0"/>
    <x v="2"/>
    <n v="-28.686200000000003"/>
    <s v="Loss"/>
    <s v="Medium"/>
  </r>
  <r>
    <n v="132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FUR-CH-10001270"/>
    <x v="1"/>
    <x v="5"/>
    <s v="Harbour Creations Steel Folding Chair"/>
    <n v="362.24999999999994"/>
    <n v="6"/>
    <n v="0.3"/>
    <n v="0"/>
    <x v="0"/>
    <x v="2"/>
    <n v="0"/>
    <s v="Break-even"/>
    <s v="Medium"/>
  </r>
  <r>
    <n v="133"/>
    <s v="US-2023-104269"/>
    <x v="42"/>
    <d v="2023-03-06T00:00:00"/>
    <s v="Second Class"/>
    <s v="DB-13060"/>
    <s v="Dave Brooks"/>
    <x v="0"/>
    <s v="United States"/>
    <s v="Seattle"/>
    <s v="Washington"/>
    <n v="98115"/>
    <x v="3"/>
    <s v="FUR-CH-10004063"/>
    <x v="1"/>
    <x v="5"/>
    <s v="Global Deluxe High-Back Manager's Chair"/>
    <n v="457.56800000000004"/>
    <n v="2"/>
    <n v="0.2"/>
    <n v="51.476399999999941"/>
    <x v="0"/>
    <x v="2"/>
    <n v="25.738199999999971"/>
    <s v="Profit"/>
    <s v="Low"/>
  </r>
  <r>
    <n v="134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FUR-FU-10001095"/>
    <x v="1"/>
    <x v="8"/>
    <s v="DAX Black Cherry Wood-Tone Poster Frame"/>
    <n v="63.552000000000007"/>
    <n v="6"/>
    <n v="0.6"/>
    <n v="-34.953600000000002"/>
    <x v="0"/>
    <x v="2"/>
    <n v="-5.8256000000000006"/>
    <s v="Loss"/>
    <s v="High"/>
  </r>
  <r>
    <n v="135"/>
    <s v="US-2023-168312"/>
    <x v="42"/>
    <d v="2023-03-07T00:00:00"/>
    <s v="Standard Class"/>
    <s v="GW-14605"/>
    <s v="Giulietta Weimer"/>
    <x v="0"/>
    <s v="United States"/>
    <s v="Houston"/>
    <s v="Texas"/>
    <n v="77036"/>
    <x v="0"/>
    <s v="FUR-TA-10001866"/>
    <x v="1"/>
    <x v="13"/>
    <s v="Bevis Round Conference Room Tables and Bases"/>
    <n v="376.50899999999996"/>
    <n v="3"/>
    <n v="0.3"/>
    <n v="-43.029600000000045"/>
    <x v="0"/>
    <x v="2"/>
    <n v="-14.343200000000015"/>
    <s v="Loss"/>
    <s v="Medium"/>
  </r>
  <r>
    <n v="136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OFF-FA-10004395"/>
    <x v="0"/>
    <x v="6"/>
    <s v="Plymouth Boxed Rubber Bands by Plymouth"/>
    <n v="18.84"/>
    <n v="5"/>
    <n v="0.2"/>
    <n v="-3.5324999999999998"/>
    <x v="0"/>
    <x v="2"/>
    <n v="-0.70649999999999991"/>
    <s v="Loss"/>
    <s v="Low"/>
  </r>
  <r>
    <n v="137"/>
    <s v="US-2023-113880"/>
    <x v="42"/>
    <d v="2023-03-05T00:00:00"/>
    <s v="Standard Class"/>
    <s v="VF-21715"/>
    <s v="Vicky Freymann"/>
    <x v="1"/>
    <s v="United States"/>
    <s v="Elmhurst"/>
    <s v="Illinois"/>
    <n v="60126"/>
    <x v="0"/>
    <s v="OFF-PA-10003036"/>
    <x v="0"/>
    <x v="0"/>
    <s v="Black Print Carbonless 8 1/2&quot; x 8 1/4&quot; Rapid Memo Book"/>
    <n v="17.472000000000001"/>
    <n v="3"/>
    <n v="0.2"/>
    <n v="5.6783999999999981"/>
    <x v="0"/>
    <x v="2"/>
    <n v="1.8927999999999994"/>
    <s v="Profit"/>
    <s v="Low"/>
  </r>
  <r>
    <n v="138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OFF-ST-10001469"/>
    <x v="0"/>
    <x v="3"/>
    <s v="Fellowes Bankers Box Recycled Super Stor/Drawer"/>
    <n v="129.55199999999999"/>
    <n v="3"/>
    <n v="0.2"/>
    <n v="-22.671600000000005"/>
    <x v="0"/>
    <x v="2"/>
    <n v="-7.5572000000000017"/>
    <s v="Loss"/>
    <s v="Low"/>
  </r>
  <r>
    <n v="139"/>
    <s v="US-2023-168312"/>
    <x v="42"/>
    <d v="2023-03-07T00:00:00"/>
    <s v="Standard Class"/>
    <s v="GW-14605"/>
    <s v="Giulietta Weimer"/>
    <x v="0"/>
    <s v="United States"/>
    <s v="Houston"/>
    <s v="Texas"/>
    <n v="77036"/>
    <x v="0"/>
    <s v="OFF-ST-10003692"/>
    <x v="0"/>
    <x v="3"/>
    <s v="Recycled Steel Personal File for Hanging File Folders"/>
    <n v="137.352"/>
    <n v="3"/>
    <n v="0.2"/>
    <n v="8.5844999999999914"/>
    <x v="0"/>
    <x v="2"/>
    <n v="2.8614999999999973"/>
    <s v="Profit"/>
    <s v="Low"/>
  </r>
  <r>
    <n v="140"/>
    <s v="US-2023-143707"/>
    <x v="42"/>
    <d v="2023-03-05T00:00:00"/>
    <s v="Standard Class"/>
    <s v="HR-14770"/>
    <s v="Hallie Redmond"/>
    <x v="1"/>
    <s v="United States"/>
    <s v="New York City"/>
    <s v="New York"/>
    <n v="10035"/>
    <x v="1"/>
    <s v="TEC-PH-10003655"/>
    <x v="2"/>
    <x v="7"/>
    <s v="Sannysis Cute Owl Design Soft Skin Case Cover for Samsung Galaxy S4"/>
    <n v="5.9399999999999995"/>
    <n v="3"/>
    <n v="0"/>
    <n v="1.6037999999999999"/>
    <x v="0"/>
    <x v="2"/>
    <n v="0.53459999999999996"/>
    <s v="Profit"/>
    <s v="No Discount"/>
  </r>
  <r>
    <n v="141"/>
    <s v="US-2023-107524"/>
    <x v="43"/>
    <d v="2023-03-08T00:00:00"/>
    <s v="Standard Class"/>
    <s v="KN-16705"/>
    <s v="Kristina Nunn"/>
    <x v="1"/>
    <s v="United States"/>
    <s v="New York City"/>
    <s v="New York"/>
    <n v="10009"/>
    <x v="1"/>
    <s v="OFF-EN-10001990"/>
    <x v="0"/>
    <x v="11"/>
    <s v="Staple envelope"/>
    <n v="11.36"/>
    <n v="2"/>
    <n v="0"/>
    <n v="5.3391999999999991"/>
    <x v="0"/>
    <x v="2"/>
    <n v="2.6695999999999995"/>
    <s v="Profit"/>
    <s v="No Discount"/>
  </r>
  <r>
    <n v="142"/>
    <s v="US-2023-111157"/>
    <x v="43"/>
    <d v="2023-03-06T00:00:00"/>
    <s v="Standard Class"/>
    <s v="NH-18610"/>
    <s v="Nicole Hansen"/>
    <x v="2"/>
    <s v="United States"/>
    <s v="Philadelphia"/>
    <s v="Pennsylvania"/>
    <n v="19120"/>
    <x v="1"/>
    <s v="OFF-PA-10000327"/>
    <x v="0"/>
    <x v="0"/>
    <s v="Xerox 1971"/>
    <n v="3.4240000000000004"/>
    <n v="1"/>
    <n v="0.2"/>
    <n v="1.0699999999999996"/>
    <x v="0"/>
    <x v="2"/>
    <n v="1.0699999999999996"/>
    <s v="Profit"/>
    <s v="Low"/>
  </r>
  <r>
    <n v="143"/>
    <s v="US-2023-107524"/>
    <x v="43"/>
    <d v="2023-03-08T00:00:00"/>
    <s v="Standard Class"/>
    <s v="KN-16705"/>
    <s v="Kristina Nunn"/>
    <x v="1"/>
    <s v="United States"/>
    <s v="New York City"/>
    <s v="New York"/>
    <n v="10009"/>
    <x v="1"/>
    <s v="OFF-PA-10000587"/>
    <x v="0"/>
    <x v="0"/>
    <s v="Array Parchment Paper, Assorted Colors"/>
    <n v="36.4"/>
    <n v="5"/>
    <n v="0"/>
    <n v="17.472000000000001"/>
    <x v="0"/>
    <x v="2"/>
    <n v="3.4944000000000002"/>
    <s v="Profit"/>
    <s v="No Discount"/>
  </r>
  <r>
    <n v="144"/>
    <s v="US-2023-111157"/>
    <x v="43"/>
    <d v="2023-03-06T00:00:00"/>
    <s v="Standard Class"/>
    <s v="NH-18610"/>
    <s v="Nicole Hansen"/>
    <x v="2"/>
    <s v="United States"/>
    <s v="Philadelphia"/>
    <s v="Pennsylvania"/>
    <n v="19120"/>
    <x v="1"/>
    <s v="TEC-AC-10004353"/>
    <x v="2"/>
    <x v="9"/>
    <s v="Hypercom P1300 Pinpad"/>
    <n v="151.20000000000002"/>
    <n v="3"/>
    <n v="0.2"/>
    <n v="32.130000000000003"/>
    <x v="0"/>
    <x v="2"/>
    <n v="10.71"/>
    <s v="Profit"/>
    <s v="Low"/>
  </r>
  <r>
    <n v="145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FUR-BO-10001972"/>
    <x v="1"/>
    <x v="10"/>
    <s v="O'Sullivan 4-Shelf Bookcase in Odessa Pine"/>
    <n v="302.45"/>
    <n v="5"/>
    <n v="0.5"/>
    <n v="-199.61700000000002"/>
    <x v="0"/>
    <x v="2"/>
    <n v="-39.923400000000001"/>
    <s v="Loss"/>
    <s v="High"/>
  </r>
  <r>
    <n v="146"/>
    <s v="US-2023-105648"/>
    <x v="44"/>
    <d v="2023-03-07T00:00:00"/>
    <s v="Standard Class"/>
    <s v="EJ-14155"/>
    <s v="Eva Jacobs"/>
    <x v="0"/>
    <s v="United States"/>
    <s v="San Diego"/>
    <s v="California"/>
    <n v="92037"/>
    <x v="3"/>
    <s v="FUR-TA-10002958"/>
    <x v="1"/>
    <x v="13"/>
    <s v="Bevis Oval Conference Table, Walnut"/>
    <n v="626.35200000000009"/>
    <n v="3"/>
    <n v="0.2"/>
    <n v="-23.488200000000091"/>
    <x v="0"/>
    <x v="2"/>
    <n v="-7.8294000000000308"/>
    <s v="Loss"/>
    <s v="Low"/>
  </r>
  <r>
    <n v="147"/>
    <s v="US-2023-130421"/>
    <x v="44"/>
    <d v="2023-03-07T00:00:00"/>
    <s v="Standard Class"/>
    <s v="SC-20020"/>
    <s v="Sam Craven"/>
    <x v="0"/>
    <s v="United States"/>
    <s v="Houston"/>
    <s v="Texas"/>
    <n v="77095"/>
    <x v="0"/>
    <s v="OFF-AP-10002534"/>
    <x v="0"/>
    <x v="12"/>
    <s v="3.6 Cubic Foot Counter Height Office Refrigerator"/>
    <n v="176.77199999999996"/>
    <n v="3"/>
    <n v="0.8"/>
    <n v="-459.60720000000003"/>
    <x v="0"/>
    <x v="2"/>
    <n v="-153.20240000000001"/>
    <s v="Loss"/>
    <s v="High"/>
  </r>
  <r>
    <n v="148"/>
    <s v="US-2023-155852"/>
    <x v="44"/>
    <d v="2023-03-07T00:00:00"/>
    <s v="Second Class"/>
    <s v="AJ-10945"/>
    <s v="Ashley Jarboe"/>
    <x v="0"/>
    <s v="United States"/>
    <s v="Wilmington"/>
    <s v="North Carolina"/>
    <n v="28403"/>
    <x v="2"/>
    <s v="OFF-AR-10003560"/>
    <x v="0"/>
    <x v="4"/>
    <s v="Zebra Zazzle Fluorescent Highlighters"/>
    <n v="19.456000000000003"/>
    <n v="4"/>
    <n v="0.2"/>
    <n v="3.4047999999999981"/>
    <x v="0"/>
    <x v="2"/>
    <n v="0.85119999999999951"/>
    <s v="Profit"/>
    <s v="Low"/>
  </r>
  <r>
    <n v="149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OFF-BI-10003429"/>
    <x v="0"/>
    <x v="1"/>
    <s v="Cardinal HOLDit! Binder Insert Strips,Extra Strips"/>
    <n v="25.32"/>
    <n v="5"/>
    <n v="0.2"/>
    <n v="9.1785000000000014"/>
    <x v="0"/>
    <x v="2"/>
    <n v="1.8357000000000003"/>
    <s v="Profit"/>
    <s v="Low"/>
  </r>
  <r>
    <n v="150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OFF-BI-10004593"/>
    <x v="0"/>
    <x v="1"/>
    <s v="Ibico Laser Imprintable Binding System Covers"/>
    <n v="125.76"/>
    <n v="3"/>
    <n v="0.2"/>
    <n v="40.872"/>
    <x v="0"/>
    <x v="2"/>
    <n v="13.624000000000001"/>
    <s v="Profit"/>
    <s v="Low"/>
  </r>
  <r>
    <n v="151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OFF-LA-10000305"/>
    <x v="0"/>
    <x v="2"/>
    <s v="Avery 495"/>
    <n v="15.120000000000001"/>
    <n v="3"/>
    <n v="0.2"/>
    <n v="4.9139999999999988"/>
    <x v="0"/>
    <x v="2"/>
    <n v="1.6379999999999997"/>
    <s v="Profit"/>
    <s v="Low"/>
  </r>
  <r>
    <n v="152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OFF-ST-10002486"/>
    <x v="0"/>
    <x v="3"/>
    <s v="Eldon Shelf Savers Cubes and Bins"/>
    <n v="44.672000000000004"/>
    <n v="8"/>
    <n v="0.2"/>
    <n v="-10.051200000000003"/>
    <x v="0"/>
    <x v="2"/>
    <n v="-1.2564000000000004"/>
    <s v="Loss"/>
    <s v="Low"/>
  </r>
  <r>
    <n v="153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TEC-PH-10004700"/>
    <x v="2"/>
    <x v="7"/>
    <s v="PowerGen Dual USB Car Charger"/>
    <n v="9.99"/>
    <n v="1"/>
    <n v="0"/>
    <n v="4.5953999999999997"/>
    <x v="0"/>
    <x v="2"/>
    <n v="4.5953999999999997"/>
    <s v="Profit"/>
    <s v="No Discount"/>
  </r>
  <r>
    <n v="154"/>
    <s v="US-2023-117016"/>
    <x v="45"/>
    <d v="2023-03-09T00:00:00"/>
    <s v="Standard Class"/>
    <s v="SC-20095"/>
    <s v="Sanjit Chand"/>
    <x v="0"/>
    <s v="United States"/>
    <s v="Margate"/>
    <s v="Florida"/>
    <n v="33063"/>
    <x v="2"/>
    <s v="OFF-AR-10001374"/>
    <x v="0"/>
    <x v="4"/>
    <s v="BIC Brite Liner Highlighters, Chisel Tip"/>
    <n v="15.552000000000003"/>
    <n v="3"/>
    <n v="0.2"/>
    <n v="2.3327999999999989"/>
    <x v="0"/>
    <x v="2"/>
    <n v="0.77759999999999962"/>
    <s v="Profit"/>
    <s v="Low"/>
  </r>
  <r>
    <n v="155"/>
    <s v="US-2023-116239"/>
    <x v="45"/>
    <d v="2023-03-04T00:00:00"/>
    <s v="Same Day"/>
    <s v="CL-12565"/>
    <s v="Clay Ludtke"/>
    <x v="0"/>
    <s v="United States"/>
    <s v="Columbia"/>
    <s v="South Carolina"/>
    <n v="29203"/>
    <x v="2"/>
    <s v="OFF-ST-10001370"/>
    <x v="0"/>
    <x v="3"/>
    <s v="Sensible Storage WireTech Storage Systems"/>
    <n v="354.90000000000003"/>
    <n v="5"/>
    <n v="0"/>
    <n v="17.744999999999962"/>
    <x v="0"/>
    <x v="2"/>
    <n v="3.5489999999999924"/>
    <s v="Profit"/>
    <s v="No Discount"/>
  </r>
  <r>
    <n v="156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AR-10000588"/>
    <x v="0"/>
    <x v="4"/>
    <s v="Newell 345"/>
    <n v="59.519999999999996"/>
    <n v="3"/>
    <n v="0"/>
    <n v="15.475200000000001"/>
    <x v="0"/>
    <x v="2"/>
    <n v="5.1584000000000003"/>
    <s v="Profit"/>
    <s v="No Discount"/>
  </r>
  <r>
    <n v="157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BI-10001617"/>
    <x v="0"/>
    <x v="1"/>
    <s v="GBC Wire Binding Combs"/>
    <n v="49.632000000000005"/>
    <n v="6"/>
    <n v="0.2"/>
    <n v="16.750799999999998"/>
    <x v="0"/>
    <x v="2"/>
    <n v="2.7917999999999998"/>
    <s v="Profit"/>
    <s v="Low"/>
  </r>
  <r>
    <n v="158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PA-10001878"/>
    <x v="0"/>
    <x v="0"/>
    <s v="Xerox 1891"/>
    <n v="97.82"/>
    <n v="2"/>
    <n v="0"/>
    <n v="45.975399999999993"/>
    <x v="0"/>
    <x v="2"/>
    <n v="22.987699999999997"/>
    <s v="Profit"/>
    <s v="No Discount"/>
  </r>
  <r>
    <n v="159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SU-10000381"/>
    <x v="0"/>
    <x v="14"/>
    <s v="Acme Forged Steel Scissors with Black Enamel Handles"/>
    <n v="18.62"/>
    <n v="2"/>
    <n v="0"/>
    <n v="5.399799999999999"/>
    <x v="0"/>
    <x v="2"/>
    <n v="2.6998999999999995"/>
    <s v="Profit"/>
    <s v="No Discount"/>
  </r>
  <r>
    <n v="160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TEC-AC-10002001"/>
    <x v="2"/>
    <x v="9"/>
    <s v="Logitech Wireless Gaming Headset G930"/>
    <n v="479.97"/>
    <n v="3"/>
    <n v="0"/>
    <n v="177.58890000000002"/>
    <x v="0"/>
    <x v="2"/>
    <n v="59.196300000000008"/>
    <s v="Profit"/>
    <s v="No Discount"/>
  </r>
  <r>
    <n v="161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FUR-CH-10002780"/>
    <x v="1"/>
    <x v="5"/>
    <s v="Office Star - Task Chair with Contemporary Loop Arms"/>
    <n v="436.70400000000006"/>
    <n v="6"/>
    <n v="0.2"/>
    <n v="21.835199999999986"/>
    <x v="0"/>
    <x v="2"/>
    <n v="3.6391999999999975"/>
    <s v="Profit"/>
    <s v="Low"/>
  </r>
  <r>
    <n v="162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FUR-CH-10004477"/>
    <x v="1"/>
    <x v="5"/>
    <s v="Global Push Button Manager's Chair, Indigo"/>
    <n v="48.712000000000003"/>
    <n v="1"/>
    <n v="0.2"/>
    <n v="5.4800999999999966"/>
    <x v="0"/>
    <x v="2"/>
    <n v="5.4800999999999966"/>
    <s v="Profit"/>
    <s v="Low"/>
  </r>
  <r>
    <n v="163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FUR-CH-10004495"/>
    <x v="1"/>
    <x v="5"/>
    <s v="Global Leather and Oak Executive Chair, Black"/>
    <n v="481.56800000000004"/>
    <n v="2"/>
    <n v="0.2"/>
    <n v="54.17639999999993"/>
    <x v="0"/>
    <x v="2"/>
    <n v="27.088199999999965"/>
    <s v="Profit"/>
    <s v="Low"/>
  </r>
  <r>
    <n v="164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OFF-AR-10000390"/>
    <x v="0"/>
    <x v="4"/>
    <s v="Newell Chalk Holder"/>
    <n v="20.65"/>
    <n v="5"/>
    <n v="0"/>
    <n v="9.4989999999999988"/>
    <x v="0"/>
    <x v="2"/>
    <n v="1.8997999999999997"/>
    <s v="Profit"/>
    <s v="No Discount"/>
  </r>
  <r>
    <n v="165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OFF-AR-10001427"/>
    <x v="0"/>
    <x v="4"/>
    <s v="Newell 330"/>
    <n v="17.940000000000001"/>
    <n v="3"/>
    <n v="0"/>
    <n v="4.6644000000000005"/>
    <x v="0"/>
    <x v="2"/>
    <n v="1.5548000000000002"/>
    <s v="Profit"/>
    <s v="No Discount"/>
  </r>
  <r>
    <n v="166"/>
    <s v="US-2023-131982"/>
    <x v="47"/>
    <d v="2023-03-11T00:00:00"/>
    <s v="Second Class"/>
    <s v="NP-18685"/>
    <s v="Nora Pelletier"/>
    <x v="1"/>
    <s v="United States"/>
    <s v="Des Moines"/>
    <s v="Washington"/>
    <n v="98198"/>
    <x v="3"/>
    <s v="OFF-BI-10004224"/>
    <x v="0"/>
    <x v="1"/>
    <s v="Catalog Binders with Expanding Posts"/>
    <n v="107.64800000000001"/>
    <n v="2"/>
    <n v="0.2"/>
    <n v="33.639999999999986"/>
    <x v="0"/>
    <x v="2"/>
    <n v="16.819999999999993"/>
    <s v="Profit"/>
    <s v="Low"/>
  </r>
  <r>
    <n v="167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OFF-ST-10000934"/>
    <x v="0"/>
    <x v="3"/>
    <s v="Contico 72&quot;H Heavy-Duty Storage System"/>
    <n v="204.89999999999998"/>
    <n v="5"/>
    <n v="0"/>
    <n v="0"/>
    <x v="0"/>
    <x v="2"/>
    <n v="0"/>
    <s v="Break-even"/>
    <s v="No Discount"/>
  </r>
  <r>
    <n v="168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OFF-ST-10002344"/>
    <x v="0"/>
    <x v="3"/>
    <s v="Carina 42&quot;Hx23 3/4&quot;W Media Storage Unit"/>
    <n v="242.94"/>
    <n v="3"/>
    <n v="0"/>
    <n v="4.8588000000000164"/>
    <x v="0"/>
    <x v="2"/>
    <n v="1.6196000000000055"/>
    <s v="Profit"/>
    <s v="No Discount"/>
  </r>
  <r>
    <n v="169"/>
    <s v="US-2023-140116"/>
    <x v="48"/>
    <d v="2023-03-17T00:00:00"/>
    <s v="Standard Class"/>
    <s v="KT-16480"/>
    <s v="Kean Thornton"/>
    <x v="0"/>
    <s v="United States"/>
    <s v="Denver"/>
    <s v="Colorado"/>
    <n v="80219"/>
    <x v="3"/>
    <s v="OFF-AR-10001044"/>
    <x v="0"/>
    <x v="4"/>
    <s v="BOSTON Ranger #55 Pencil Sharpener, Black"/>
    <n v="83.168000000000006"/>
    <n v="4"/>
    <n v="0.2"/>
    <n v="9.3563999999999936"/>
    <x v="0"/>
    <x v="2"/>
    <n v="2.3390999999999984"/>
    <s v="Profit"/>
    <s v="Low"/>
  </r>
  <r>
    <n v="170"/>
    <s v="US-2023-100279"/>
    <x v="48"/>
    <d v="2023-03-14T00:00:00"/>
    <s v="Standard Class"/>
    <s v="SW-20275"/>
    <s v="Scott Williamson"/>
    <x v="0"/>
    <s v="United States"/>
    <s v="Royal Oak"/>
    <s v="Michigan"/>
    <n v="48073"/>
    <x v="0"/>
    <s v="OFF-PA-10002259"/>
    <x v="0"/>
    <x v="0"/>
    <s v="Geographics Note Cards, Blank, White, 8 1/2&quot; x 11&quot;"/>
    <n v="22.38"/>
    <n v="2"/>
    <n v="0"/>
    <n v="10.7424"/>
    <x v="0"/>
    <x v="2"/>
    <n v="5.3712"/>
    <s v="Profit"/>
    <s v="No Discount"/>
  </r>
  <r>
    <n v="171"/>
    <s v="US-2023-140116"/>
    <x v="48"/>
    <d v="2023-03-17T00:00:00"/>
    <s v="Standard Class"/>
    <s v="KT-16480"/>
    <s v="Kean Thornton"/>
    <x v="0"/>
    <s v="United States"/>
    <s v="Denver"/>
    <s v="Colorado"/>
    <n v="80219"/>
    <x v="3"/>
    <s v="OFF-ST-10000078"/>
    <x v="0"/>
    <x v="3"/>
    <s v="Tennsco 6- and 18-Compartment Lockers"/>
    <n v="636.40800000000013"/>
    <n v="3"/>
    <n v="0.2"/>
    <n v="-15.910200000000088"/>
    <x v="0"/>
    <x v="2"/>
    <n v="-5.3034000000000292"/>
    <s v="Loss"/>
    <s v="Low"/>
  </r>
  <r>
    <n v="172"/>
    <s v="US-2023-166884"/>
    <x v="49"/>
    <d v="2023-03-16T00:00:00"/>
    <s v="Second Class"/>
    <s v="CK-12205"/>
    <s v="Chloris Kastensmidt"/>
    <x v="0"/>
    <s v="United States"/>
    <s v="Columbus"/>
    <s v="Ohio"/>
    <n v="43229"/>
    <x v="1"/>
    <s v="FUR-FU-10003981"/>
    <x v="1"/>
    <x v="8"/>
    <s v="Eldon Wave Desk Accessories"/>
    <n v="8.32"/>
    <n v="5"/>
    <n v="0.2"/>
    <n v="2.2880000000000003"/>
    <x v="0"/>
    <x v="2"/>
    <n v="0.45760000000000006"/>
    <s v="Profit"/>
    <s v="Low"/>
  </r>
  <r>
    <n v="173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OFF-AP-10002578"/>
    <x v="0"/>
    <x v="12"/>
    <s v="Fellowes Premier Superior Surge Suppressor, 10-Outlet, With Phone and Remote"/>
    <n v="146.76"/>
    <n v="3"/>
    <n v="0"/>
    <n v="38.157600000000002"/>
    <x v="0"/>
    <x v="2"/>
    <n v="12.719200000000001"/>
    <s v="Profit"/>
    <s v="No Discount"/>
  </r>
  <r>
    <n v="174"/>
    <s v="US-2023-103338"/>
    <x v="49"/>
    <d v="2023-03-15T00:00:00"/>
    <s v="Standard Class"/>
    <s v="RB-19435"/>
    <s v="Richard Bierner"/>
    <x v="0"/>
    <s v="United States"/>
    <s v="Roseville"/>
    <s v="California"/>
    <n v="95661"/>
    <x v="3"/>
    <s v="OFF-AR-10001770"/>
    <x v="0"/>
    <x v="4"/>
    <s v="Economy #2 Pencils"/>
    <n v="7.98"/>
    <n v="3"/>
    <n v="0"/>
    <n v="2.0747999999999998"/>
    <x v="0"/>
    <x v="2"/>
    <n v="0.69159999999999988"/>
    <s v="Profit"/>
    <s v="No Discount"/>
  </r>
  <r>
    <n v="175"/>
    <s v="US-2023-166884"/>
    <x v="49"/>
    <d v="2023-03-16T00:00:00"/>
    <s v="Second Class"/>
    <s v="CK-12205"/>
    <s v="Chloris Kastensmidt"/>
    <x v="0"/>
    <s v="United States"/>
    <s v="Columbus"/>
    <s v="Ohio"/>
    <n v="43229"/>
    <x v="1"/>
    <s v="OFF-FA-10001561"/>
    <x v="0"/>
    <x v="6"/>
    <s v="Stockwell Push Pins"/>
    <n v="10.464000000000002"/>
    <n v="6"/>
    <n v="0.2"/>
    <n v="1.7003999999999992"/>
    <x v="0"/>
    <x v="2"/>
    <n v="0.28339999999999987"/>
    <s v="Profit"/>
    <s v="Low"/>
  </r>
  <r>
    <n v="176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OFF-PA-10000213"/>
    <x v="0"/>
    <x v="0"/>
    <s v="Xerox 198"/>
    <n v="14.940000000000001"/>
    <n v="3"/>
    <n v="0"/>
    <n v="7.0218000000000007"/>
    <x v="0"/>
    <x v="2"/>
    <n v="2.3406000000000002"/>
    <s v="Profit"/>
    <s v="No Discount"/>
  </r>
  <r>
    <n v="177"/>
    <s v="US-2023-158337"/>
    <x v="49"/>
    <d v="2023-03-14T00:00:00"/>
    <s v="Second Class"/>
    <s v="KA-16525"/>
    <s v="Kelly Andreada"/>
    <x v="0"/>
    <s v="United States"/>
    <s v="New York City"/>
    <s v="New York"/>
    <n v="10024"/>
    <x v="1"/>
    <s v="OFF-PA-10002137"/>
    <x v="0"/>
    <x v="0"/>
    <s v="Southworth 100% Résumé Paper, 24lb."/>
    <n v="108.92"/>
    <n v="14"/>
    <n v="0"/>
    <n v="49.013999999999996"/>
    <x v="0"/>
    <x v="2"/>
    <n v="3.5009999999999999"/>
    <s v="Profit"/>
    <s v="No Discount"/>
  </r>
  <r>
    <n v="178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TEC-AC-10000710"/>
    <x v="2"/>
    <x v="9"/>
    <s v="Maxell DVD-RAM Discs"/>
    <n v="32.96"/>
    <n v="2"/>
    <n v="0"/>
    <n v="14.172800000000002"/>
    <x v="0"/>
    <x v="2"/>
    <n v="7.0864000000000011"/>
    <s v="Profit"/>
    <s v="No Discount"/>
  </r>
  <r>
    <n v="179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TEC-PH-10000984"/>
    <x v="2"/>
    <x v="7"/>
    <s v="Panasonic KX-TG9471B"/>
    <n v="587.97"/>
    <n v="3"/>
    <n v="0"/>
    <n v="164.63160000000005"/>
    <x v="0"/>
    <x v="2"/>
    <n v="54.877200000000016"/>
    <s v="Profit"/>
    <s v="No Discount"/>
  </r>
  <r>
    <n v="180"/>
    <s v="CA-2023-139675"/>
    <x v="50"/>
    <d v="2023-03-18T00:00:00"/>
    <s v="Second Class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  <x v="0"/>
    <x v="2"/>
    <n v="25.737500000000001"/>
    <s v="Profit"/>
    <s v="Low"/>
  </r>
  <r>
    <n v="181"/>
    <s v="CA-2023-139675"/>
    <x v="50"/>
    <d v="2023-03-18T00:00:00"/>
    <s v="Second Class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  <x v="0"/>
    <x v="2"/>
    <n v="11.47125"/>
    <s v="Profit"/>
    <s v="No Discount"/>
  </r>
  <r>
    <n v="182"/>
    <s v="US-2023-125521"/>
    <x v="51"/>
    <d v="2023-03-19T00:00:00"/>
    <s v="Standard Class"/>
    <s v="CK-12325"/>
    <s v="Christine Kargatis"/>
    <x v="1"/>
    <s v="United States"/>
    <s v="Chesapeake"/>
    <s v="Virginia"/>
    <n v="23320"/>
    <x v="2"/>
    <s v="FUR-CH-10003379"/>
    <x v="1"/>
    <x v="5"/>
    <s v="Global Commerce Series High-Back Swivel/Tilt Chairs"/>
    <n v="1139.92"/>
    <n v="4"/>
    <n v="0"/>
    <n v="284.98"/>
    <x v="0"/>
    <x v="2"/>
    <n v="71.245000000000005"/>
    <s v="Profit"/>
    <s v="No Discount"/>
  </r>
  <r>
    <n v="183"/>
    <s v="US-2023-157623"/>
    <x v="51"/>
    <d v="2023-03-18T00:00:00"/>
    <s v="Standard Class"/>
    <s v="DK-13225"/>
    <s v="Dean Katz"/>
    <x v="2"/>
    <s v="United States"/>
    <s v="Huntington Beach"/>
    <s v="California"/>
    <n v="92646"/>
    <x v="3"/>
    <s v="OFF-AR-10003723"/>
    <x v="0"/>
    <x v="4"/>
    <s v="Avery Hi-Liter Fluorescent Desk Style Markers"/>
    <n v="3.38"/>
    <n v="1"/>
    <n v="0"/>
    <n v="1.2505999999999999"/>
    <x v="0"/>
    <x v="2"/>
    <n v="1.2505999999999999"/>
    <s v="Profit"/>
    <s v="No Discount"/>
  </r>
  <r>
    <n v="184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BI-10001617"/>
    <x v="0"/>
    <x v="1"/>
    <s v="GBC Wire Binding Combs"/>
    <n v="33.088000000000001"/>
    <n v="4"/>
    <n v="0.2"/>
    <n v="11.167199999999999"/>
    <x v="0"/>
    <x v="2"/>
    <n v="2.7917999999999998"/>
    <s v="Profit"/>
    <s v="Low"/>
  </r>
  <r>
    <n v="185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BI-10003007"/>
    <x v="0"/>
    <x v="1"/>
    <s v="Premium Transparent Presentation Covers, No Pattern/Clear, 8 1/2&quot; x 11&quot;"/>
    <n v="62.048000000000002"/>
    <n v="2"/>
    <n v="0.2"/>
    <n v="20.165599999999998"/>
    <x v="0"/>
    <x v="2"/>
    <n v="10.082799999999999"/>
    <s v="Profit"/>
    <s v="Low"/>
  </r>
  <r>
    <n v="186"/>
    <s v="US-2023-100293"/>
    <x v="51"/>
    <d v="2023-03-18T00:00:00"/>
    <s v="Standard Class"/>
    <s v="NF-18475"/>
    <s v="Neil Französisch"/>
    <x v="1"/>
    <s v="United States"/>
    <s v="Jacksonville"/>
    <s v="Florida"/>
    <n v="32216"/>
    <x v="2"/>
    <s v="OFF-PA-10000176"/>
    <x v="0"/>
    <x v="0"/>
    <s v="Xerox 1887"/>
    <n v="91.055999999999997"/>
    <n v="6"/>
    <n v="0.2"/>
    <n v="31.869599999999995"/>
    <x v="0"/>
    <x v="2"/>
    <n v="5.3115999999999994"/>
    <s v="Profit"/>
    <s v="Low"/>
  </r>
  <r>
    <n v="187"/>
    <s v="US-2023-157623"/>
    <x v="51"/>
    <d v="2023-03-18T00:00:00"/>
    <s v="Standard Class"/>
    <s v="DK-13225"/>
    <s v="Dean Katz"/>
    <x v="2"/>
    <s v="United States"/>
    <s v="Huntington Beach"/>
    <s v="California"/>
    <n v="92646"/>
    <x v="3"/>
    <s v="OFF-PA-10001204"/>
    <x v="0"/>
    <x v="0"/>
    <s v="Xerox 1972"/>
    <n v="10.56"/>
    <n v="2"/>
    <n v="0"/>
    <n v="4.7519999999999998"/>
    <x v="0"/>
    <x v="2"/>
    <n v="2.3759999999999999"/>
    <s v="Profit"/>
    <s v="No Discount"/>
  </r>
  <r>
    <n v="188"/>
    <s v="US-2023-152618"/>
    <x v="51"/>
    <d v="2023-03-17T00:00:00"/>
    <s v="First Class"/>
    <s v="RB-19465"/>
    <s v="Rick Bensley"/>
    <x v="1"/>
    <s v="United States"/>
    <s v="Chicago"/>
    <s v="Illinois"/>
    <n v="60653"/>
    <x v="0"/>
    <s v="OFF-PA-10001215"/>
    <x v="0"/>
    <x v="0"/>
    <s v="Xerox 1963"/>
    <n v="8.4480000000000004"/>
    <n v="2"/>
    <n v="0.2"/>
    <n v="2.6399999999999997"/>
    <x v="0"/>
    <x v="2"/>
    <n v="1.3199999999999998"/>
    <s v="Profit"/>
    <s v="Low"/>
  </r>
  <r>
    <n v="189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ST-10000736"/>
    <x v="0"/>
    <x v="3"/>
    <s v="Carina Double Wide Media Storage Towers in Natural &amp; Black"/>
    <n v="80.98"/>
    <n v="1"/>
    <n v="0"/>
    <n v="3.2391999999999967"/>
    <x v="0"/>
    <x v="2"/>
    <n v="3.2391999999999967"/>
    <s v="Profit"/>
    <s v="No Discount"/>
  </r>
  <r>
    <n v="190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ST-10003221"/>
    <x v="0"/>
    <x v="3"/>
    <s v="Staple magnet"/>
    <n v="21.36"/>
    <n v="2"/>
    <n v="0"/>
    <n v="5.7672000000000008"/>
    <x v="0"/>
    <x v="2"/>
    <n v="2.8836000000000004"/>
    <s v="Profit"/>
    <s v="No Discount"/>
  </r>
  <r>
    <n v="191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TEC-AC-10004877"/>
    <x v="2"/>
    <x v="9"/>
    <s v="Imation 30456 USB Flash Drive 8GB"/>
    <n v="82.800000000000011"/>
    <n v="12"/>
    <n v="0"/>
    <n v="6.6239999999999952"/>
    <x v="0"/>
    <x v="2"/>
    <n v="0.5519999999999996"/>
    <s v="Profit"/>
    <s v="No Discount"/>
  </r>
  <r>
    <n v="192"/>
    <s v="US-2023-152618"/>
    <x v="51"/>
    <d v="2023-03-17T00:00:00"/>
    <s v="First Class"/>
    <s v="RB-19465"/>
    <s v="Rick Bensley"/>
    <x v="1"/>
    <s v="United States"/>
    <s v="Chicago"/>
    <s v="Illinois"/>
    <n v="60653"/>
    <x v="0"/>
    <s v="TEC-MA-10003626"/>
    <x v="2"/>
    <x v="15"/>
    <s v="Hewlett-Packard Deskjet 6540 Color Inkjet Printer"/>
    <n v="574.91"/>
    <n v="2"/>
    <n v="0.3"/>
    <n v="156.04699999999997"/>
    <x v="0"/>
    <x v="2"/>
    <n v="78.023499999999984"/>
    <s v="Profit"/>
    <s v="Medium"/>
  </r>
  <r>
    <n v="193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FUR-FU-10001756"/>
    <x v="1"/>
    <x v="8"/>
    <s v="Eldon Expressions Desk Accessory, Wood Photo Frame, Mahogany"/>
    <n v="45.695999999999998"/>
    <n v="3"/>
    <n v="0.2"/>
    <n v="5.1407999999999916"/>
    <x v="0"/>
    <x v="2"/>
    <n v="1.7135999999999971"/>
    <s v="Profit"/>
    <s v="Low"/>
  </r>
  <r>
    <n v="194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BI-10000773"/>
    <x v="0"/>
    <x v="1"/>
    <s v="Insertable Tab Post Binder Dividers"/>
    <n v="7.218"/>
    <n v="3"/>
    <n v="0.7"/>
    <n v="-5.5338000000000012"/>
    <x v="0"/>
    <x v="2"/>
    <n v="-1.8446000000000005"/>
    <s v="Loss"/>
    <s v="High"/>
  </r>
  <r>
    <n v="195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BI-10001543"/>
    <x v="0"/>
    <x v="1"/>
    <s v="GBC VeloBinder Manual Binding System"/>
    <n v="43.188000000000009"/>
    <n v="4"/>
    <n v="0.7"/>
    <n v="-31.671199999999999"/>
    <x v="0"/>
    <x v="2"/>
    <n v="-7.9177999999999997"/>
    <s v="Loss"/>
    <s v="High"/>
  </r>
  <r>
    <n v="196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PA-10002120"/>
    <x v="0"/>
    <x v="0"/>
    <s v="Xerox 1889"/>
    <n v="131.904"/>
    <n v="3"/>
    <n v="0.2"/>
    <n v="47.815200000000004"/>
    <x v="0"/>
    <x v="2"/>
    <n v="15.938400000000001"/>
    <s v="Profit"/>
    <s v="Low"/>
  </r>
  <r>
    <n v="197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ST-10001490"/>
    <x v="0"/>
    <x v="3"/>
    <s v="Hot File 7-Pocket, Floor Stand"/>
    <n v="142.77600000000001"/>
    <n v="1"/>
    <n v="0.2"/>
    <n v="17.84699999999998"/>
    <x v="0"/>
    <x v="2"/>
    <n v="17.84699999999998"/>
    <s v="Profit"/>
    <s v="Low"/>
  </r>
  <r>
    <n v="198"/>
    <s v="US-2023-157609"/>
    <x v="53"/>
    <d v="2023-03-21T00:00:00"/>
    <s v="Second Class"/>
    <s v="KN-16705"/>
    <s v="Kristina Nunn"/>
    <x v="1"/>
    <s v="United States"/>
    <s v="Raleigh"/>
    <s v="North Carolina"/>
    <n v="27604"/>
    <x v="2"/>
    <s v="TEC-PH-10002415"/>
    <x v="2"/>
    <x v="7"/>
    <s v="Polycom VoiceStation 500 Conference phone"/>
    <n v="471.92"/>
    <n v="2"/>
    <n v="0.2"/>
    <n v="29.495000000000019"/>
    <x v="0"/>
    <x v="2"/>
    <n v="14.747500000000009"/>
    <s v="Profit"/>
    <s v="Low"/>
  </r>
  <r>
    <n v="199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1950"/>
    <x v="1"/>
    <x v="13"/>
    <s v="Balt Solid Wood Round Tables"/>
    <n v="1071.576"/>
    <n v="4"/>
    <n v="0.4"/>
    <n v="-553.64760000000001"/>
    <x v="0"/>
    <x v="2"/>
    <n v="-138.4119"/>
    <s v="Loss"/>
    <s v="Medium"/>
  </r>
  <r>
    <n v="200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3473"/>
    <x v="1"/>
    <x v="13"/>
    <s v="Bretford Rectangular Conference Table Tops"/>
    <n v="1579.7460000000001"/>
    <n v="7"/>
    <n v="0.4"/>
    <n v="-447.59469999999988"/>
    <x v="0"/>
    <x v="2"/>
    <n v="-63.942099999999982"/>
    <s v="Loss"/>
    <s v="Medium"/>
  </r>
  <r>
    <n v="201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4175"/>
    <x v="1"/>
    <x v="13"/>
    <s v="Hon 30&quot; x 60&quot; Table with Locking Drawer"/>
    <n v="613.90800000000002"/>
    <n v="3"/>
    <n v="0.4"/>
    <n v="-122.78160000000003"/>
    <x v="0"/>
    <x v="2"/>
    <n v="-40.927200000000006"/>
    <s v="Loss"/>
    <s v="Medium"/>
  </r>
  <r>
    <n v="202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AP-10001154"/>
    <x v="0"/>
    <x v="12"/>
    <s v="Bionaire Personal Warm Mist Humidifier/Vaporizer"/>
    <n v="93.78"/>
    <n v="2"/>
    <n v="0"/>
    <n v="36.574200000000005"/>
    <x v="0"/>
    <x v="2"/>
    <n v="18.287100000000002"/>
    <s v="Profit"/>
    <s v="No Discount"/>
  </r>
  <r>
    <n v="203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AP-10003971"/>
    <x v="0"/>
    <x v="12"/>
    <s v="Belkin 6 Outlet Metallic Surge Strip"/>
    <n v="32.67"/>
    <n v="3"/>
    <n v="0"/>
    <n v="8.4942000000000011"/>
    <x v="0"/>
    <x v="2"/>
    <n v="2.8314000000000004"/>
    <s v="Profit"/>
    <s v="No Discount"/>
  </r>
  <r>
    <n v="204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AR-10003732"/>
    <x v="0"/>
    <x v="4"/>
    <s v="Newell 333"/>
    <n v="4.4479999999999995"/>
    <n v="2"/>
    <n v="0.2"/>
    <n v="0.3335999999999999"/>
    <x v="0"/>
    <x v="2"/>
    <n v="0.16679999999999995"/>
    <s v="Profit"/>
    <s v="Low"/>
  </r>
  <r>
    <n v="205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AR-10003829"/>
    <x v="0"/>
    <x v="4"/>
    <s v="Newell 35"/>
    <n v="19.68"/>
    <n v="6"/>
    <n v="0"/>
    <n v="5.7071999999999976"/>
    <x v="0"/>
    <x v="2"/>
    <n v="0.9511999999999996"/>
    <s v="Profit"/>
    <s v="No Discount"/>
  </r>
  <r>
    <n v="206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BI-10000136"/>
    <x v="0"/>
    <x v="1"/>
    <s v="Avery Non-Stick Heavy Duty View Round Locking Ring Binders"/>
    <n v="35.880000000000003"/>
    <n v="6"/>
    <n v="0"/>
    <n v="17.2224"/>
    <x v="0"/>
    <x v="2"/>
    <n v="2.8704000000000001"/>
    <s v="Profit"/>
    <s v="No Discount"/>
  </r>
  <r>
    <n v="207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BI-10000309"/>
    <x v="0"/>
    <x v="1"/>
    <s v="GBC Twin Loop Wire Binding Elements, 9/16&quot; Spine, Black"/>
    <n v="30.44"/>
    <n v="2"/>
    <n v="0"/>
    <n v="14.9156"/>
    <x v="0"/>
    <x v="2"/>
    <n v="7.4577999999999998"/>
    <s v="Profit"/>
    <s v="No Discount"/>
  </r>
  <r>
    <n v="208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BI-10000605"/>
    <x v="0"/>
    <x v="1"/>
    <s v="Acco Pressboard Covers with Storage Hooks, 9 1/2&quot; x 11&quot;, Executive Red"/>
    <n v="11.43"/>
    <n v="3"/>
    <n v="0"/>
    <n v="5.3720999999999997"/>
    <x v="0"/>
    <x v="2"/>
    <n v="1.7907"/>
    <s v="Profit"/>
    <s v="No Discount"/>
  </r>
  <r>
    <n v="209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BI-10001758"/>
    <x v="0"/>
    <x v="1"/>
    <s v="Wilson Jones 14 Line Acrylic Coated Pressboard Data Binders"/>
    <n v="53.4"/>
    <n v="10"/>
    <n v="0"/>
    <n v="25.097999999999999"/>
    <x v="0"/>
    <x v="2"/>
    <n v="2.5097999999999998"/>
    <s v="Profit"/>
    <s v="No Discount"/>
  </r>
  <r>
    <n v="210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PA-10000466"/>
    <x v="0"/>
    <x v="0"/>
    <s v="Memo Book, 100 Message Capacity, 5 3/8” x 11”"/>
    <n v="47.18"/>
    <n v="7"/>
    <n v="0"/>
    <n v="23.59"/>
    <x v="0"/>
    <x v="2"/>
    <n v="3.37"/>
    <s v="Profit"/>
    <s v="No Discount"/>
  </r>
  <r>
    <n v="211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OFF-PA-10000919"/>
    <x v="0"/>
    <x v="0"/>
    <s v="Xerox 1918"/>
    <n v="155.04"/>
    <n v="4"/>
    <n v="0"/>
    <n v="75.9696"/>
    <x v="0"/>
    <x v="2"/>
    <n v="18.9924"/>
    <s v="Profit"/>
    <s v="No Discount"/>
  </r>
  <r>
    <n v="212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PA-10002195"/>
    <x v="0"/>
    <x v="0"/>
    <s v="Xerox 1966"/>
    <n v="5.1840000000000011"/>
    <n v="1"/>
    <n v="0.2"/>
    <n v="1.8792"/>
    <x v="0"/>
    <x v="2"/>
    <n v="1.8792"/>
    <s v="Profit"/>
    <s v="Low"/>
  </r>
  <r>
    <n v="213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PA-10002365"/>
    <x v="0"/>
    <x v="0"/>
    <s v="Xerox 1967"/>
    <n v="15.552000000000003"/>
    <n v="3"/>
    <n v="0.2"/>
    <n v="5.4432"/>
    <x v="0"/>
    <x v="2"/>
    <n v="1.8144"/>
    <s v="Profit"/>
    <s v="Low"/>
  </r>
  <r>
    <n v="214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OFF-PA-10002960"/>
    <x v="0"/>
    <x v="0"/>
    <s v="Xerox 1926"/>
    <n v="34.86"/>
    <n v="7"/>
    <n v="0"/>
    <n v="16.3842"/>
    <x v="0"/>
    <x v="2"/>
    <n v="2.3405999999999998"/>
    <s v="Profit"/>
    <s v="No Discount"/>
  </r>
  <r>
    <n v="215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PA-10003063"/>
    <x v="0"/>
    <x v="0"/>
    <s v="EcoTones Memo Sheets"/>
    <n v="16"/>
    <n v="4"/>
    <n v="0"/>
    <n v="7.68"/>
    <x v="0"/>
    <x v="2"/>
    <n v="1.92"/>
    <s v="Profit"/>
    <s v="No Discount"/>
  </r>
  <r>
    <n v="216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PA-10003349"/>
    <x v="0"/>
    <x v="0"/>
    <s v="Xerox 1957"/>
    <n v="12.96"/>
    <n v="2"/>
    <n v="0"/>
    <n v="6.3504000000000005"/>
    <x v="0"/>
    <x v="2"/>
    <n v="3.1752000000000002"/>
    <s v="Profit"/>
    <s v="No Discount"/>
  </r>
  <r>
    <n v="217"/>
    <s v="US-2023-127859"/>
    <x v="54"/>
    <d v="2023-03-20T00:00:00"/>
    <s v="Second Class"/>
    <s v="QJ-19255"/>
    <s v="Quincy Jones"/>
    <x v="2"/>
    <s v="United States"/>
    <s v="Philadelphia"/>
    <s v="Pennsylvania"/>
    <n v="19134"/>
    <x v="1"/>
    <s v="OFF-PA-10003641"/>
    <x v="0"/>
    <x v="0"/>
    <s v="Xerox 1909"/>
    <n v="126.624"/>
    <n v="6"/>
    <n v="0.2"/>
    <n v="41.152799999999992"/>
    <x v="0"/>
    <x v="2"/>
    <n v="6.8587999999999987"/>
    <s v="Profit"/>
    <s v="Low"/>
  </r>
  <r>
    <n v="218"/>
    <s v="US-2023-111871"/>
    <x v="55"/>
    <d v="2023-03-21T00:00:00"/>
    <s v="Second Class"/>
    <s v="EK-13795"/>
    <s v="Eileen Kiefer"/>
    <x v="1"/>
    <s v="United States"/>
    <s v="San Francisco"/>
    <s v="California"/>
    <n v="94110"/>
    <x v="3"/>
    <s v="FUR-BO-10004218"/>
    <x v="1"/>
    <x v="10"/>
    <s v="Bush Heritage Pine Collection 5-Shelf Bookcase, Albany Pine Finish, *Special Order"/>
    <n v="1198.33"/>
    <n v="10"/>
    <n v="0.15"/>
    <n v="70.490000000000009"/>
    <x v="0"/>
    <x v="2"/>
    <n v="7.0490000000000013"/>
    <s v="Profit"/>
    <s v="Low"/>
  </r>
  <r>
    <n v="219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FUR-FU-10001986"/>
    <x v="1"/>
    <x v="8"/>
    <s v="Dana Fluorescent Magnifying Lamp, White, 36&quot;"/>
    <n v="122.352"/>
    <n v="3"/>
    <n v="0.2"/>
    <n v="15.29399999999999"/>
    <x v="0"/>
    <x v="2"/>
    <n v="5.0979999999999963"/>
    <s v="Profit"/>
    <s v="Low"/>
  </r>
  <r>
    <n v="220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FUR-FU-10004270"/>
    <x v="1"/>
    <x v="8"/>
    <s v="Executive Impressions 13&quot; Clairmont Wall Clock"/>
    <n v="30.768000000000001"/>
    <n v="2"/>
    <n v="0.2"/>
    <n v="8.0766000000000027"/>
    <x v="0"/>
    <x v="2"/>
    <n v="4.0383000000000013"/>
    <s v="Profit"/>
    <s v="Low"/>
  </r>
  <r>
    <n v="221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FUR-FU-10004597"/>
    <x v="1"/>
    <x v="8"/>
    <s v="Eldon Cleatmat Chair Mats for Medium Pile Carpets"/>
    <n v="111"/>
    <n v="2"/>
    <n v="0"/>
    <n v="14.430000000000007"/>
    <x v="0"/>
    <x v="2"/>
    <n v="7.2150000000000034"/>
    <s v="Profit"/>
    <s v="No Discount"/>
  </r>
  <r>
    <n v="222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AR-10003183"/>
    <x v="0"/>
    <x v="4"/>
    <s v="Avery Fluorescent Highlighter Four-Color Set"/>
    <n v="8.016"/>
    <n v="3"/>
    <n v="0.2"/>
    <n v="1.0019999999999993"/>
    <x v="0"/>
    <x v="2"/>
    <n v="0.3339999999999998"/>
    <s v="Profit"/>
    <s v="Low"/>
  </r>
  <r>
    <n v="223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FA-10003112"/>
    <x v="0"/>
    <x v="6"/>
    <s v="Staples"/>
    <n v="18.936"/>
    <n v="3"/>
    <n v="0.2"/>
    <n v="5.9174999999999986"/>
    <x v="0"/>
    <x v="2"/>
    <n v="1.9724999999999995"/>
    <s v="Profit"/>
    <s v="Low"/>
  </r>
  <r>
    <n v="224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PA-10001804"/>
    <x v="0"/>
    <x v="0"/>
    <s v="Xerox 195"/>
    <n v="21.376000000000001"/>
    <n v="4"/>
    <n v="0.2"/>
    <n v="7.4815999999999994"/>
    <x v="0"/>
    <x v="2"/>
    <n v="1.8703999999999998"/>
    <s v="Profit"/>
    <s v="Low"/>
  </r>
  <r>
    <n v="225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OFF-ST-10000078"/>
    <x v="0"/>
    <x v="3"/>
    <s v="Tennsco 6- and 18-Compartment Lockers"/>
    <n v="1856.19"/>
    <n v="7"/>
    <n v="0"/>
    <n v="334.11419999999987"/>
    <x v="0"/>
    <x v="2"/>
    <n v="47.730599999999981"/>
    <s v="Profit"/>
    <s v="No Discount"/>
  </r>
  <r>
    <n v="226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TEC-MA-10001148"/>
    <x v="2"/>
    <x v="15"/>
    <s v="Swingline SM12-08 MicroCut Jam Free Shredder"/>
    <n v="1279.9680000000001"/>
    <n v="4"/>
    <n v="0.2"/>
    <n v="415.98959999999994"/>
    <x v="0"/>
    <x v="2"/>
    <n v="103.99739999999998"/>
    <s v="Profit"/>
    <s v="Low"/>
  </r>
  <r>
    <n v="227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TEC-MA-10002412"/>
    <x v="2"/>
    <x v="15"/>
    <s v="Cisco TelePresence System EX90 Videoconferencing Unit"/>
    <n v="22638.48"/>
    <n v="6"/>
    <n v="0.5"/>
    <n v="-1811.0784000000021"/>
    <x v="0"/>
    <x v="2"/>
    <n v="-301.84640000000036"/>
    <s v="Loss"/>
    <s v="High"/>
  </r>
  <r>
    <n v="228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TEC-MA-10003626"/>
    <x v="2"/>
    <x v="15"/>
    <s v="Hewlett-Packard Deskjet 6540 Color Inkjet Printer"/>
    <n v="821.3"/>
    <n v="4"/>
    <n v="0.5"/>
    <n v="-16.426000000000045"/>
    <x v="0"/>
    <x v="2"/>
    <n v="-4.1065000000000111"/>
    <s v="Loss"/>
    <s v="High"/>
  </r>
  <r>
    <n v="229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FUR-FU-10002508"/>
    <x v="1"/>
    <x v="8"/>
    <s v="Document Clip Frames"/>
    <n v="20.016000000000002"/>
    <n v="3"/>
    <n v="0.2"/>
    <n v="5.5044000000000013"/>
    <x v="0"/>
    <x v="2"/>
    <n v="1.8348000000000004"/>
    <s v="Profit"/>
    <s v="Low"/>
  </r>
  <r>
    <n v="230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FUR-FU-10003981"/>
    <x v="1"/>
    <x v="8"/>
    <s v="Eldon Wave Desk Accessories"/>
    <n v="4.9920000000000009"/>
    <n v="3"/>
    <n v="0.2"/>
    <n v="1.3728000000000002"/>
    <x v="0"/>
    <x v="2"/>
    <n v="0.45760000000000006"/>
    <s v="Profit"/>
    <s v="Low"/>
  </r>
  <r>
    <n v="231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BI-10001196"/>
    <x v="0"/>
    <x v="1"/>
    <s v="Avery Flip-Chart Easel Binder, Black"/>
    <n v="33.57"/>
    <n v="5"/>
    <n v="0.7"/>
    <n v="-25.737000000000002"/>
    <x v="0"/>
    <x v="2"/>
    <n v="-5.1474000000000002"/>
    <s v="Loss"/>
    <s v="High"/>
  </r>
  <r>
    <n v="232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LA-10000443"/>
    <x v="0"/>
    <x v="2"/>
    <s v="Avery 501"/>
    <n v="11.808"/>
    <n v="4"/>
    <n v="0.2"/>
    <n v="3.9851999999999999"/>
    <x v="0"/>
    <x v="2"/>
    <n v="0.99629999999999996"/>
    <s v="Profit"/>
    <s v="Low"/>
  </r>
  <r>
    <n v="233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ST-10000918"/>
    <x v="0"/>
    <x v="3"/>
    <s v="Crate-A-Files"/>
    <n v="26.160000000000004"/>
    <n v="3"/>
    <n v="0.2"/>
    <n v="1.961999999999998"/>
    <x v="0"/>
    <x v="2"/>
    <n v="0.65399999999999936"/>
    <s v="Profit"/>
    <s v="Low"/>
  </r>
  <r>
    <n v="234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TEC-AC-10002647"/>
    <x v="2"/>
    <x v="9"/>
    <s v="Logitech Wireless Boombox Speaker - portable - wireless, wired"/>
    <n v="170.24"/>
    <n v="2"/>
    <n v="0.2"/>
    <n v="53.199999999999989"/>
    <x v="0"/>
    <x v="2"/>
    <n v="26.599999999999994"/>
    <s v="Profit"/>
    <s v="Low"/>
  </r>
  <r>
    <n v="235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TEC-PH-10004667"/>
    <x v="2"/>
    <x v="7"/>
    <s v="Cisco 8x8 Inc. 6753i IP Business Phone System"/>
    <n v="323.97600000000006"/>
    <n v="3"/>
    <n v="0.2"/>
    <n v="28.347899999999981"/>
    <x v="0"/>
    <x v="2"/>
    <n v="9.4492999999999938"/>
    <s v="Profit"/>
    <s v="Low"/>
  </r>
  <r>
    <n v="236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FUR-CH-10000422"/>
    <x v="1"/>
    <x v="5"/>
    <s v="Global Highback Leather Tilter in Burgundy"/>
    <n v="218.376"/>
    <n v="3"/>
    <n v="0.2"/>
    <n v="-10.918799999999983"/>
    <x v="0"/>
    <x v="2"/>
    <n v="-3.6395999999999944"/>
    <s v="Loss"/>
    <s v="Low"/>
  </r>
  <r>
    <n v="237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FUR-FU-10001473"/>
    <x v="1"/>
    <x v="8"/>
    <s v="DAX Wood Document Frame"/>
    <n v="32.952000000000005"/>
    <n v="3"/>
    <n v="0.2"/>
    <n v="6.5903999999999989"/>
    <x v="0"/>
    <x v="2"/>
    <n v="2.1967999999999996"/>
    <s v="Profit"/>
    <s v="Low"/>
  </r>
  <r>
    <n v="238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AR-10001573"/>
    <x v="0"/>
    <x v="4"/>
    <s v="American Pencil"/>
    <n v="9.32"/>
    <n v="4"/>
    <n v="0"/>
    <n v="2.702799999999999"/>
    <x v="0"/>
    <x v="2"/>
    <n v="0.67569999999999975"/>
    <s v="Profit"/>
    <s v="No Discount"/>
  </r>
  <r>
    <n v="239"/>
    <s v="US-2023-140004"/>
    <x v="57"/>
    <d v="2023-03-25T00:00:00"/>
    <s v="Standard Class"/>
    <s v="CB-12025"/>
    <s v="Cassandra Brandow"/>
    <x v="0"/>
    <s v="United States"/>
    <s v="Hamilton"/>
    <s v="Ohio"/>
    <n v="45011"/>
    <x v="1"/>
    <s v="OFF-AR-10004027"/>
    <x v="0"/>
    <x v="4"/>
    <s v="Binney &amp; Smith inkTank Erasable Desk Highlighter, Chisel Tip, Yellow, 12/Box"/>
    <n v="6.048"/>
    <n v="3"/>
    <n v="0.2"/>
    <n v="1.5876000000000006"/>
    <x v="0"/>
    <x v="2"/>
    <n v="0.52920000000000023"/>
    <s v="Profit"/>
    <s v="Low"/>
  </r>
  <r>
    <n v="240"/>
    <s v="US-2023-140004"/>
    <x v="57"/>
    <d v="2023-03-25T00:00:00"/>
    <s v="Standard Class"/>
    <s v="CB-12025"/>
    <s v="Cassandra Brandow"/>
    <x v="0"/>
    <s v="United States"/>
    <s v="Hamilton"/>
    <s v="Ohio"/>
    <n v="45011"/>
    <x v="1"/>
    <s v="OFF-AR-10004685"/>
    <x v="0"/>
    <x v="4"/>
    <s v="Binney &amp; Smith Crayola Metallic Colored Pencils, 8-Color Set"/>
    <n v="7.4080000000000004"/>
    <n v="2"/>
    <n v="0.2"/>
    <n v="1.2037999999999995"/>
    <x v="0"/>
    <x v="2"/>
    <n v="0.60189999999999977"/>
    <s v="Profit"/>
    <s v="Low"/>
  </r>
  <r>
    <n v="241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BI-10001597"/>
    <x v="0"/>
    <x v="1"/>
    <s v="Wilson Jones Ledger-Size, Piano-Hinge Binder, 2&quot;, Blue"/>
    <n v="122.94"/>
    <n v="3"/>
    <n v="0"/>
    <n v="59.011199999999988"/>
    <x v="0"/>
    <x v="2"/>
    <n v="19.670399999999997"/>
    <s v="Profit"/>
    <s v="No Discount"/>
  </r>
  <r>
    <n v="242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LA-10004409"/>
    <x v="0"/>
    <x v="2"/>
    <s v="Avery 492"/>
    <n v="14.399999999999999"/>
    <n v="5"/>
    <n v="0"/>
    <n v="6.6239999999999988"/>
    <x v="0"/>
    <x v="2"/>
    <n v="1.3247999999999998"/>
    <s v="Profit"/>
    <s v="No Discount"/>
  </r>
  <r>
    <n v="243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OFF-LA-10004544"/>
    <x v="0"/>
    <x v="2"/>
    <s v="Avery 505"/>
    <n v="59.20000000000001"/>
    <n v="5"/>
    <n v="0.2"/>
    <n v="22.199999999999996"/>
    <x v="0"/>
    <x v="2"/>
    <n v="4.4399999999999995"/>
    <s v="Profit"/>
    <s v="Low"/>
  </r>
  <r>
    <n v="244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PA-10000675"/>
    <x v="0"/>
    <x v="0"/>
    <s v="Xerox 1919"/>
    <n v="122.97"/>
    <n v="3"/>
    <n v="0"/>
    <n v="60.255300000000005"/>
    <x v="0"/>
    <x v="2"/>
    <n v="20.085100000000001"/>
    <s v="Profit"/>
    <s v="No Discount"/>
  </r>
  <r>
    <n v="245"/>
    <s v="US-2023-107405"/>
    <x v="57"/>
    <d v="2023-03-25T00:00:00"/>
    <s v="Standard Class"/>
    <s v="TS-21205"/>
    <s v="Thomas Seio"/>
    <x v="2"/>
    <s v="United States"/>
    <s v="Asheville"/>
    <s v="North Carolina"/>
    <n v="28806"/>
    <x v="2"/>
    <s v="OFF-ST-10002301"/>
    <x v="0"/>
    <x v="3"/>
    <s v="Tennsco Commercial Shelving"/>
    <n v="16.272000000000002"/>
    <n v="1"/>
    <n v="0.2"/>
    <n v="-3.864600000000002"/>
    <x v="0"/>
    <x v="2"/>
    <n v="-3.864600000000002"/>
    <s v="Loss"/>
    <s v="Low"/>
  </r>
  <r>
    <n v="246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TEC-PH-10000730"/>
    <x v="2"/>
    <x v="7"/>
    <s v="Samsung Galaxy S4 Active"/>
    <n v="3499.9300000000003"/>
    <n v="7"/>
    <n v="0"/>
    <n v="909.98180000000025"/>
    <x v="0"/>
    <x v="2"/>
    <n v="129.99740000000003"/>
    <s v="Profit"/>
    <s v="No Discount"/>
  </r>
  <r>
    <n v="247"/>
    <s v="US-2023-148040"/>
    <x v="58"/>
    <d v="2023-03-26T00:00:00"/>
    <s v="Standard Class"/>
    <s v="BF-11275"/>
    <s v="Beth Fritzler"/>
    <x v="2"/>
    <s v="United States"/>
    <s v="Tucson"/>
    <s v="Arizona"/>
    <n v="85705"/>
    <x v="3"/>
    <s v="FUR-CH-10001482"/>
    <x v="1"/>
    <x v="5"/>
    <s v="Office Star - Mesh Screen back chair with Vinyl seat"/>
    <n v="314.35199999999998"/>
    <n v="3"/>
    <n v="0.2"/>
    <n v="-35.36460000000001"/>
    <x v="0"/>
    <x v="2"/>
    <n v="-11.788200000000003"/>
    <s v="Loss"/>
    <s v="Low"/>
  </r>
  <r>
    <n v="248"/>
    <s v="US-2023-129609"/>
    <x v="58"/>
    <d v="2023-03-22T00:00:00"/>
    <s v="Same Day"/>
    <s v="VM-21835"/>
    <s v="Vivian Mathis"/>
    <x v="0"/>
    <s v="United States"/>
    <s v="Portage"/>
    <s v="Indiana"/>
    <n v="46368"/>
    <x v="0"/>
    <s v="OFF-AR-10003478"/>
    <x v="0"/>
    <x v="4"/>
    <s v="Avery Hi-Liter EverBold Pen Style Fluorescent Highlighters, 4/Pack"/>
    <n v="16.28"/>
    <n v="2"/>
    <n v="0"/>
    <n v="6.5120000000000005"/>
    <x v="0"/>
    <x v="2"/>
    <n v="3.2560000000000002"/>
    <s v="Profit"/>
    <s v="No Discount"/>
  </r>
  <r>
    <n v="249"/>
    <s v="US-2023-158057"/>
    <x v="58"/>
    <d v="2023-03-26T00:00:00"/>
    <s v="Standard Class"/>
    <s v="CC-12685"/>
    <s v="Craig Carroll"/>
    <x v="0"/>
    <s v="United States"/>
    <s v="Greensboro"/>
    <s v="North Carolina"/>
    <n v="27405"/>
    <x v="2"/>
    <s v="OFF-BI-10002735"/>
    <x v="0"/>
    <x v="1"/>
    <s v="GBC Prestige Therm-A-Bind Covers"/>
    <n v="51.465000000000018"/>
    <n v="5"/>
    <n v="0.7"/>
    <n v="-39.456499999999991"/>
    <x v="0"/>
    <x v="2"/>
    <n v="-7.8912999999999984"/>
    <s v="Loss"/>
    <s v="High"/>
  </r>
  <r>
    <n v="250"/>
    <s v="US-2023-158057"/>
    <x v="58"/>
    <d v="2023-03-26T00:00:00"/>
    <s v="Standard Class"/>
    <s v="CC-12685"/>
    <s v="Craig Carroll"/>
    <x v="0"/>
    <s v="United States"/>
    <s v="Greensboro"/>
    <s v="North Carolina"/>
    <n v="27405"/>
    <x v="2"/>
    <s v="OFF-BI-10004410"/>
    <x v="0"/>
    <x v="1"/>
    <s v="C-Line Peel &amp; Stick Add-On Filing Pockets, 8-3/4 x 5-1/8, 10/Pack"/>
    <n v="7.644000000000001"/>
    <n v="4"/>
    <n v="0.7"/>
    <n v="-5.8603999999999985"/>
    <x v="0"/>
    <x v="2"/>
    <n v="-1.4650999999999996"/>
    <s v="Loss"/>
    <s v="High"/>
  </r>
  <r>
    <n v="251"/>
    <s v="US-2023-148040"/>
    <x v="58"/>
    <d v="2023-03-26T00:00:00"/>
    <s v="Standard Class"/>
    <s v="BF-11275"/>
    <s v="Beth Fritzler"/>
    <x v="2"/>
    <s v="United States"/>
    <s v="Tucson"/>
    <s v="Arizona"/>
    <n v="85705"/>
    <x v="3"/>
    <s v="OFF-PA-10002581"/>
    <x v="0"/>
    <x v="0"/>
    <s v="Xerox 1951"/>
    <n v="74.352000000000004"/>
    <n v="3"/>
    <n v="0.2"/>
    <n v="23.234999999999992"/>
    <x v="0"/>
    <x v="2"/>
    <n v="7.7449999999999974"/>
    <s v="Profit"/>
    <s v="Low"/>
  </r>
  <r>
    <n v="252"/>
    <s v="US-2023-164749"/>
    <x v="59"/>
    <d v="2023-03-26T00:00:00"/>
    <s v="First Class"/>
    <s v="BG-11740"/>
    <s v="Bruce Geld"/>
    <x v="0"/>
    <s v="United States"/>
    <s v="Delray Beach"/>
    <s v="Florida"/>
    <n v="33445"/>
    <x v="2"/>
    <s v="OFF-LA-10004484"/>
    <x v="0"/>
    <x v="2"/>
    <s v="Avery 476"/>
    <n v="9.9120000000000008"/>
    <n v="3"/>
    <n v="0.2"/>
    <n v="3.2213999999999996"/>
    <x v="0"/>
    <x v="2"/>
    <n v="1.0737999999999999"/>
    <s v="Profit"/>
    <s v="Low"/>
  </r>
  <r>
    <n v="253"/>
    <s v="US-2023-120838"/>
    <x v="59"/>
    <d v="2023-03-26T00:00:00"/>
    <s v="Second Class"/>
    <s v="PO-18865"/>
    <s v="Patrick O'Donnell"/>
    <x v="0"/>
    <s v="United States"/>
    <s v="Los Angeles"/>
    <s v="California"/>
    <n v="90036"/>
    <x v="3"/>
    <s v="OFF-ST-10000585"/>
    <x v="0"/>
    <x v="3"/>
    <s v="Economy Rollaway Files"/>
    <n v="330.4"/>
    <n v="2"/>
    <n v="0"/>
    <n v="85.903999999999996"/>
    <x v="0"/>
    <x v="2"/>
    <n v="42.951999999999998"/>
    <s v="Profit"/>
    <s v="No Discount"/>
  </r>
  <r>
    <n v="254"/>
    <s v="US-2023-120838"/>
    <x v="59"/>
    <d v="2023-03-26T00:00:00"/>
    <s v="Second Class"/>
    <s v="PO-18865"/>
    <s v="Patrick O'Donnell"/>
    <x v="0"/>
    <s v="United States"/>
    <s v="Los Angeles"/>
    <s v="California"/>
    <n v="90036"/>
    <x v="3"/>
    <s v="TEC-PH-10003484"/>
    <x v="2"/>
    <x v="7"/>
    <s v="Ooma Telo VoIP Home Phone System"/>
    <n v="604.75199999999995"/>
    <n v="6"/>
    <n v="0.2"/>
    <n v="37.797000000000025"/>
    <x v="0"/>
    <x v="2"/>
    <n v="6.2995000000000045"/>
    <s v="Profit"/>
    <s v="Low"/>
  </r>
  <r>
    <n v="255"/>
    <s v="US-2023-143637"/>
    <x v="60"/>
    <d v="2023-03-29T00:00:00"/>
    <s v="Second Class"/>
    <s v="MS-17710"/>
    <s v="Maurice Satty"/>
    <x v="0"/>
    <s v="United States"/>
    <s v="Fresno"/>
    <s v="California"/>
    <n v="93727"/>
    <x v="3"/>
    <s v="FUR-FU-10002813"/>
    <x v="1"/>
    <x v="8"/>
    <s v="DAX Contemporary Wood Frame with Silver Metal Mat, Desktop, 11 x 14 Size"/>
    <n v="40.479999999999997"/>
    <n v="2"/>
    <n v="0"/>
    <n v="14.572799999999997"/>
    <x v="0"/>
    <x v="2"/>
    <n v="7.2863999999999987"/>
    <s v="Profit"/>
    <s v="No Discount"/>
  </r>
  <r>
    <n v="256"/>
    <s v="US-2023-147235"/>
    <x v="60"/>
    <d v="2023-03-28T00:00:00"/>
    <s v="Standard Class"/>
    <s v="CD-11920"/>
    <s v="Carlos Daly"/>
    <x v="0"/>
    <s v="United States"/>
    <s v="New York City"/>
    <s v="New York"/>
    <n v="10024"/>
    <x v="1"/>
    <s v="OFF-PA-10004948"/>
    <x v="0"/>
    <x v="0"/>
    <s v="Xerox 190"/>
    <n v="24.900000000000002"/>
    <n v="5"/>
    <n v="0"/>
    <n v="11.703000000000001"/>
    <x v="0"/>
    <x v="2"/>
    <n v="2.3406000000000002"/>
    <s v="Profit"/>
    <s v="No Discount"/>
  </r>
  <r>
    <n v="257"/>
    <s v="US-2023-148586"/>
    <x v="61"/>
    <d v="2023-04-01T00:00:00"/>
    <s v="Standard Class"/>
    <s v="AZ-10750"/>
    <s v="Annie Zypern"/>
    <x v="0"/>
    <s v="United States"/>
    <s v="New York City"/>
    <s v="New York"/>
    <n v="10009"/>
    <x v="1"/>
    <s v="FUR-CH-10002439"/>
    <x v="1"/>
    <x v="5"/>
    <s v="Iceberg Nesting Folding Chair, 19w x 6d x 43h"/>
    <n v="366.786"/>
    <n v="7"/>
    <n v="0.1"/>
    <n v="65.206400000000002"/>
    <x v="0"/>
    <x v="2"/>
    <n v="9.3152000000000008"/>
    <s v="Profit"/>
    <s v="Low"/>
  </r>
  <r>
    <n v="258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0034"/>
    <x v="0"/>
    <x v="4"/>
    <s v="BIC Brite Liner Grip Highlighters, Assorted, 5/Pack"/>
    <n v="25.44"/>
    <n v="6"/>
    <n v="0"/>
    <n v="9.9215999999999998"/>
    <x v="0"/>
    <x v="2"/>
    <n v="1.6536"/>
    <s v="Profit"/>
    <s v="No Discount"/>
  </r>
  <r>
    <n v="259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3338"/>
    <x v="0"/>
    <x v="4"/>
    <s v="Eberhard Faber 3 1/2&quot; Golf Pencils"/>
    <n v="14.88"/>
    <n v="2"/>
    <n v="0"/>
    <n v="3.7200000000000006"/>
    <x v="0"/>
    <x v="2"/>
    <n v="1.8600000000000003"/>
    <s v="Profit"/>
    <s v="No Discount"/>
  </r>
  <r>
    <n v="260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3829"/>
    <x v="0"/>
    <x v="4"/>
    <s v="Newell 35"/>
    <n v="6.56"/>
    <n v="2"/>
    <n v="0"/>
    <n v="1.9023999999999992"/>
    <x v="0"/>
    <x v="2"/>
    <n v="0.9511999999999996"/>
    <s v="Profit"/>
    <s v="No Discount"/>
  </r>
  <r>
    <n v="261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TEC-AC-10002558"/>
    <x v="2"/>
    <x v="9"/>
    <s v="Imation Swivel Flash Drive USB flash drive - 8 GB"/>
    <n v="45.48"/>
    <n v="4"/>
    <n v="0"/>
    <n v="15.917999999999999"/>
    <x v="0"/>
    <x v="2"/>
    <n v="3.9794999999999998"/>
    <s v="Profit"/>
    <s v="No Discount"/>
  </r>
  <r>
    <n v="262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OFF-AR-10004272"/>
    <x v="0"/>
    <x v="4"/>
    <s v="Newell 308"/>
    <n v="3.36"/>
    <n v="2"/>
    <n v="0"/>
    <n v="0.83999999999999986"/>
    <x v="0"/>
    <x v="2"/>
    <n v="0.41999999999999993"/>
    <s v="Profit"/>
    <s v="No Discount"/>
  </r>
  <r>
    <n v="263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OFF-BI-10003291"/>
    <x v="0"/>
    <x v="1"/>
    <s v="Wilson Jones Leather-Like Binders with DublLock Round Rings"/>
    <n v="27.936000000000003"/>
    <n v="4"/>
    <n v="0.2"/>
    <n v="9.4283999999999963"/>
    <x v="0"/>
    <x v="2"/>
    <n v="2.3570999999999991"/>
    <s v="Profit"/>
    <s v="Low"/>
  </r>
  <r>
    <n v="264"/>
    <s v="US-2023-100860"/>
    <x v="62"/>
    <d v="2023-03-30T00:00:00"/>
    <s v="Second Class"/>
    <s v="CS-12505"/>
    <s v="Cindy Stewart"/>
    <x v="0"/>
    <s v="United States"/>
    <s v="Pomona"/>
    <s v="California"/>
    <n v="91767"/>
    <x v="3"/>
    <s v="OFF-LA-10001982"/>
    <x v="0"/>
    <x v="2"/>
    <s v="Smead Alpha-Z Color-Coded Name Labels First Letter Starter Set"/>
    <n v="18.75"/>
    <n v="5"/>
    <n v="0"/>
    <n v="9"/>
    <x v="0"/>
    <x v="2"/>
    <n v="1.8"/>
    <s v="Profit"/>
    <s v="No Discount"/>
  </r>
  <r>
    <n v="265"/>
    <s v="US-2023-138436"/>
    <x v="62"/>
    <d v="2023-03-30T00:00:00"/>
    <s v="Standard Class"/>
    <s v="JD-15895"/>
    <s v="Jonathan Doherty"/>
    <x v="2"/>
    <s v="United States"/>
    <s v="Los Angeles"/>
    <s v="California"/>
    <n v="90036"/>
    <x v="3"/>
    <s v="TEC-AC-10002323"/>
    <x v="2"/>
    <x v="9"/>
    <s v="SanDisk Ultra 32 GB MicroSDHC Class 10 Memory Card"/>
    <n v="66.300000000000011"/>
    <n v="3"/>
    <n v="0"/>
    <n v="8.6190000000000033"/>
    <x v="0"/>
    <x v="2"/>
    <n v="2.8730000000000011"/>
    <s v="Profit"/>
    <s v="No Discount"/>
  </r>
  <r>
    <n v="266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TEC-PH-10004100"/>
    <x v="2"/>
    <x v="7"/>
    <s v="Griffin GC17055 Auxiliary Audio Cable"/>
    <n v="28.783999999999999"/>
    <n v="2"/>
    <n v="0.2"/>
    <n v="2.878400000000001"/>
    <x v="0"/>
    <x v="2"/>
    <n v="1.4392000000000005"/>
    <s v="Profit"/>
    <s v="Low"/>
  </r>
  <r>
    <n v="267"/>
    <s v="US-2023-117380"/>
    <x v="63"/>
    <d v="2023-04-03T00:00:00"/>
    <s v="Standard Class"/>
    <s v="MP-18175"/>
    <s v="Mike Pelletier"/>
    <x v="1"/>
    <s v="United States"/>
    <s v="Springfield"/>
    <s v="Ohio"/>
    <n v="45503"/>
    <x v="1"/>
    <s v="FUR-TA-10000198"/>
    <x v="1"/>
    <x v="13"/>
    <s v="Chromcraft Bull-Nose Wood Oval Conference Tables &amp; Bases"/>
    <n v="330.58800000000002"/>
    <n v="1"/>
    <n v="0.4"/>
    <n v="-143.25480000000002"/>
    <x v="0"/>
    <x v="2"/>
    <n v="-143.25480000000002"/>
    <s v="Loss"/>
    <s v="Medium"/>
  </r>
  <r>
    <n v="268"/>
    <s v="US-2023-137869"/>
    <x v="63"/>
    <d v="2023-04-02T00:00:00"/>
    <s v="Standard Class"/>
    <s v="CV-12295"/>
    <s v="Christina VanderZanden"/>
    <x v="0"/>
    <s v="United States"/>
    <s v="Des Moines"/>
    <s v="Iowa"/>
    <n v="50315"/>
    <x v="0"/>
    <s v="FUR-TA-10003954"/>
    <x v="1"/>
    <x v="13"/>
    <s v="Hon 94000 Series Round Tables"/>
    <n v="1184.72"/>
    <n v="4"/>
    <n v="0"/>
    <n v="106.62480000000005"/>
    <x v="0"/>
    <x v="2"/>
    <n v="26.656200000000013"/>
    <s v="Profit"/>
    <s v="No Discount"/>
  </r>
  <r>
    <n v="269"/>
    <s v="US-2023-137869"/>
    <x v="63"/>
    <d v="2023-04-02T00:00:00"/>
    <s v="Standard Class"/>
    <s v="CV-12295"/>
    <s v="Christina VanderZanden"/>
    <x v="0"/>
    <s v="United States"/>
    <s v="Des Moines"/>
    <s v="Iowa"/>
    <n v="50315"/>
    <x v="0"/>
    <s v="OFF-EN-10001509"/>
    <x v="0"/>
    <x v="11"/>
    <s v="Poly String Tie Envelopes"/>
    <n v="6.12"/>
    <n v="3"/>
    <n v="0"/>
    <n v="2.8763999999999994"/>
    <x v="0"/>
    <x v="2"/>
    <n v="0.95879999999999976"/>
    <s v="Profit"/>
    <s v="No Discount"/>
  </r>
  <r>
    <n v="270"/>
    <s v="US-2023-100881"/>
    <x v="63"/>
    <d v="2023-04-01T00:00:00"/>
    <s v="Standard Class"/>
    <s v="DR-12940"/>
    <s v="Daniel Raglin"/>
    <x v="1"/>
    <s v="United States"/>
    <s v="Albuquerque"/>
    <s v="New Mexico"/>
    <n v="87105"/>
    <x v="3"/>
    <s v="TEC-PH-10003273"/>
    <x v="2"/>
    <x v="7"/>
    <s v="AT&amp;T TR1909W"/>
    <n v="302.37599999999998"/>
    <n v="3"/>
    <n v="0.2"/>
    <n v="22.678200000000018"/>
    <x v="0"/>
    <x v="2"/>
    <n v="7.5594000000000063"/>
    <s v="Profit"/>
    <s v="Low"/>
  </r>
  <r>
    <n v="271"/>
    <s v="US-2023-137274"/>
    <x v="64"/>
    <d v="2023-04-02T00:00:00"/>
    <s v="Standard Class"/>
    <s v="MG-18145"/>
    <s v="Mike Gockenbach"/>
    <x v="0"/>
    <s v="United States"/>
    <s v="Plano"/>
    <s v="Texas"/>
    <n v="75023"/>
    <x v="0"/>
    <s v="FUR-TA-10001889"/>
    <x v="1"/>
    <x v="13"/>
    <s v="Bush Advantage Collection Racetrack Conference Table"/>
    <n v="890.84099999999989"/>
    <n v="3"/>
    <n v="0.3"/>
    <n v="-152.71559999999999"/>
    <x v="0"/>
    <x v="2"/>
    <n v="-50.905200000000001"/>
    <s v="Loss"/>
    <s v="Medium"/>
  </r>
  <r>
    <n v="272"/>
    <s v="US-2023-131247"/>
    <x v="65"/>
    <d v="2023-04-04T00:00:00"/>
    <s v="Standard Class"/>
    <s v="GA-14725"/>
    <s v="Guy Armstrong"/>
    <x v="0"/>
    <s v="United States"/>
    <s v="San Francisco"/>
    <s v="California"/>
    <n v="94110"/>
    <x v="3"/>
    <s v="FUR-BO-10001337"/>
    <x v="1"/>
    <x v="10"/>
    <s v="O'Sullivan Living Dimensions 2-Shelf Bookcases"/>
    <n v="205.666"/>
    <n v="2"/>
    <n v="0.15"/>
    <n v="-12.097999999999999"/>
    <x v="0"/>
    <x v="2"/>
    <n v="-6.0489999999999995"/>
    <s v="Loss"/>
    <s v="Low"/>
  </r>
  <r>
    <n v="273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FUR-CH-10002304"/>
    <x v="1"/>
    <x v="5"/>
    <s v="Global Stack Chair without Arms, Black"/>
    <n v="127.30199999999999"/>
    <n v="7"/>
    <n v="0.3"/>
    <n v="-9.0929999999999964"/>
    <x v="0"/>
    <x v="2"/>
    <n v="-1.2989999999999995"/>
    <s v="Loss"/>
    <s v="Medium"/>
  </r>
  <r>
    <n v="274"/>
    <s v="US-2023-105151"/>
    <x v="65"/>
    <d v="2023-03-31T00:00:00"/>
    <s v="First Class"/>
    <s v="SG-20890"/>
    <s v="Susan Gilcrest"/>
    <x v="2"/>
    <s v="United States"/>
    <s v="New York City"/>
    <s v="New York"/>
    <n v="10009"/>
    <x v="1"/>
    <s v="OFF-AR-10001231"/>
    <x v="0"/>
    <x v="4"/>
    <s v="Sanford EarthWrite Recycled Pencils, Medium Soft, #2"/>
    <n v="10.5"/>
    <n v="5"/>
    <n v="0"/>
    <n v="2.9400000000000004"/>
    <x v="0"/>
    <x v="2"/>
    <n v="0.58800000000000008"/>
    <s v="Profit"/>
    <s v="No Discount"/>
  </r>
  <r>
    <n v="275"/>
    <s v="US-2023-169033"/>
    <x v="65"/>
    <d v="2023-04-03T00:00:00"/>
    <s v="Standard Class"/>
    <s v="KM-16720"/>
    <s v="Kunst Miller"/>
    <x v="0"/>
    <s v="United States"/>
    <s v="Long Beach"/>
    <s v="New York"/>
    <n v="11561"/>
    <x v="1"/>
    <s v="OFF-AR-10001915"/>
    <x v="0"/>
    <x v="4"/>
    <s v="Peel-Off China Markers"/>
    <n v="49.65"/>
    <n v="5"/>
    <n v="0"/>
    <n v="20.853000000000002"/>
    <x v="0"/>
    <x v="2"/>
    <n v="4.1706000000000003"/>
    <s v="Profit"/>
    <s v="No Discount"/>
  </r>
  <r>
    <n v="276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OFF-EN-10002230"/>
    <x v="0"/>
    <x v="11"/>
    <s v="Airmail Envelopes"/>
    <n v="335.72"/>
    <n v="5"/>
    <n v="0.2"/>
    <n v="113.30549999999999"/>
    <x v="0"/>
    <x v="2"/>
    <n v="22.661099999999998"/>
    <s v="Profit"/>
    <s v="Low"/>
  </r>
  <r>
    <n v="277"/>
    <s v="US-2023-133424"/>
    <x v="65"/>
    <d v="2023-04-04T00:00:00"/>
    <s v="Standard Class"/>
    <s v="Dl-13600"/>
    <s v="Dorris liebe"/>
    <x v="2"/>
    <s v="United States"/>
    <s v="Seattle"/>
    <s v="Washington"/>
    <n v="98105"/>
    <x v="3"/>
    <s v="OFF-LA-10002312"/>
    <x v="0"/>
    <x v="2"/>
    <s v="Avery 490"/>
    <n v="44.400000000000006"/>
    <n v="3"/>
    <n v="0"/>
    <n v="22.200000000000003"/>
    <x v="0"/>
    <x v="2"/>
    <n v="7.4000000000000012"/>
    <s v="Profit"/>
    <s v="No Discount"/>
  </r>
  <r>
    <n v="278"/>
    <s v="US-2023-113124"/>
    <x v="65"/>
    <d v="2023-04-05T00:00:00"/>
    <s v="Standard Class"/>
    <s v="NC-18340"/>
    <s v="Nat Carroll"/>
    <x v="0"/>
    <s v="United States"/>
    <s v="Apple Valley"/>
    <s v="Minnesota"/>
    <n v="55124"/>
    <x v="0"/>
    <s v="OFF-ST-10001511"/>
    <x v="0"/>
    <x v="3"/>
    <s v="Space Solutions Commercial Steel Shelving"/>
    <n v="129.30000000000001"/>
    <n v="2"/>
    <n v="0"/>
    <n v="6.4649999999999892"/>
    <x v="0"/>
    <x v="2"/>
    <n v="3.2324999999999946"/>
    <s v="Profit"/>
    <s v="No Discount"/>
  </r>
  <r>
    <n v="279"/>
    <s v="US-2023-133424"/>
    <x v="65"/>
    <d v="2023-04-04T00:00:00"/>
    <s v="Standard Class"/>
    <s v="Dl-13600"/>
    <s v="Dorris liebe"/>
    <x v="2"/>
    <s v="United States"/>
    <s v="Seattle"/>
    <s v="Washington"/>
    <n v="98105"/>
    <x v="3"/>
    <s v="OFF-ST-10002957"/>
    <x v="0"/>
    <x v="3"/>
    <s v="Sterilite Show Offs Storage Containers"/>
    <n v="15.84"/>
    <n v="3"/>
    <n v="0"/>
    <n v="0"/>
    <x v="0"/>
    <x v="2"/>
    <n v="0"/>
    <s v="Break-even"/>
    <s v="No Discount"/>
  </r>
  <r>
    <n v="280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TEC-PH-10001819"/>
    <x v="2"/>
    <x v="7"/>
    <s v="Innergie mMini Combo Duo USB Travel Charging Kit"/>
    <n v="251.94400000000002"/>
    <n v="7"/>
    <n v="0.2"/>
    <n v="88.180399999999977"/>
    <x v="0"/>
    <x v="2"/>
    <n v="12.597199999999997"/>
    <s v="Profit"/>
    <s v="Low"/>
  </r>
  <r>
    <n v="281"/>
    <s v="US-2023-130428"/>
    <x v="66"/>
    <d v="2023-03-31T00:00:00"/>
    <s v="Same Day"/>
    <s v="TG-21640"/>
    <s v="Trudy Glocke"/>
    <x v="0"/>
    <s v="United States"/>
    <s v="Tampa"/>
    <s v="Florida"/>
    <n v="33614"/>
    <x v="2"/>
    <s v="FUR-CH-10002965"/>
    <x v="1"/>
    <x v="5"/>
    <s v="Global Leather Highback Executive Chair with Pneumatic Height Adjustment, Black"/>
    <n v="1125.4879999999998"/>
    <n v="7"/>
    <n v="0.2"/>
    <n v="98.480200000000082"/>
    <x v="0"/>
    <x v="2"/>
    <n v="14.068600000000012"/>
    <s v="Profit"/>
    <s v="Low"/>
  </r>
  <r>
    <n v="282"/>
    <s v="US-2023-128055"/>
    <x v="66"/>
    <d v="2023-04-05T00:00:00"/>
    <s v="Standard Class"/>
    <s v="AA-10315"/>
    <s v="Alex Avila"/>
    <x v="0"/>
    <s v="United States"/>
    <s v="San Francisco"/>
    <s v="California"/>
    <n v="94122"/>
    <x v="3"/>
    <s v="OFF-AP-10002765"/>
    <x v="0"/>
    <x v="12"/>
    <s v="Fellowes Advanced Computer Series Surge Protectors"/>
    <n v="52.98"/>
    <n v="2"/>
    <n v="0"/>
    <n v="14.834400000000002"/>
    <x v="0"/>
    <x v="2"/>
    <n v="7.4172000000000011"/>
    <s v="Profit"/>
    <s v="No Discount"/>
  </r>
  <r>
    <n v="283"/>
    <s v="US-2023-130428"/>
    <x v="66"/>
    <d v="2023-03-31T00:00:00"/>
    <s v="Same Day"/>
    <s v="TG-21640"/>
    <s v="Trudy Glocke"/>
    <x v="0"/>
    <s v="United States"/>
    <s v="Tampa"/>
    <s v="Florida"/>
    <n v="33614"/>
    <x v="2"/>
    <s v="OFF-AR-10004027"/>
    <x v="0"/>
    <x v="4"/>
    <s v="Binney &amp; Smith inkTank Erasable Desk Highlighter, Chisel Tip, Yellow, 12/Box"/>
    <n v="4.032"/>
    <n v="2"/>
    <n v="0.2"/>
    <n v="1.0584000000000002"/>
    <x v="0"/>
    <x v="2"/>
    <n v="0.52920000000000011"/>
    <s v="Profit"/>
    <s v="Low"/>
  </r>
  <r>
    <n v="284"/>
    <s v="US-2023-101770"/>
    <x v="66"/>
    <d v="2023-04-04T00:00:00"/>
    <s v="Standard Class"/>
    <s v="KB-16240"/>
    <s v="Karen Bern"/>
    <x v="2"/>
    <s v="United States"/>
    <s v="Miami"/>
    <s v="Florida"/>
    <n v="33180"/>
    <x v="2"/>
    <s v="OFF-BI-10001097"/>
    <x v="0"/>
    <x v="1"/>
    <s v="Avery Hole Reinforcements"/>
    <n v="1.8690000000000004"/>
    <n v="1"/>
    <n v="0.7"/>
    <n v="-1.3082999999999996"/>
    <x v="0"/>
    <x v="2"/>
    <n v="-1.3082999999999996"/>
    <s v="Loss"/>
    <s v="High"/>
  </r>
  <r>
    <n v="285"/>
    <s v="US-2023-130428"/>
    <x v="66"/>
    <d v="2023-03-31T00:00:00"/>
    <s v="Same Day"/>
    <s v="TG-21640"/>
    <s v="Trudy Glocke"/>
    <x v="0"/>
    <s v="United States"/>
    <s v="Tampa"/>
    <s v="Florida"/>
    <n v="33614"/>
    <x v="2"/>
    <s v="OFF-BI-10001636"/>
    <x v="0"/>
    <x v="1"/>
    <s v="Ibico Plastic and Wire Spiral Binding Combs"/>
    <n v="12.645000000000001"/>
    <n v="5"/>
    <n v="0.7"/>
    <n v="-10.116"/>
    <x v="0"/>
    <x v="2"/>
    <n v="-2.0232000000000001"/>
    <s v="Loss"/>
    <s v="High"/>
  </r>
  <r>
    <n v="286"/>
    <s v="US-2023-104759"/>
    <x v="66"/>
    <d v="2023-04-04T00:00:00"/>
    <s v="Standard Class"/>
    <s v="DD-13570"/>
    <s v="Dorothy Dickinson"/>
    <x v="0"/>
    <s v="United States"/>
    <s v="Chicago"/>
    <s v="Illinois"/>
    <n v="60610"/>
    <x v="0"/>
    <s v="OFF-BI-10002071"/>
    <x v="0"/>
    <x v="1"/>
    <s v="Fellowes Black Plastic Comb Bindings"/>
    <n v="8.1339999999999986"/>
    <n v="7"/>
    <n v="0.8"/>
    <n v="-13.827800000000003"/>
    <x v="0"/>
    <x v="2"/>
    <n v="-1.9754000000000005"/>
    <s v="Loss"/>
    <s v="High"/>
  </r>
  <r>
    <n v="287"/>
    <s v="US-2023-112403"/>
    <x v="66"/>
    <d v="2023-03-31T00:00:00"/>
    <s v="Same Day"/>
    <s v="JO-15280"/>
    <s v="Jas O'Carroll"/>
    <x v="0"/>
    <s v="United States"/>
    <s v="Philadelphia"/>
    <s v="Pennsylvania"/>
    <n v="19120"/>
    <x v="1"/>
    <s v="OFF-BI-10003529"/>
    <x v="0"/>
    <x v="1"/>
    <s v="Avery Round Ring Poly Binders"/>
    <n v="0.85200000000000009"/>
    <n v="1"/>
    <n v="0.7"/>
    <n v="-0.59639999999999982"/>
    <x v="0"/>
    <x v="2"/>
    <n v="-0.59639999999999982"/>
    <s v="Loss"/>
    <s v="High"/>
  </r>
  <r>
    <n v="288"/>
    <s v="US-2023-128055"/>
    <x v="66"/>
    <d v="2023-04-05T00:00:00"/>
    <s v="Standard Class"/>
    <s v="AA-10315"/>
    <s v="Alex Avila"/>
    <x v="0"/>
    <s v="United States"/>
    <s v="San Francisco"/>
    <s v="California"/>
    <n v="94122"/>
    <x v="3"/>
    <s v="OFF-BI-10004390"/>
    <x v="0"/>
    <x v="1"/>
    <s v="GBC DocuBind 200 Manual Binding Machine"/>
    <n v="673.5680000000001"/>
    <n v="2"/>
    <n v="0.2"/>
    <n v="252.58799999999999"/>
    <x v="0"/>
    <x v="2"/>
    <n v="126.294"/>
    <s v="Profit"/>
    <s v="Low"/>
  </r>
  <r>
    <n v="289"/>
    <s v="US-2023-104759"/>
    <x v="66"/>
    <d v="2023-04-04T00:00:00"/>
    <s v="Standard Class"/>
    <s v="DD-13570"/>
    <s v="Dorothy Dickinson"/>
    <x v="0"/>
    <s v="United States"/>
    <s v="Chicago"/>
    <s v="Illinois"/>
    <n v="60610"/>
    <x v="0"/>
    <s v="TEC-AC-10004901"/>
    <x v="2"/>
    <x v="9"/>
    <s v="Kensington SlimBlade Notebook Wireless Mouse with Nano Receiver"/>
    <n v="79.984000000000009"/>
    <n v="2"/>
    <n v="0.2"/>
    <n v="13.997199999999999"/>
    <x v="0"/>
    <x v="2"/>
    <n v="6.9985999999999997"/>
    <s v="Profit"/>
    <s v="Low"/>
  </r>
  <r>
    <n v="290"/>
    <s v="US-2023-157021"/>
    <x v="67"/>
    <d v="2023-04-06T00:00:00"/>
    <s v="Second Class"/>
    <s v="KM-16720"/>
    <s v="Kunst Miller"/>
    <x v="0"/>
    <s v="United States"/>
    <s v="Vallejo"/>
    <s v="California"/>
    <n v="94591"/>
    <x v="3"/>
    <s v="OFF-BI-10000042"/>
    <x v="0"/>
    <x v="1"/>
    <s v="Pressboard Data Binder, Crimson, 12&quot; X 8 1/2&quot;"/>
    <n v="17.088000000000001"/>
    <n v="4"/>
    <n v="0.2"/>
    <n v="5.5535999999999994"/>
    <x v="0"/>
    <x v="3"/>
    <n v="1.3883999999999999"/>
    <s v="Profit"/>
    <s v="Low"/>
  </r>
  <r>
    <n v="291"/>
    <s v="US-2023-138359"/>
    <x v="67"/>
    <d v="2023-04-06T00:00:00"/>
    <s v="Standard Class"/>
    <s v="KH-16330"/>
    <s v="Katharine Harms"/>
    <x v="2"/>
    <s v="United States"/>
    <s v="Revere"/>
    <s v="Massachusetts"/>
    <n v="2151"/>
    <x v="1"/>
    <s v="OFF-BI-10000145"/>
    <x v="0"/>
    <x v="1"/>
    <s v="Zipper Ring Binder Pockets"/>
    <n v="6.24"/>
    <n v="2"/>
    <n v="0"/>
    <n v="3.0575999999999999"/>
    <x v="0"/>
    <x v="3"/>
    <n v="1.5287999999999999"/>
    <s v="Profit"/>
    <s v="No Discount"/>
  </r>
  <r>
    <n v="292"/>
    <s v="US-2023-157021"/>
    <x v="67"/>
    <d v="2023-04-06T00:00:00"/>
    <s v="Second Class"/>
    <s v="KM-16720"/>
    <s v="Kunst Miller"/>
    <x v="0"/>
    <s v="United States"/>
    <s v="Vallejo"/>
    <s v="California"/>
    <n v="94591"/>
    <x v="3"/>
    <s v="OFF-LA-10002312"/>
    <x v="0"/>
    <x v="2"/>
    <s v="Avery 490"/>
    <n v="29.6"/>
    <n v="2"/>
    <n v="0"/>
    <n v="14.8"/>
    <x v="0"/>
    <x v="3"/>
    <n v="7.4"/>
    <s v="Profit"/>
    <s v="No Discount"/>
  </r>
  <r>
    <n v="293"/>
    <s v="US-2023-138359"/>
    <x v="67"/>
    <d v="2023-04-06T00:00:00"/>
    <s v="Standard Class"/>
    <s v="KH-16330"/>
    <s v="Katharine Harms"/>
    <x v="2"/>
    <s v="United States"/>
    <s v="Revere"/>
    <s v="Massachusetts"/>
    <n v="2151"/>
    <x v="1"/>
    <s v="OFF-ST-10000636"/>
    <x v="0"/>
    <x v="3"/>
    <s v="Rogers Profile Extra Capacity Storage Tub"/>
    <n v="66.959999999999994"/>
    <n v="4"/>
    <n v="0"/>
    <n v="2.6783999999999963"/>
    <x v="0"/>
    <x v="3"/>
    <n v="0.66959999999999908"/>
    <s v="Profit"/>
    <s v="No Discount"/>
  </r>
  <r>
    <n v="294"/>
    <s v="US-2023-160276"/>
    <x v="68"/>
    <d v="2023-04-08T00:00:00"/>
    <s v="Standard Class"/>
    <s v="AH-10690"/>
    <s v="Anna Häberlin"/>
    <x v="2"/>
    <s v="United States"/>
    <s v="Virginia Beach"/>
    <s v="Virginia"/>
    <n v="23464"/>
    <x v="2"/>
    <s v="FUR-FU-10003192"/>
    <x v="1"/>
    <x v="8"/>
    <s v="Luxo Adjustable Task Clamp Lamp"/>
    <n v="177.68"/>
    <n v="2"/>
    <n v="0"/>
    <n v="46.196799999999996"/>
    <x v="0"/>
    <x v="3"/>
    <n v="23.098399999999998"/>
    <s v="Profit"/>
    <s v="No Discount"/>
  </r>
  <r>
    <n v="295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OFF-AP-10003842"/>
    <x v="0"/>
    <x v="12"/>
    <s v="Euro-Pro Shark Turbo Vacuum"/>
    <n v="154.9"/>
    <n v="5"/>
    <n v="0"/>
    <n v="40.274000000000001"/>
    <x v="0"/>
    <x v="3"/>
    <n v="8.0548000000000002"/>
    <s v="Profit"/>
    <s v="No Discount"/>
  </r>
  <r>
    <n v="296"/>
    <s v="US-2023-157847"/>
    <x v="68"/>
    <d v="2023-04-06T00:00:00"/>
    <s v="Second Class"/>
    <s v="SC-20020"/>
    <s v="Sam Craven"/>
    <x v="0"/>
    <s v="United States"/>
    <s v="Houston"/>
    <s v="Texas"/>
    <n v="77095"/>
    <x v="0"/>
    <s v="OFF-PA-10001593"/>
    <x v="0"/>
    <x v="0"/>
    <s v="Xerox 1947"/>
    <n v="33.488000000000007"/>
    <n v="7"/>
    <n v="0.2"/>
    <n v="10.464999999999998"/>
    <x v="0"/>
    <x v="3"/>
    <n v="1.4949999999999997"/>
    <s v="Profit"/>
    <s v="Low"/>
  </r>
  <r>
    <n v="297"/>
    <s v="US-2023-157847"/>
    <x v="68"/>
    <d v="2023-04-06T00:00:00"/>
    <s v="Second Class"/>
    <s v="SC-20020"/>
    <s v="Sam Craven"/>
    <x v="0"/>
    <s v="United States"/>
    <s v="Houston"/>
    <s v="Texas"/>
    <n v="77095"/>
    <x v="0"/>
    <s v="OFF-PA-10002986"/>
    <x v="0"/>
    <x v="0"/>
    <s v="Xerox 1898"/>
    <n v="26.720000000000002"/>
    <n v="5"/>
    <n v="0.2"/>
    <n v="9.3520000000000003"/>
    <x v="0"/>
    <x v="3"/>
    <n v="1.8704000000000001"/>
    <s v="Profit"/>
    <s v="Low"/>
  </r>
  <r>
    <n v="298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OFF-PA-10004248"/>
    <x v="0"/>
    <x v="0"/>
    <s v="Xerox 1990"/>
    <n v="15.84"/>
    <n v="3"/>
    <n v="0"/>
    <n v="7.1280000000000001"/>
    <x v="0"/>
    <x v="3"/>
    <n v="2.3759999999999999"/>
    <s v="Profit"/>
    <s v="No Discount"/>
  </r>
  <r>
    <n v="299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TEC-PH-10001128"/>
    <x v="2"/>
    <x v="7"/>
    <s v="Motorola Droid Maxx"/>
    <n v="1049.93"/>
    <n v="7"/>
    <n v="0"/>
    <n v="293.98040000000003"/>
    <x v="0"/>
    <x v="3"/>
    <n v="41.997200000000007"/>
    <s v="Profit"/>
    <s v="No Discount"/>
  </r>
  <r>
    <n v="300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OFF-EN-10001415"/>
    <x v="0"/>
    <x v="11"/>
    <s v="Staple envelope"/>
    <n v="11.16"/>
    <n v="2"/>
    <n v="0"/>
    <n v="5.58"/>
    <x v="0"/>
    <x v="3"/>
    <n v="2.79"/>
    <s v="Profit"/>
    <s v="No Discount"/>
  </r>
  <r>
    <n v="301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TEC-AC-10000736"/>
    <x v="2"/>
    <x v="9"/>
    <s v="Logitech G600 MMO Gaming Mouse"/>
    <n v="159.97999999999999"/>
    <n v="2"/>
    <n v="0"/>
    <n v="57.592799999999997"/>
    <x v="0"/>
    <x v="3"/>
    <n v="28.796399999999998"/>
    <s v="Profit"/>
    <s v="No Discount"/>
  </r>
  <r>
    <n v="302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TEC-AC-10001284"/>
    <x v="2"/>
    <x v="9"/>
    <s v="Enermax Briskie RF Wireless Keyboard and Mouse Combo"/>
    <n v="62.31"/>
    <n v="3"/>
    <n v="0"/>
    <n v="22.4316"/>
    <x v="0"/>
    <x v="3"/>
    <n v="7.4771999999999998"/>
    <s v="Profit"/>
    <s v="No Discount"/>
  </r>
  <r>
    <n v="303"/>
    <s v="US-2023-133228"/>
    <x v="70"/>
    <d v="2023-04-09T00:00:00"/>
    <s v="Standard Class"/>
    <s v="MS-17710"/>
    <s v="Maurice Satty"/>
    <x v="0"/>
    <s v="United States"/>
    <s v="Detroit"/>
    <s v="Michigan"/>
    <n v="48205"/>
    <x v="0"/>
    <s v="FUR-FU-10004020"/>
    <x v="1"/>
    <x v="8"/>
    <s v="Advantus Panel Wall Acrylic Frame"/>
    <n v="5.47"/>
    <n v="1"/>
    <n v="0"/>
    <n v="2.3521000000000001"/>
    <x v="0"/>
    <x v="3"/>
    <n v="2.3521000000000001"/>
    <s v="Profit"/>
    <s v="No Discount"/>
  </r>
  <r>
    <n v="304"/>
    <s v="US-2023-133228"/>
    <x v="70"/>
    <d v="2023-04-09T00:00:00"/>
    <s v="Standard Class"/>
    <s v="MS-17710"/>
    <s v="Maurice Satty"/>
    <x v="0"/>
    <s v="United States"/>
    <s v="Detroit"/>
    <s v="Michigan"/>
    <n v="48205"/>
    <x v="0"/>
    <s v="OFF-AR-10001955"/>
    <x v="0"/>
    <x v="4"/>
    <s v="Newell 319"/>
    <n v="79.36"/>
    <n v="4"/>
    <n v="0"/>
    <n v="23.807999999999993"/>
    <x v="0"/>
    <x v="3"/>
    <n v="5.9519999999999982"/>
    <s v="Profit"/>
    <s v="No Discount"/>
  </r>
  <r>
    <n v="305"/>
    <s v="US-2023-128685"/>
    <x v="70"/>
    <d v="2023-04-05T00:00:00"/>
    <s v="First Class"/>
    <s v="MZ-17515"/>
    <s v="Mary Zewe"/>
    <x v="2"/>
    <s v="United States"/>
    <s v="Los Angeles"/>
    <s v="California"/>
    <n v="90008"/>
    <x v="3"/>
    <s v="OFF-BI-10004140"/>
    <x v="0"/>
    <x v="1"/>
    <s v="Avery Non-Stick Binders"/>
    <n v="7.1840000000000011"/>
    <n v="2"/>
    <n v="0.2"/>
    <n v="2.2449999999999992"/>
    <x v="0"/>
    <x v="3"/>
    <n v="1.1224999999999996"/>
    <s v="Profit"/>
    <s v="Low"/>
  </r>
  <r>
    <n v="306"/>
    <s v="US-2023-105172"/>
    <x v="70"/>
    <d v="2023-04-09T00:00:00"/>
    <s v="Standard Class"/>
    <s v="PK-18910"/>
    <s v="Paul Knutson"/>
    <x v="1"/>
    <s v="United States"/>
    <s v="San Francisco"/>
    <s v="California"/>
    <n v="94109"/>
    <x v="3"/>
    <s v="OFF-LA-10001641"/>
    <x v="0"/>
    <x v="2"/>
    <s v="Avery 518"/>
    <n v="18.899999999999999"/>
    <n v="6"/>
    <n v="0"/>
    <n v="9.0719999999999992"/>
    <x v="0"/>
    <x v="3"/>
    <n v="1.5119999999999998"/>
    <s v="Profit"/>
    <s v="No Discount"/>
  </r>
  <r>
    <n v="307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PA-10002195"/>
    <x v="0"/>
    <x v="0"/>
    <s v="Xerox 1966"/>
    <n v="12.96"/>
    <n v="2"/>
    <n v="0"/>
    <n v="6.3504000000000005"/>
    <x v="0"/>
    <x v="3"/>
    <n v="3.1752000000000002"/>
    <s v="Profit"/>
    <s v="No Discount"/>
  </r>
  <r>
    <n v="308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PA-10003797"/>
    <x v="0"/>
    <x v="0"/>
    <s v="Xerox 209"/>
    <n v="19.440000000000001"/>
    <n v="3"/>
    <n v="0"/>
    <n v="9.3312000000000008"/>
    <x v="0"/>
    <x v="3"/>
    <n v="3.1104000000000003"/>
    <s v="Profit"/>
    <s v="No Discount"/>
  </r>
  <r>
    <n v="309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ST-10004180"/>
    <x v="0"/>
    <x v="3"/>
    <s v="Safco Commercial Shelving"/>
    <n v="232.54999999999998"/>
    <n v="5"/>
    <n v="0"/>
    <n v="9.3019999999999925"/>
    <x v="0"/>
    <x v="3"/>
    <n v="1.8603999999999985"/>
    <s v="Profit"/>
    <s v="No Discount"/>
  </r>
  <r>
    <n v="310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TEC-AC-10002926"/>
    <x v="2"/>
    <x v="9"/>
    <s v="Logitech Wireless Marathon Mouse M705"/>
    <n v="99.98"/>
    <n v="2"/>
    <n v="0"/>
    <n v="42.991400000000006"/>
    <x v="0"/>
    <x v="3"/>
    <n v="21.495700000000003"/>
    <s v="Profit"/>
    <s v="No Discount"/>
  </r>
  <r>
    <n v="311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AR-10000127"/>
    <x v="0"/>
    <x v="4"/>
    <s v="Newell 321"/>
    <n v="22.959999999999997"/>
    <n v="7"/>
    <n v="0"/>
    <n v="6.6583999999999968"/>
    <x v="0"/>
    <x v="3"/>
    <n v="0.95119999999999949"/>
    <s v="Profit"/>
    <s v="No Discount"/>
  </r>
  <r>
    <n v="312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AR-10002952"/>
    <x v="0"/>
    <x v="4"/>
    <s v="Stanley Contemporary Battery Pencil Sharpeners"/>
    <n v="26.7"/>
    <n v="2"/>
    <n v="0"/>
    <n v="7.4759999999999991"/>
    <x v="0"/>
    <x v="3"/>
    <n v="3.7379999999999995"/>
    <s v="Profit"/>
    <s v="No Discount"/>
  </r>
  <r>
    <n v="313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AR-10004685"/>
    <x v="0"/>
    <x v="4"/>
    <s v="Binney &amp; Smith Crayola Metallic Colored Pencils, 8-Color Set"/>
    <n v="13.89"/>
    <n v="3"/>
    <n v="0"/>
    <n v="4.5836999999999994"/>
    <x v="0"/>
    <x v="3"/>
    <n v="1.5278999999999998"/>
    <s v="Profit"/>
    <s v="No Discount"/>
  </r>
  <r>
    <n v="314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AR-10004757"/>
    <x v="0"/>
    <x v="4"/>
    <s v="Crayola Colored Pencils"/>
    <n v="22.959999999999997"/>
    <n v="7"/>
    <n v="0"/>
    <n v="7.5767999999999986"/>
    <x v="0"/>
    <x v="3"/>
    <n v="1.0823999999999998"/>
    <s v="Profit"/>
    <s v="No Discount"/>
  </r>
  <r>
    <n v="315"/>
    <s v="US-2023-157231"/>
    <x v="71"/>
    <d v="2023-04-09T00:00:00"/>
    <s v="Standard Class"/>
    <s v="RP-19855"/>
    <s v="Roy Phan"/>
    <x v="2"/>
    <s v="United States"/>
    <s v="Richmond"/>
    <s v="Kentucky"/>
    <n v="40475"/>
    <x v="2"/>
    <s v="OFF-BI-10002852"/>
    <x v="0"/>
    <x v="1"/>
    <s v="Ibico Standard Transparent Covers"/>
    <n v="115.36"/>
    <n v="7"/>
    <n v="0"/>
    <n v="56.526400000000002"/>
    <x v="0"/>
    <x v="3"/>
    <n v="8.0752000000000006"/>
    <s v="Profit"/>
    <s v="No Discount"/>
  </r>
  <r>
    <n v="316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BI-10004209"/>
    <x v="0"/>
    <x v="1"/>
    <s v="Fellowes Twister Kit, Gray/Clear, 3/pkg"/>
    <n v="40.199999999999996"/>
    <n v="5"/>
    <n v="0"/>
    <n v="18.089999999999996"/>
    <x v="0"/>
    <x v="3"/>
    <n v="3.6179999999999994"/>
    <s v="Profit"/>
    <s v="No Discount"/>
  </r>
  <r>
    <n v="317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PA-10003349"/>
    <x v="0"/>
    <x v="0"/>
    <s v="Xerox 1957"/>
    <n v="12.96"/>
    <n v="2"/>
    <n v="0"/>
    <n v="6.3504000000000005"/>
    <x v="0"/>
    <x v="3"/>
    <n v="3.1752000000000002"/>
    <s v="Profit"/>
    <s v="No Discount"/>
  </r>
  <r>
    <n v="318"/>
    <s v="US-2023-113887"/>
    <x v="71"/>
    <d v="2023-04-07T00:00:00"/>
    <s v="First Class"/>
    <s v="TH-21550"/>
    <s v="Tracy Hopkins"/>
    <x v="1"/>
    <s v="United States"/>
    <s v="New York City"/>
    <s v="New York"/>
    <n v="10035"/>
    <x v="1"/>
    <s v="OFF-PA-10004071"/>
    <x v="0"/>
    <x v="0"/>
    <s v="Eaton Premium Continuous-Feed Paper, 25% Cotton, Letter Size, White, 1000 Shts/Box"/>
    <n v="55.48"/>
    <n v="1"/>
    <n v="0"/>
    <n v="26.630399999999998"/>
    <x v="0"/>
    <x v="3"/>
    <n v="26.630399999999998"/>
    <s v="Profit"/>
    <s v="No Discount"/>
  </r>
  <r>
    <n v="319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ST-10000991"/>
    <x v="0"/>
    <x v="3"/>
    <s v="Space Solutions HD Industrial Steel Shelving."/>
    <n v="689.81999999999994"/>
    <n v="6"/>
    <n v="0"/>
    <n v="20.694600000000008"/>
    <x v="0"/>
    <x v="3"/>
    <n v="3.4491000000000014"/>
    <s v="Profit"/>
    <s v="No Discount"/>
  </r>
  <r>
    <n v="320"/>
    <s v="US-2023-151001"/>
    <x v="71"/>
    <d v="2023-04-07T00:00:00"/>
    <s v="First Class"/>
    <s v="JG-15805"/>
    <s v="John Grady"/>
    <x v="2"/>
    <s v="United States"/>
    <s v="Decatur"/>
    <s v="Illinois"/>
    <n v="62521"/>
    <x v="0"/>
    <s v="OFF-ST-10001031"/>
    <x v="0"/>
    <x v="3"/>
    <s v="Adjustable Personal File Tote"/>
    <n v="52.096000000000004"/>
    <n v="4"/>
    <n v="0.2"/>
    <n v="3.9072000000000031"/>
    <x v="0"/>
    <x v="3"/>
    <n v="0.97680000000000078"/>
    <s v="Profit"/>
    <s v="Low"/>
  </r>
  <r>
    <n v="321"/>
    <s v="US-2023-151001"/>
    <x v="71"/>
    <d v="2023-04-07T00:00:00"/>
    <s v="First Class"/>
    <s v="JG-15805"/>
    <s v="John Grady"/>
    <x v="2"/>
    <s v="United States"/>
    <s v="Decatur"/>
    <s v="Illinois"/>
    <n v="62521"/>
    <x v="0"/>
    <s v="OFF-ST-10003455"/>
    <x v="0"/>
    <x v="3"/>
    <s v="Tenex File Box, Personal Filing Tote with Lid, Black"/>
    <n v="49.632000000000005"/>
    <n v="4"/>
    <n v="0.2"/>
    <n v="3.7224000000000004"/>
    <x v="0"/>
    <x v="3"/>
    <n v="0.93060000000000009"/>
    <s v="Profit"/>
    <s v="Low"/>
  </r>
  <r>
    <n v="322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SU-10002881"/>
    <x v="0"/>
    <x v="14"/>
    <s v="Martin Yale Chadless Opener Electric Letter Opener"/>
    <n v="4164.0499999999993"/>
    <n v="5"/>
    <n v="0"/>
    <n v="83.281000000000063"/>
    <x v="0"/>
    <x v="3"/>
    <n v="16.656200000000013"/>
    <s v="Profit"/>
    <s v="No Discount"/>
  </r>
  <r>
    <n v="323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TEC-PH-10001615"/>
    <x v="2"/>
    <x v="7"/>
    <s v="AT&amp;T CL82213"/>
    <n v="28.99"/>
    <n v="1"/>
    <n v="0"/>
    <n v="8.4070999999999962"/>
    <x v="0"/>
    <x v="3"/>
    <n v="8.4070999999999962"/>
    <s v="Profit"/>
    <s v="No Discount"/>
  </r>
  <r>
    <n v="324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FUR-FU-10000747"/>
    <x v="1"/>
    <x v="8"/>
    <s v="Tenex B1-RE Series Chair Mats for Low Pile Carpets"/>
    <n v="91.96"/>
    <n v="2"/>
    <n v="0"/>
    <n v="15.633199999999988"/>
    <x v="0"/>
    <x v="3"/>
    <n v="7.816599999999994"/>
    <s v="Profit"/>
    <s v="No Discount"/>
  </r>
  <r>
    <n v="325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FUR-FU-10001918"/>
    <x v="1"/>
    <x v="8"/>
    <s v="C-Line Cubicle Keepers Polyproplyene Holder With Velcro Backings"/>
    <n v="33.11"/>
    <n v="7"/>
    <n v="0"/>
    <n v="12.912900000000004"/>
    <x v="0"/>
    <x v="3"/>
    <n v="1.8447000000000007"/>
    <s v="Profit"/>
    <s v="No Discount"/>
  </r>
  <r>
    <n v="326"/>
    <s v="US-2023-169803"/>
    <x v="72"/>
    <d v="2023-04-12T00:00:00"/>
    <s v="Standard Class"/>
    <s v="SC-20260"/>
    <s v="Scott Cohen"/>
    <x v="2"/>
    <s v="United States"/>
    <s v="Seattle"/>
    <s v="Washington"/>
    <n v="98115"/>
    <x v="3"/>
    <s v="FUR-TA-10000688"/>
    <x v="1"/>
    <x v="13"/>
    <s v="Chromcraft Bull-Nose Wood Round Conference Table Top, Wood Base"/>
    <n v="653.54999999999995"/>
    <n v="3"/>
    <n v="0"/>
    <n v="111.10349999999994"/>
    <x v="0"/>
    <x v="3"/>
    <n v="37.03449999999998"/>
    <s v="Profit"/>
    <s v="No Discount"/>
  </r>
  <r>
    <n v="327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FUR-TA-10001039"/>
    <x v="1"/>
    <x v="13"/>
    <s v="KI Adjustable-Height Table"/>
    <n v="154.76400000000001"/>
    <n v="3"/>
    <n v="0.4"/>
    <n v="-36.11160000000001"/>
    <x v="0"/>
    <x v="3"/>
    <n v="-12.037200000000004"/>
    <s v="Loss"/>
    <s v="Medium"/>
  </r>
  <r>
    <n v="328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OFF-AR-10001725"/>
    <x v="0"/>
    <x v="4"/>
    <s v="Boston Home &amp; Office Model 2000 Electric Pencil Sharpeners"/>
    <n v="70.949999999999989"/>
    <n v="3"/>
    <n v="0"/>
    <n v="18.447000000000003"/>
    <x v="0"/>
    <x v="3"/>
    <n v="6.1490000000000009"/>
    <s v="Profit"/>
    <s v="No Discount"/>
  </r>
  <r>
    <n v="329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OFF-BI-10002794"/>
    <x v="0"/>
    <x v="1"/>
    <s v="Avery Trapezoid Ring Binder, 3&quot; Capacity, Black, 1040 sheets"/>
    <n v="65.567999999999998"/>
    <n v="2"/>
    <n v="0.2"/>
    <n v="23.768399999999996"/>
    <x v="0"/>
    <x v="3"/>
    <n v="11.884199999999998"/>
    <s v="Profit"/>
    <s v="Low"/>
  </r>
  <r>
    <n v="330"/>
    <s v="US-2023-136742"/>
    <x v="72"/>
    <d v="2023-04-10T00:00:00"/>
    <s v="Standard Class"/>
    <s v="GP-14740"/>
    <s v="Guy Phonely"/>
    <x v="2"/>
    <s v="United States"/>
    <s v="Lancaster"/>
    <s v="Pennsylvania"/>
    <n v="17602"/>
    <x v="1"/>
    <s v="OFF-BI-10003719"/>
    <x v="0"/>
    <x v="1"/>
    <s v="Large Capacity Hanging Post Binders"/>
    <n v="44.910000000000011"/>
    <n v="6"/>
    <n v="0.7"/>
    <n v="-35.927999999999997"/>
    <x v="0"/>
    <x v="3"/>
    <n v="-5.9879999999999995"/>
    <s v="Loss"/>
    <s v="High"/>
  </r>
  <r>
    <n v="331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OFF-PA-10001977"/>
    <x v="0"/>
    <x v="0"/>
    <s v="Xerox 194"/>
    <n v="55.48"/>
    <n v="1"/>
    <n v="0"/>
    <n v="26.630399999999998"/>
    <x v="0"/>
    <x v="3"/>
    <n v="26.630399999999998"/>
    <s v="Profit"/>
    <s v="No Discount"/>
  </r>
  <r>
    <n v="332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OFF-PA-10003309"/>
    <x v="0"/>
    <x v="0"/>
    <s v="Xerox 211"/>
    <n v="19.440000000000001"/>
    <n v="3"/>
    <n v="0"/>
    <n v="9.3312000000000008"/>
    <x v="0"/>
    <x v="3"/>
    <n v="3.1104000000000003"/>
    <s v="Profit"/>
    <s v="No Discount"/>
  </r>
  <r>
    <n v="333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OFF-SU-10004498"/>
    <x v="0"/>
    <x v="14"/>
    <s v="Martin-Yale Premier Letter Opener"/>
    <n v="10.304000000000002"/>
    <n v="1"/>
    <n v="0.2"/>
    <n v="-2.1896000000000004"/>
    <x v="0"/>
    <x v="3"/>
    <n v="-2.1896000000000004"/>
    <s v="Loss"/>
    <s v="Low"/>
  </r>
  <r>
    <n v="334"/>
    <s v="US-2023-169803"/>
    <x v="72"/>
    <d v="2023-04-12T00:00:00"/>
    <s v="Standard Class"/>
    <s v="SC-20260"/>
    <s v="Scott Cohen"/>
    <x v="2"/>
    <s v="United States"/>
    <s v="Seattle"/>
    <s v="Washington"/>
    <n v="98115"/>
    <x v="3"/>
    <s v="TEC-AC-10003441"/>
    <x v="2"/>
    <x v="9"/>
    <s v="Kingston Digital DataTraveler 32GB USB 2.0"/>
    <n v="33.9"/>
    <n v="2"/>
    <n v="0"/>
    <n v="2.0339999999999989"/>
    <x v="0"/>
    <x v="3"/>
    <n v="1.0169999999999995"/>
    <s v="Profit"/>
    <s v="No Discount"/>
  </r>
  <r>
    <n v="335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TEC-AC-10004171"/>
    <x v="2"/>
    <x v="9"/>
    <s v="Razer Kraken 7.1 Surround Sound Over Ear USB Gaming Headset"/>
    <n v="299.96999999999997"/>
    <n v="3"/>
    <n v="0"/>
    <n v="131.98680000000002"/>
    <x v="0"/>
    <x v="3"/>
    <n v="43.995600000000003"/>
    <s v="Profit"/>
    <s v="No Discount"/>
  </r>
  <r>
    <n v="336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TEC-AC-10004659"/>
    <x v="2"/>
    <x v="9"/>
    <s v="Imation Secure+ Hardware Encrypted USB 2.0 Flash Drive; 16GB"/>
    <n v="116.78399999999999"/>
    <n v="2"/>
    <n v="0.2"/>
    <n v="21.896999999999991"/>
    <x v="0"/>
    <x v="3"/>
    <n v="10.948499999999996"/>
    <s v="Profit"/>
    <s v="Low"/>
  </r>
  <r>
    <n v="337"/>
    <s v="US-2023-124023"/>
    <x v="73"/>
    <d v="2023-04-10T00:00:00"/>
    <s v="First Class"/>
    <s v="PJ-19015"/>
    <s v="Pauline Johnson"/>
    <x v="0"/>
    <s v="United States"/>
    <s v="Mobile"/>
    <s v="Alabama"/>
    <n v="36608"/>
    <x v="2"/>
    <s v="FUR-FU-10004415"/>
    <x v="1"/>
    <x v="8"/>
    <s v="Stacking Tray, Side-Loading, Legal, Smoke"/>
    <n v="8.9600000000000009"/>
    <n v="2"/>
    <n v="0"/>
    <n v="2.7775999999999996"/>
    <x v="0"/>
    <x v="3"/>
    <n v="1.3887999999999998"/>
    <s v="Profit"/>
    <s v="No Discount"/>
  </r>
  <r>
    <n v="338"/>
    <s v="US-2023-128846"/>
    <x v="73"/>
    <d v="2023-04-12T00:00:00"/>
    <s v="Standard Class"/>
    <s v="RS-19765"/>
    <s v="Roland Schwarz"/>
    <x v="2"/>
    <s v="United States"/>
    <s v="Columbia"/>
    <s v="South Carolina"/>
    <n v="29203"/>
    <x v="2"/>
    <s v="OFF-PA-10000100"/>
    <x v="0"/>
    <x v="0"/>
    <s v="Xerox 1945"/>
    <n v="122.97"/>
    <n v="3"/>
    <n v="0"/>
    <n v="60.255300000000005"/>
    <x v="0"/>
    <x v="3"/>
    <n v="20.085100000000001"/>
    <s v="Profit"/>
    <s v="No Discount"/>
  </r>
  <r>
    <n v="339"/>
    <s v="US-2023-165806"/>
    <x v="73"/>
    <d v="2023-04-07T00:00:00"/>
    <s v="Same Day"/>
    <s v="VM-21685"/>
    <s v="Valerie Mitchum"/>
    <x v="1"/>
    <s v="United States"/>
    <s v="Marietta"/>
    <s v="Georgia"/>
    <n v="30062"/>
    <x v="2"/>
    <s v="OFF-PA-10003441"/>
    <x v="0"/>
    <x v="0"/>
    <s v="Xerox 226"/>
    <n v="58.320000000000007"/>
    <n v="9"/>
    <n v="0"/>
    <n v="27.993600000000001"/>
    <x v="0"/>
    <x v="3"/>
    <n v="3.1104000000000003"/>
    <s v="Profit"/>
    <s v="No Discount"/>
  </r>
  <r>
    <n v="340"/>
    <s v="US-2023-128846"/>
    <x v="73"/>
    <d v="2023-04-12T00:00:00"/>
    <s v="Standard Class"/>
    <s v="RS-19765"/>
    <s v="Roland Schwarz"/>
    <x v="2"/>
    <s v="United States"/>
    <s v="Columbia"/>
    <s v="South Carolina"/>
    <n v="29203"/>
    <x v="2"/>
    <s v="TEC-PH-10003273"/>
    <x v="2"/>
    <x v="7"/>
    <s v="AT&amp;T TR1909W"/>
    <n v="629.94999999999993"/>
    <n v="5"/>
    <n v="0"/>
    <n v="163.78700000000003"/>
    <x v="0"/>
    <x v="3"/>
    <n v="32.757400000000004"/>
    <s v="Profit"/>
    <s v="No Discount"/>
  </r>
  <r>
    <n v="341"/>
    <s v="US-2023-165806"/>
    <x v="73"/>
    <d v="2023-04-07T00:00:00"/>
    <s v="Same Day"/>
    <s v="VM-21685"/>
    <s v="Valerie Mitchum"/>
    <x v="1"/>
    <s v="United States"/>
    <s v="Marietta"/>
    <s v="Georgia"/>
    <n v="30062"/>
    <x v="2"/>
    <s v="TEC-PH-10004922"/>
    <x v="2"/>
    <x v="7"/>
    <s v="RCA Visys Integrated PBX 8-Line Router"/>
    <n v="200.96999999999997"/>
    <n v="3"/>
    <n v="0"/>
    <n v="50.242500000000007"/>
    <x v="0"/>
    <x v="3"/>
    <n v="16.747500000000002"/>
    <s v="Profit"/>
    <s v="No Discount"/>
  </r>
  <r>
    <n v="342"/>
    <s v="US-2023-118997"/>
    <x v="74"/>
    <d v="2023-04-12T00:00:00"/>
    <s v="Standard Class"/>
    <s v="RA-19885"/>
    <s v="Ruben Ausman"/>
    <x v="2"/>
    <s v="United States"/>
    <s v="Decatur"/>
    <s v="Alabama"/>
    <n v="35601"/>
    <x v="2"/>
    <s v="FUR-TA-10001086"/>
    <x v="1"/>
    <x v="13"/>
    <s v="SAFCO PlanMaster Boards, 60w x 37-1/2d, White Melamine"/>
    <n v="1215.92"/>
    <n v="8"/>
    <n v="0"/>
    <n v="316.13920000000007"/>
    <x v="0"/>
    <x v="3"/>
    <n v="39.517400000000009"/>
    <s v="Profit"/>
    <s v="No Discount"/>
  </r>
  <r>
    <n v="343"/>
    <s v="US-2023-150581"/>
    <x v="74"/>
    <d v="2023-04-12T00:00:00"/>
    <s v="Standard Class"/>
    <s v="NM-18445"/>
    <s v="Nathan Mautz"/>
    <x v="1"/>
    <s v="United States"/>
    <s v="Concord"/>
    <s v="California"/>
    <n v="94521"/>
    <x v="3"/>
    <s v="FUR-TA-10003748"/>
    <x v="1"/>
    <x v="13"/>
    <s v="Bevis 36 x 72 Conference Tables"/>
    <n v="99.591999999999999"/>
    <n v="1"/>
    <n v="0.2"/>
    <n v="2.4897999999999989"/>
    <x v="0"/>
    <x v="3"/>
    <n v="2.4897999999999989"/>
    <s v="Profit"/>
    <s v="Low"/>
  </r>
  <r>
    <n v="344"/>
    <s v="US-2023-121769"/>
    <x v="74"/>
    <d v="2023-04-12T00:00:00"/>
    <s v="Standard Class"/>
    <s v="JS-15880"/>
    <s v="John Stevenson"/>
    <x v="0"/>
    <s v="United States"/>
    <s v="Toledo"/>
    <s v="Ohio"/>
    <n v="43615"/>
    <x v="1"/>
    <s v="FUR-TA-10004442"/>
    <x v="1"/>
    <x v="13"/>
    <s v="Riverside Furniture Stanwyck Manor Table Series"/>
    <n v="172.11"/>
    <n v="1"/>
    <n v="0.4"/>
    <n v="-94.660500000000013"/>
    <x v="0"/>
    <x v="3"/>
    <n v="-94.660500000000013"/>
    <s v="Loss"/>
    <s v="Medium"/>
  </r>
  <r>
    <n v="345"/>
    <s v="US-2023-100363"/>
    <x v="74"/>
    <d v="2023-04-15T00:00:00"/>
    <s v="Standard Class"/>
    <s v="JM-15655"/>
    <s v="Jim Mitchum"/>
    <x v="2"/>
    <s v="United States"/>
    <s v="Glendale"/>
    <s v="Arizona"/>
    <n v="85301"/>
    <x v="3"/>
    <s v="OFF-FA-10000611"/>
    <x v="0"/>
    <x v="6"/>
    <s v="Binder Clips by OIC"/>
    <n v="2.3679999999999999"/>
    <n v="2"/>
    <n v="0.2"/>
    <n v="0.82879999999999987"/>
    <x v="0"/>
    <x v="3"/>
    <n v="0.41439999999999994"/>
    <s v="Profit"/>
    <s v="Low"/>
  </r>
  <r>
    <n v="346"/>
    <s v="US-2023-163797"/>
    <x v="74"/>
    <d v="2023-04-13T00:00:00"/>
    <s v="Standard Class"/>
    <s v="PC-19000"/>
    <s v="Pauline Chand"/>
    <x v="1"/>
    <s v="United States"/>
    <s v="Chandler"/>
    <s v="Arizona"/>
    <n v="85224"/>
    <x v="3"/>
    <s v="OFF-FA-10001883"/>
    <x v="0"/>
    <x v="6"/>
    <s v="Alliance Super-Size Bands, Assorted Sizes"/>
    <n v="49.792000000000002"/>
    <n v="8"/>
    <n v="0.2"/>
    <n v="-11.825600000000001"/>
    <x v="0"/>
    <x v="3"/>
    <n v="-1.4782000000000002"/>
    <s v="Loss"/>
    <s v="Low"/>
  </r>
  <r>
    <n v="347"/>
    <s v="US-2023-100363"/>
    <x v="74"/>
    <d v="2023-04-15T00:00:00"/>
    <s v="Standard Class"/>
    <s v="JM-15655"/>
    <s v="Jim Mitchum"/>
    <x v="2"/>
    <s v="United States"/>
    <s v="Glendale"/>
    <s v="Arizona"/>
    <n v="85301"/>
    <x v="3"/>
    <s v="OFF-PA-10004733"/>
    <x v="0"/>
    <x v="0"/>
    <s v="Things To Do Today Spiral Book"/>
    <n v="19.008000000000003"/>
    <n v="3"/>
    <n v="0.2"/>
    <n v="6.8903999999999979"/>
    <x v="0"/>
    <x v="3"/>
    <n v="2.2967999999999993"/>
    <s v="Profit"/>
    <s v="Low"/>
  </r>
  <r>
    <n v="348"/>
    <s v="US-2023-150581"/>
    <x v="74"/>
    <d v="2023-04-12T00:00:00"/>
    <s v="Standard Class"/>
    <s v="NM-18445"/>
    <s v="Nathan Mautz"/>
    <x v="1"/>
    <s v="United States"/>
    <s v="Concord"/>
    <s v="California"/>
    <n v="94521"/>
    <x v="3"/>
    <s v="TEC-AC-10001908"/>
    <x v="2"/>
    <x v="9"/>
    <s v="Logitech Wireless Headset h800"/>
    <n v="399.96"/>
    <n v="4"/>
    <n v="0"/>
    <n v="139.98599999999999"/>
    <x v="0"/>
    <x v="3"/>
    <n v="34.996499999999997"/>
    <s v="Profit"/>
    <s v="No Discount"/>
  </r>
  <r>
    <n v="349"/>
    <s v="US-2023-121734"/>
    <x v="75"/>
    <d v="2023-04-16T00:00:00"/>
    <s v="Standard Class"/>
    <s v="SE-20110"/>
    <s v="Sanjit Engle"/>
    <x v="0"/>
    <s v="United States"/>
    <s v="Lewiston"/>
    <s v="Idaho"/>
    <n v="83501"/>
    <x v="3"/>
    <s v="OFF-BI-10004817"/>
    <x v="0"/>
    <x v="1"/>
    <s v="GBC Personal VeloBind Strips"/>
    <n v="9.5840000000000014"/>
    <n v="1"/>
    <n v="0.2"/>
    <n v="3.3543999999999996"/>
    <x v="0"/>
    <x v="3"/>
    <n v="3.3543999999999996"/>
    <s v="Profit"/>
    <s v="Low"/>
  </r>
  <r>
    <n v="350"/>
    <s v="US-2023-102715"/>
    <x v="75"/>
    <d v="2023-04-13T00:00:00"/>
    <s v="Second Class"/>
    <s v="JK-15370"/>
    <s v="Jay Kimmel"/>
    <x v="0"/>
    <s v="United States"/>
    <s v="Miami"/>
    <s v="Florida"/>
    <n v="33180"/>
    <x v="2"/>
    <s v="OFF-FA-10001332"/>
    <x v="0"/>
    <x v="6"/>
    <s v="Acco Banker's Clasps, 5 3/4&quot;-Long"/>
    <n v="6.911999999999999"/>
    <n v="3"/>
    <n v="0.2"/>
    <n v="2.3327999999999998"/>
    <x v="0"/>
    <x v="3"/>
    <n v="0.77759999999999996"/>
    <s v="Profit"/>
    <s v="Low"/>
  </r>
  <r>
    <n v="351"/>
    <s v="US-2023-102715"/>
    <x v="75"/>
    <d v="2023-04-13T00:00:00"/>
    <s v="Second Class"/>
    <s v="JK-15370"/>
    <s v="Jay Kimmel"/>
    <x v="0"/>
    <s v="United States"/>
    <s v="Miami"/>
    <s v="Florida"/>
    <n v="33180"/>
    <x v="2"/>
    <s v="OFF-PA-10000029"/>
    <x v="0"/>
    <x v="0"/>
    <s v="Xerox 224"/>
    <n v="10.368000000000002"/>
    <n v="2"/>
    <n v="0.2"/>
    <n v="3.6288"/>
    <x v="0"/>
    <x v="3"/>
    <n v="1.8144"/>
    <s v="Profit"/>
    <s v="Low"/>
  </r>
  <r>
    <n v="352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OFF-ST-10000876"/>
    <x v="0"/>
    <x v="3"/>
    <s v="Eldon Simplefile Box Office"/>
    <n v="87.08"/>
    <n v="7"/>
    <n v="0"/>
    <n v="24.382400000000001"/>
    <x v="0"/>
    <x v="3"/>
    <n v="3.4832000000000001"/>
    <s v="Profit"/>
    <s v="No Discount"/>
  </r>
  <r>
    <n v="353"/>
    <s v="US-2023-102715"/>
    <x v="75"/>
    <d v="2023-04-13T00:00:00"/>
    <s v="Second Class"/>
    <s v="JK-15370"/>
    <s v="Jay Kimmel"/>
    <x v="0"/>
    <s v="United States"/>
    <s v="Miami"/>
    <s v="Florida"/>
    <n v="33180"/>
    <x v="2"/>
    <s v="TEC-AC-10001874"/>
    <x v="2"/>
    <x v="9"/>
    <s v="Logitech Wireless Anywhere Mouse MX for PC and Mac"/>
    <n v="335.94400000000002"/>
    <n v="7"/>
    <n v="0.2"/>
    <n v="41.992999999999995"/>
    <x v="0"/>
    <x v="3"/>
    <n v="5.9989999999999997"/>
    <s v="Profit"/>
    <s v="Low"/>
  </r>
  <r>
    <n v="354"/>
    <s v="US-2023-102715"/>
    <x v="75"/>
    <d v="2023-04-13T00:00:00"/>
    <s v="Second Class"/>
    <s v="JK-15370"/>
    <s v="Jay Kimmel"/>
    <x v="0"/>
    <s v="United States"/>
    <s v="Miami"/>
    <s v="Florida"/>
    <n v="33180"/>
    <x v="2"/>
    <s v="TEC-AC-10002001"/>
    <x v="2"/>
    <x v="9"/>
    <s v="Logitech Wireless Gaming Headset G930"/>
    <n v="383.97600000000006"/>
    <n v="3"/>
    <n v="0.2"/>
    <n v="81.59490000000001"/>
    <x v="0"/>
    <x v="3"/>
    <n v="27.198300000000003"/>
    <s v="Profit"/>
    <s v="Low"/>
  </r>
  <r>
    <n v="355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TEC-AC-10003399"/>
    <x v="2"/>
    <x v="9"/>
    <s v="Memorex Mini Travel Drive 64 GB USB 2.0 Flash Drive"/>
    <n v="217.44"/>
    <n v="6"/>
    <n v="0"/>
    <n v="91.32480000000001"/>
    <x v="0"/>
    <x v="3"/>
    <n v="15.220800000000002"/>
    <s v="Profit"/>
    <s v="No Discount"/>
  </r>
  <r>
    <n v="356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TEC-PH-10000586"/>
    <x v="2"/>
    <x v="7"/>
    <s v="AT&amp;T SB67148 SynJ"/>
    <n v="105.584"/>
    <n v="2"/>
    <n v="0.2"/>
    <n v="9.2386000000000053"/>
    <x v="0"/>
    <x v="3"/>
    <n v="4.6193000000000026"/>
    <s v="Profit"/>
    <s v="Low"/>
  </r>
  <r>
    <n v="357"/>
    <s v="US-2023-138940"/>
    <x v="75"/>
    <d v="2023-04-16T00:00:00"/>
    <s v="Second Class"/>
    <s v="GM-14455"/>
    <s v="Gary Mitchum"/>
    <x v="1"/>
    <s v="United States"/>
    <s v="Austin"/>
    <s v="Texas"/>
    <n v="78745"/>
    <x v="0"/>
    <s v="TEC-PH-10001835"/>
    <x v="2"/>
    <x v="7"/>
    <s v="Jawbone JAMBOX Wireless Bluetooth Speaker"/>
    <n v="758.35200000000009"/>
    <n v="6"/>
    <n v="0.2"/>
    <n v="265.42320000000001"/>
    <x v="0"/>
    <x v="3"/>
    <n v="44.237200000000001"/>
    <s v="Profit"/>
    <s v="Low"/>
  </r>
  <r>
    <n v="358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FUR-BO-10001337"/>
    <x v="1"/>
    <x v="10"/>
    <s v="O'Sullivan Living Dimensions 2-Shelf Bookcases"/>
    <n v="308.49900000000002"/>
    <n v="3"/>
    <n v="0.15"/>
    <n v="-18.146999999999998"/>
    <x v="0"/>
    <x v="3"/>
    <n v="-6.0489999999999995"/>
    <s v="Loss"/>
    <s v="Low"/>
  </r>
  <r>
    <n v="359"/>
    <s v="US-2023-142979"/>
    <x v="76"/>
    <d v="2023-04-18T00:00:00"/>
    <s v="Standard Class"/>
    <s v="EH-13765"/>
    <s v="Edward Hooks"/>
    <x v="2"/>
    <s v="United States"/>
    <s v="Lodi"/>
    <s v="California"/>
    <n v="95240"/>
    <x v="3"/>
    <s v="OFF-AR-10002987"/>
    <x v="0"/>
    <x v="4"/>
    <s v="Prismacolor Color Pencil Set"/>
    <n v="39.68"/>
    <n v="2"/>
    <n v="0"/>
    <n v="16.268800000000002"/>
    <x v="0"/>
    <x v="3"/>
    <n v="8.1344000000000012"/>
    <s v="Profit"/>
    <s v="No Discount"/>
  </r>
  <r>
    <n v="360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OFF-BI-10002764"/>
    <x v="0"/>
    <x v="1"/>
    <s v="Recycled Pressboard Report Cover with Reinforced Top Hinge"/>
    <n v="18.088000000000001"/>
    <n v="7"/>
    <n v="0.2"/>
    <n v="6.5569000000000006"/>
    <x v="0"/>
    <x v="3"/>
    <n v="0.93670000000000009"/>
    <s v="Profit"/>
    <s v="Low"/>
  </r>
  <r>
    <n v="361"/>
    <s v="US-2023-158365"/>
    <x v="76"/>
    <d v="2023-04-17T00:00:00"/>
    <s v="Standard Class"/>
    <s v="SV-20785"/>
    <s v="Stewart Visinsky"/>
    <x v="0"/>
    <s v="United States"/>
    <s v="Bloomington"/>
    <s v="Indiana"/>
    <n v="47401"/>
    <x v="0"/>
    <s v="OFF-PA-10000289"/>
    <x v="0"/>
    <x v="0"/>
    <s v="Xerox 213"/>
    <n v="32.400000000000006"/>
    <n v="5"/>
    <n v="0"/>
    <n v="15.552000000000001"/>
    <x v="0"/>
    <x v="3"/>
    <n v="3.1104000000000003"/>
    <s v="Profit"/>
    <s v="No Discount"/>
  </r>
  <r>
    <n v="362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TEC-PH-10000576"/>
    <x v="2"/>
    <x v="7"/>
    <s v="AT&amp;T 1080 Corded phone"/>
    <n v="438.36800000000005"/>
    <n v="4"/>
    <n v="0.2"/>
    <n v="38.357200000000006"/>
    <x v="0"/>
    <x v="3"/>
    <n v="9.5893000000000015"/>
    <s v="Profit"/>
    <s v="Low"/>
  </r>
  <r>
    <n v="363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TEC-PH-10001557"/>
    <x v="2"/>
    <x v="7"/>
    <s v="Pyle PMP37LED"/>
    <n v="1075.088"/>
    <n v="14"/>
    <n v="0.2"/>
    <n v="94.070199999999943"/>
    <x v="0"/>
    <x v="3"/>
    <n v="6.7192999999999961"/>
    <s v="Profit"/>
    <s v="Low"/>
  </r>
  <r>
    <n v="364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AR-10000122"/>
    <x v="0"/>
    <x v="4"/>
    <s v="Newell 314"/>
    <n v="17.856000000000002"/>
    <n v="4"/>
    <n v="0.2"/>
    <n v="1.1159999999999979"/>
    <x v="0"/>
    <x v="3"/>
    <n v="0.27899999999999947"/>
    <s v="Profit"/>
    <s v="Low"/>
  </r>
  <r>
    <n v="365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BI-10003656"/>
    <x v="0"/>
    <x v="1"/>
    <s v="Fellowes PB200 Plastic Comb Binding Machine"/>
    <n v="509.97000000000008"/>
    <n v="10"/>
    <n v="0.7"/>
    <n v="-407.97599999999989"/>
    <x v="0"/>
    <x v="3"/>
    <n v="-40.797599999999989"/>
    <s v="Loss"/>
    <s v="High"/>
  </r>
  <r>
    <n v="366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FA-10002780"/>
    <x v="0"/>
    <x v="6"/>
    <s v="Staples"/>
    <n v="30.991999999999997"/>
    <n v="13"/>
    <n v="0.2"/>
    <n v="10.072399999999996"/>
    <x v="0"/>
    <x v="3"/>
    <n v="0.77479999999999971"/>
    <s v="Profit"/>
    <s v="Low"/>
  </r>
  <r>
    <n v="367"/>
    <s v="US-2023-167724"/>
    <x v="77"/>
    <d v="2023-04-18T00:00:00"/>
    <s v="Standard Class"/>
    <s v="BF-11170"/>
    <s v="Ben Ferrer"/>
    <x v="1"/>
    <s v="United States"/>
    <s v="Baltimore"/>
    <s v="Maryland"/>
    <n v="21215"/>
    <x v="1"/>
    <s v="OFF-LA-10002368"/>
    <x v="0"/>
    <x v="2"/>
    <s v="Avery 479"/>
    <n v="7.83"/>
    <n v="3"/>
    <n v="0"/>
    <n v="3.6017999999999999"/>
    <x v="0"/>
    <x v="3"/>
    <n v="1.2005999999999999"/>
    <s v="Profit"/>
    <s v="No Discount"/>
  </r>
  <r>
    <n v="368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TEC-PH-10000702"/>
    <x v="2"/>
    <x v="7"/>
    <s v="Square Credit Card Reader, 4 1/2&quot; x 4 1/2&quot; x 1&quot;, White"/>
    <n v="71.927999999999997"/>
    <n v="12"/>
    <n v="0.4"/>
    <n v="8.3915999999999897"/>
    <x v="0"/>
    <x v="3"/>
    <n v="0.69929999999999914"/>
    <s v="Profit"/>
    <s v="Medium"/>
  </r>
  <r>
    <n v="369"/>
    <s v="US-2023-120740"/>
    <x v="78"/>
    <d v="2023-04-15T00:00:00"/>
    <s v="Same Day"/>
    <s v="PS-18970"/>
    <s v="Paul Stevenson"/>
    <x v="1"/>
    <s v="United States"/>
    <s v="Los Angeles"/>
    <s v="California"/>
    <n v="90049"/>
    <x v="3"/>
    <s v="FUR-FU-10004091"/>
    <x v="1"/>
    <x v="8"/>
    <s v="Howard Miller 13&quot; Diameter Goldtone Round Wall Clock"/>
    <n v="187.76"/>
    <n v="4"/>
    <n v="0"/>
    <n v="76.9816"/>
    <x v="0"/>
    <x v="3"/>
    <n v="19.2454"/>
    <s v="Profit"/>
    <s v="No Discount"/>
  </r>
  <r>
    <n v="370"/>
    <s v="US-2023-120740"/>
    <x v="78"/>
    <d v="2023-04-15T00:00:00"/>
    <s v="Same Day"/>
    <s v="PS-18970"/>
    <s v="Paul Stevenson"/>
    <x v="1"/>
    <s v="United States"/>
    <s v="Los Angeles"/>
    <s v="California"/>
    <n v="90049"/>
    <x v="3"/>
    <s v="OFF-AP-10000240"/>
    <x v="0"/>
    <x v="12"/>
    <s v="Belkin F9G930V10-GRY 9 Outlet Surge"/>
    <n v="106.96"/>
    <n v="2"/>
    <n v="0"/>
    <n v="31.018399999999986"/>
    <x v="0"/>
    <x v="3"/>
    <n v="15.509199999999993"/>
    <s v="Profit"/>
    <s v="No Discount"/>
  </r>
  <r>
    <n v="371"/>
    <s v="US-2023-155208"/>
    <x v="79"/>
    <d v="2023-04-20T00:00:00"/>
    <s v="Standard Class"/>
    <s v="SP-20650"/>
    <s v="Stephanie Phelps"/>
    <x v="2"/>
    <s v="United States"/>
    <s v="Wilmington"/>
    <s v="North Carolina"/>
    <n v="28403"/>
    <x v="2"/>
    <s v="OFF-AR-10003478"/>
    <x v="0"/>
    <x v="4"/>
    <s v="Avery Hi-Liter EverBold Pen Style Fluorescent Highlighters, 4/Pack"/>
    <n v="39.072000000000003"/>
    <n v="6"/>
    <n v="0.2"/>
    <n v="9.7680000000000007"/>
    <x v="0"/>
    <x v="3"/>
    <n v="1.6280000000000001"/>
    <s v="Profit"/>
    <s v="Low"/>
  </r>
  <r>
    <n v="372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FUR-CH-10002602"/>
    <x v="1"/>
    <x v="5"/>
    <s v="DMI Arturo Collection Mission-style Design Wood Chair"/>
    <n v="317.05799999999999"/>
    <n v="3"/>
    <n v="0.3"/>
    <n v="-18.117599999999996"/>
    <x v="0"/>
    <x v="3"/>
    <n v="-6.0391999999999983"/>
    <s v="Loss"/>
    <s v="Medium"/>
  </r>
  <r>
    <n v="373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AR-10000657"/>
    <x v="0"/>
    <x v="4"/>
    <s v="Binney &amp; Smith inkTank Desk Highlighter, Chisel Tip, Yellow, 12/Box"/>
    <n v="10.75"/>
    <n v="5"/>
    <n v="0"/>
    <n v="3.547499999999999"/>
    <x v="0"/>
    <x v="3"/>
    <n v="0.7094999999999998"/>
    <s v="Profit"/>
    <s v="No Discount"/>
  </r>
  <r>
    <n v="374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OFF-AR-10001868"/>
    <x v="0"/>
    <x v="4"/>
    <s v="Prang Dustless Chalk Sticks"/>
    <n v="2.6880000000000002"/>
    <n v="2"/>
    <n v="0.2"/>
    <n v="1.008"/>
    <x v="0"/>
    <x v="3"/>
    <n v="0.504"/>
    <s v="Profit"/>
    <s v="Low"/>
  </r>
  <r>
    <n v="375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AR-10002375"/>
    <x v="0"/>
    <x v="4"/>
    <s v="Newell 351"/>
    <n v="13.12"/>
    <n v="4"/>
    <n v="0"/>
    <n v="3.8047999999999984"/>
    <x v="0"/>
    <x v="3"/>
    <n v="0.9511999999999996"/>
    <s v="Profit"/>
    <s v="No Discount"/>
  </r>
  <r>
    <n v="376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OFF-EN-10000056"/>
    <x v="0"/>
    <x v="11"/>
    <s v="Cameo Buff Policy Envelopes"/>
    <n v="149.352"/>
    <n v="3"/>
    <n v="0.2"/>
    <n v="50.40629999999998"/>
    <x v="0"/>
    <x v="3"/>
    <n v="16.802099999999992"/>
    <s v="Profit"/>
    <s v="Low"/>
  </r>
  <r>
    <n v="377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FA-10000134"/>
    <x v="0"/>
    <x v="6"/>
    <s v="Advantus Push Pins, Aluminum Head"/>
    <n v="11.62"/>
    <n v="2"/>
    <n v="0"/>
    <n v="3.6021999999999998"/>
    <x v="0"/>
    <x v="3"/>
    <n v="1.8010999999999999"/>
    <s v="Profit"/>
    <s v="No Discount"/>
  </r>
  <r>
    <n v="378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TEC-AC-10000474"/>
    <x v="2"/>
    <x v="9"/>
    <s v="Kensington Expert Mouse Optical USB Trackball for PC or Mac"/>
    <n v="227.976"/>
    <n v="3"/>
    <n v="0.2"/>
    <n v="28.496999999999957"/>
    <x v="0"/>
    <x v="3"/>
    <n v="9.4989999999999863"/>
    <s v="Profit"/>
    <s v="Low"/>
  </r>
  <r>
    <n v="379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TEC-MA-10002859"/>
    <x v="2"/>
    <x v="15"/>
    <s v="Ativa MDM8000 8-Sheet Micro-Cut Shredder"/>
    <n v="287.96800000000002"/>
    <n v="4"/>
    <n v="0.2"/>
    <n v="97.189199999999985"/>
    <x v="0"/>
    <x v="3"/>
    <n v="24.297299999999996"/>
    <s v="Profit"/>
    <s v="Low"/>
  </r>
  <r>
    <n v="380"/>
    <s v="US-2023-169460"/>
    <x v="81"/>
    <d v="2023-04-21T00:00:00"/>
    <s v="Second Class"/>
    <s v="NF-18595"/>
    <s v="Nicole Fjeld"/>
    <x v="1"/>
    <s v="United States"/>
    <s v="San Jose"/>
    <s v="California"/>
    <n v="95123"/>
    <x v="3"/>
    <s v="FUR-FU-10004017"/>
    <x v="1"/>
    <x v="8"/>
    <s v="Executive Impressions 13&quot; Chairman Wall Clock"/>
    <n v="76.14"/>
    <n v="3"/>
    <n v="0"/>
    <n v="26.648999999999997"/>
    <x v="0"/>
    <x v="3"/>
    <n v="8.8829999999999991"/>
    <s v="Profit"/>
    <s v="No Discount"/>
  </r>
  <r>
    <n v="381"/>
    <s v="US-2023-158470"/>
    <x v="81"/>
    <d v="2023-04-23T00:00:00"/>
    <s v="Second Class"/>
    <s v="AG-10390"/>
    <s v="Allen Goldenen"/>
    <x v="0"/>
    <s v="United States"/>
    <s v="Arlington"/>
    <s v="Virginia"/>
    <n v="22204"/>
    <x v="2"/>
    <s v="OFF-BI-10003638"/>
    <x v="0"/>
    <x v="1"/>
    <s v="GBC Durable Plastic Covers"/>
    <n v="58.050000000000004"/>
    <n v="3"/>
    <n v="0"/>
    <n v="26.702999999999999"/>
    <x v="0"/>
    <x v="3"/>
    <n v="8.9009999999999998"/>
    <s v="Profit"/>
    <s v="No Discount"/>
  </r>
  <r>
    <n v="382"/>
    <s v="US-2023-158470"/>
    <x v="81"/>
    <d v="2023-04-23T00:00:00"/>
    <s v="Second Class"/>
    <s v="AG-10390"/>
    <s v="Allen Goldenen"/>
    <x v="0"/>
    <s v="United States"/>
    <s v="Arlington"/>
    <s v="Virginia"/>
    <n v="22204"/>
    <x v="2"/>
    <s v="OFF-PA-10001569"/>
    <x v="0"/>
    <x v="0"/>
    <s v="Xerox 232"/>
    <n v="71.28"/>
    <n v="11"/>
    <n v="0"/>
    <n v="34.214400000000005"/>
    <x v="0"/>
    <x v="3"/>
    <n v="3.1104000000000003"/>
    <s v="Profit"/>
    <s v="No Discount"/>
  </r>
  <r>
    <n v="383"/>
    <s v="US-2023-101462"/>
    <x v="82"/>
    <d v="2023-04-25T00:00:00"/>
    <s v="Standard Class"/>
    <s v="BP-11230"/>
    <s v="Benjamin Patterson"/>
    <x v="0"/>
    <s v="United States"/>
    <s v="Los Angeles"/>
    <s v="California"/>
    <n v="90045"/>
    <x v="3"/>
    <s v="FUR-FU-10000409"/>
    <x v="1"/>
    <x v="8"/>
    <s v="GE 4 Foot Flourescent Tube, 40 Watt"/>
    <n v="59.92"/>
    <n v="4"/>
    <n v="0"/>
    <n v="27.563200000000002"/>
    <x v="0"/>
    <x v="3"/>
    <n v="6.8908000000000005"/>
    <s v="Profit"/>
    <s v="No Discount"/>
  </r>
  <r>
    <n v="384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FUR-TA-10001705"/>
    <x v="1"/>
    <x v="13"/>
    <s v="Bush Advantage Collection Round Conference Table"/>
    <n v="744.09999999999991"/>
    <n v="5"/>
    <n v="0.3"/>
    <n v="-95.670000000000044"/>
    <x v="0"/>
    <x v="3"/>
    <n v="-19.134000000000007"/>
    <s v="Loss"/>
    <s v="Medium"/>
  </r>
  <r>
    <n v="385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FUR-TA-10004442"/>
    <x v="1"/>
    <x v="13"/>
    <s v="Riverside Furniture Stanwyck Manor Table Series"/>
    <n v="401.59000000000003"/>
    <n v="2"/>
    <n v="0.3"/>
    <n v="-131.95100000000002"/>
    <x v="0"/>
    <x v="3"/>
    <n v="-65.975500000000011"/>
    <s v="Loss"/>
    <s v="Medium"/>
  </r>
  <r>
    <n v="386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OFF-ST-10004634"/>
    <x v="0"/>
    <x v="3"/>
    <s v="Personal Folder Holder, Ebony"/>
    <n v="44.840000000000011"/>
    <n v="5"/>
    <n v="0.2"/>
    <n v="5.6049999999999951"/>
    <x v="0"/>
    <x v="3"/>
    <n v="1.1209999999999991"/>
    <s v="Profit"/>
    <s v="Low"/>
  </r>
  <r>
    <n v="387"/>
    <s v="US-2023-158064"/>
    <x v="83"/>
    <d v="2023-04-25T00:00:00"/>
    <s v="Standard Class"/>
    <s v="AA-10375"/>
    <s v="Allen Armold"/>
    <x v="0"/>
    <s v="United States"/>
    <s v="Los Angeles"/>
    <s v="California"/>
    <n v="90008"/>
    <x v="3"/>
    <s v="OFF-BI-10002976"/>
    <x v="0"/>
    <x v="1"/>
    <s v="ACCOHIDE Binder by Acco"/>
    <n v="16.520000000000003"/>
    <n v="5"/>
    <n v="0.2"/>
    <n v="5.5754999999999999"/>
    <x v="0"/>
    <x v="3"/>
    <n v="1.1151"/>
    <s v="Profit"/>
    <s v="Low"/>
  </r>
  <r>
    <n v="388"/>
    <s v="US-2023-136336"/>
    <x v="83"/>
    <d v="2023-04-26T00:00:00"/>
    <s v="Standard Class"/>
    <s v="DB-13555"/>
    <s v="Dorothy Badders"/>
    <x v="2"/>
    <s v="United States"/>
    <s v="Henderson"/>
    <s v="Kentucky"/>
    <n v="42420"/>
    <x v="2"/>
    <s v="OFF-ST-10002574"/>
    <x v="0"/>
    <x v="3"/>
    <s v="SAFCO Commercial Wire Shelving, Black"/>
    <n v="828.83999999999992"/>
    <n v="6"/>
    <n v="0"/>
    <n v="0"/>
    <x v="0"/>
    <x v="3"/>
    <n v="0"/>
    <s v="Break-even"/>
    <s v="No Discount"/>
  </r>
  <r>
    <n v="389"/>
    <s v="US-2023-122070"/>
    <x v="84"/>
    <d v="2023-04-24T00:00:00"/>
    <s v="Second Class"/>
    <s v="AH-10030"/>
    <s v="Aaron Hawkins"/>
    <x v="2"/>
    <s v="United States"/>
    <s v="Troy"/>
    <s v="New York"/>
    <n v="12180"/>
    <x v="1"/>
    <s v="OFF-BI-10004970"/>
    <x v="0"/>
    <x v="1"/>
    <s v="ACCOHIDE 3-Ring Binder, Blue, 1&quot;"/>
    <n v="9.9120000000000008"/>
    <n v="3"/>
    <n v="0.2"/>
    <n v="3.3452999999999995"/>
    <x v="0"/>
    <x v="3"/>
    <n v="1.1150999999999998"/>
    <s v="Profit"/>
    <s v="Low"/>
  </r>
  <r>
    <n v="390"/>
    <s v="US-2023-122070"/>
    <x v="84"/>
    <d v="2023-04-24T00:00:00"/>
    <s v="Second Class"/>
    <s v="AH-10030"/>
    <s v="Aaron Hawkins"/>
    <x v="2"/>
    <s v="United States"/>
    <s v="Troy"/>
    <s v="New York"/>
    <n v="12180"/>
    <x v="1"/>
    <s v="OFF-EN-10004773"/>
    <x v="0"/>
    <x v="11"/>
    <s v="Staple envelope"/>
    <n v="247.84"/>
    <n v="8"/>
    <n v="0"/>
    <n v="121.44159999999999"/>
    <x v="0"/>
    <x v="3"/>
    <n v="15.180199999999999"/>
    <s v="Profit"/>
    <s v="No Discount"/>
  </r>
  <r>
    <n v="391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  <x v="0"/>
    <x v="3"/>
    <n v="-6.0293999999999954"/>
    <s v="Loss"/>
    <s v="Medium"/>
  </r>
  <r>
    <n v="392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  <x v="0"/>
    <x v="3"/>
    <n v="-6.0293999999999954"/>
    <s v="Loss"/>
    <s v="Medium"/>
  </r>
  <r>
    <n v="393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FU-10002191"/>
    <x v="1"/>
    <x v="8"/>
    <s v="G.E. Halogen Desk Lamp Bulbs"/>
    <n v="22.336000000000002"/>
    <n v="4"/>
    <n v="0.2"/>
    <n v="7.8175999999999997"/>
    <x v="0"/>
    <x v="3"/>
    <n v="1.9543999999999999"/>
    <s v="Profit"/>
    <s v="Low"/>
  </r>
  <r>
    <n v="394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OFF-BI-10000145"/>
    <x v="0"/>
    <x v="1"/>
    <s v="Zipper Ring Binder Pockets"/>
    <n v="7.4880000000000013"/>
    <n v="8"/>
    <n v="0.7"/>
    <n v="-5.2415999999999983"/>
    <x v="0"/>
    <x v="3"/>
    <n v="-0.65519999999999978"/>
    <s v="Loss"/>
    <s v="High"/>
  </r>
  <r>
    <n v="395"/>
    <s v="US-2023-112564"/>
    <x v="85"/>
    <d v="2023-04-24T00:00:00"/>
    <s v="First Class"/>
    <s v="TS-21160"/>
    <s v="Theresa Swint"/>
    <x v="2"/>
    <s v="United States"/>
    <s v="Philadelphia"/>
    <s v="Pennsylvania"/>
    <n v="19134"/>
    <x v="1"/>
    <s v="OFF-BI-10004876"/>
    <x v="0"/>
    <x v="1"/>
    <s v="Wilson Jones Suede Grain Vinyl Binders"/>
    <n v="2.5020000000000002"/>
    <n v="3"/>
    <n v="0.7"/>
    <n v="-1.7513999999999994"/>
    <x v="0"/>
    <x v="3"/>
    <n v="-0.58379999999999976"/>
    <s v="Loss"/>
    <s v="High"/>
  </r>
  <r>
    <n v="396"/>
    <s v="US-2023-111857"/>
    <x v="85"/>
    <d v="2023-04-26T00:00:00"/>
    <s v="Second Class"/>
    <s v="NM-18445"/>
    <s v="Nathan Mautz"/>
    <x v="1"/>
    <s v="United States"/>
    <s v="San Francisco"/>
    <s v="California"/>
    <n v="94109"/>
    <x v="3"/>
    <s v="OFF-PA-10001878"/>
    <x v="0"/>
    <x v="0"/>
    <s v="Xerox 1891"/>
    <n v="48.91"/>
    <n v="1"/>
    <n v="0"/>
    <n v="22.987699999999997"/>
    <x v="0"/>
    <x v="3"/>
    <n v="22.987699999999997"/>
    <s v="Profit"/>
    <s v="No Discount"/>
  </r>
  <r>
    <n v="397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FUR-CH-10003973"/>
    <x v="1"/>
    <x v="5"/>
    <s v="GuestStacker Chair with Chrome Finish Legs"/>
    <n v="1487.04"/>
    <n v="5"/>
    <n v="0.2"/>
    <n v="148.70400000000006"/>
    <x v="0"/>
    <x v="3"/>
    <n v="29.740800000000014"/>
    <s v="Profit"/>
    <s v="Low"/>
  </r>
  <r>
    <n v="398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FUR-FU-10003708"/>
    <x v="1"/>
    <x v="8"/>
    <s v="Tenex Traditional Chairmats for Medium Pile Carpet, Standard Lip, 36&quot; x 48&quot;"/>
    <n v="303.25"/>
    <n v="5"/>
    <n v="0"/>
    <n v="63.682499999999997"/>
    <x v="0"/>
    <x v="3"/>
    <n v="12.736499999999999"/>
    <s v="Profit"/>
    <s v="No Discount"/>
  </r>
  <r>
    <n v="399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OFF-AP-10001391"/>
    <x v="0"/>
    <x v="12"/>
    <s v="Kensington 6 Outlet MasterPiece HOMEOFFICE Power Control Center"/>
    <n v="270.71999999999997"/>
    <n v="3"/>
    <n v="0"/>
    <n v="78.508799999999965"/>
    <x v="0"/>
    <x v="3"/>
    <n v="26.169599999999988"/>
    <s v="Profit"/>
    <s v="No Discount"/>
  </r>
  <r>
    <n v="400"/>
    <s v="US-2023-157406"/>
    <x v="86"/>
    <d v="2023-04-29T00:00:00"/>
    <s v="Standard Class"/>
    <s v="DA-13450"/>
    <s v="Dianna Arnett"/>
    <x v="1"/>
    <s v="United States"/>
    <s v="Houston"/>
    <s v="Texas"/>
    <n v="77095"/>
    <x v="0"/>
    <s v="OFF-AR-10002221"/>
    <x v="0"/>
    <x v="4"/>
    <s v="12 Colored Short Pencils"/>
    <n v="6.24"/>
    <n v="3"/>
    <n v="0.2"/>
    <n v="0.54600000000000071"/>
    <x v="0"/>
    <x v="3"/>
    <n v="0.18200000000000024"/>
    <s v="Profit"/>
    <s v="Low"/>
  </r>
  <r>
    <n v="401"/>
    <s v="US-2023-157406"/>
    <x v="86"/>
    <d v="2023-04-29T00:00:00"/>
    <s v="Standard Class"/>
    <s v="DA-13450"/>
    <s v="Dianna Arnett"/>
    <x v="1"/>
    <s v="United States"/>
    <s v="Houston"/>
    <s v="Texas"/>
    <n v="77095"/>
    <x v="0"/>
    <s v="OFF-PA-10003543"/>
    <x v="0"/>
    <x v="0"/>
    <s v="Xerox 1985"/>
    <n v="10.368000000000002"/>
    <n v="2"/>
    <n v="0.2"/>
    <n v="3.6288"/>
    <x v="0"/>
    <x v="3"/>
    <n v="1.8144"/>
    <s v="Profit"/>
    <s v="Low"/>
  </r>
  <r>
    <n v="402"/>
    <s v="US-2023-110100"/>
    <x v="86"/>
    <d v="2023-04-29T00:00:00"/>
    <s v="Standard Class"/>
    <s v="LC-16885"/>
    <s v="Lena Creighton"/>
    <x v="0"/>
    <s v="United States"/>
    <s v="Wilmington"/>
    <s v="North Carolina"/>
    <n v="28403"/>
    <x v="2"/>
    <s v="TEC-PH-10004531"/>
    <x v="2"/>
    <x v="7"/>
    <s v="AT&amp;T CL2909"/>
    <n v="302.37599999999998"/>
    <n v="3"/>
    <n v="0.2"/>
    <n v="37.796999999999997"/>
    <x v="0"/>
    <x v="3"/>
    <n v="12.598999999999998"/>
    <s v="Profit"/>
    <s v="Low"/>
  </r>
  <r>
    <n v="403"/>
    <s v="US-2023-147298"/>
    <x v="87"/>
    <d v="2023-05-03T00:00:00"/>
    <s v="Standard Class"/>
    <s v="AG-10300"/>
    <s v="Aleksandra Gannaway"/>
    <x v="2"/>
    <s v="United States"/>
    <s v="Los Angeles"/>
    <s v="California"/>
    <n v="90049"/>
    <x v="3"/>
    <s v="FUR-CH-10004886"/>
    <x v="1"/>
    <x v="5"/>
    <s v="Bevis Steel Folding Chairs"/>
    <n v="230.28000000000003"/>
    <n v="3"/>
    <n v="0.2"/>
    <n v="23.027999999999992"/>
    <x v="0"/>
    <x v="3"/>
    <n v="7.6759999999999975"/>
    <s v="Profit"/>
    <s v="Low"/>
  </r>
  <r>
    <n v="404"/>
    <s v="US-2023-116785"/>
    <x v="87"/>
    <d v="2023-04-30T00:00:00"/>
    <s v="Standard Class"/>
    <s v="MH-17290"/>
    <s v="Marc Harrigan"/>
    <x v="1"/>
    <s v="United States"/>
    <s v="Los Angeles"/>
    <s v="California"/>
    <n v="90036"/>
    <x v="3"/>
    <s v="OFF-AR-10003504"/>
    <x v="0"/>
    <x v="4"/>
    <s v="Newell 347"/>
    <n v="21.400000000000002"/>
    <n v="5"/>
    <n v="0"/>
    <n v="6.2059999999999977"/>
    <x v="0"/>
    <x v="3"/>
    <n v="1.2411999999999996"/>
    <s v="Profit"/>
    <s v="No Discount"/>
  </r>
  <r>
    <n v="405"/>
    <s v="US-2023-147298"/>
    <x v="87"/>
    <d v="2023-05-03T00:00:00"/>
    <s v="Standard Class"/>
    <s v="AG-10300"/>
    <s v="Aleksandra Gannaway"/>
    <x v="2"/>
    <s v="United States"/>
    <s v="Los Angeles"/>
    <s v="California"/>
    <n v="90049"/>
    <x v="3"/>
    <s v="OFF-BI-10001525"/>
    <x v="0"/>
    <x v="1"/>
    <s v="Acco Pressboard Covers with Storage Hooks, 14 7/8&quot; x 11&quot;, Executive Red"/>
    <n v="18.288"/>
    <n v="6"/>
    <n v="0.2"/>
    <n v="5.714999999999999"/>
    <x v="0"/>
    <x v="3"/>
    <n v="0.95249999999999979"/>
    <s v="Profit"/>
    <s v="Low"/>
  </r>
  <r>
    <n v="406"/>
    <s v="US-2023-116785"/>
    <x v="87"/>
    <d v="2023-04-30T00:00:00"/>
    <s v="Standard Class"/>
    <s v="MH-17290"/>
    <s v="Marc Harrigan"/>
    <x v="1"/>
    <s v="United States"/>
    <s v="Los Angeles"/>
    <s v="California"/>
    <n v="90036"/>
    <x v="3"/>
    <s v="OFF-LA-10000305"/>
    <x v="0"/>
    <x v="2"/>
    <s v="Avery 495"/>
    <n v="12.6"/>
    <n v="2"/>
    <n v="0"/>
    <n v="5.7959999999999994"/>
    <x v="0"/>
    <x v="3"/>
    <n v="2.8979999999999997"/>
    <s v="Profit"/>
    <s v="No Discount"/>
  </r>
  <r>
    <n v="407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AR-10004752"/>
    <x v="0"/>
    <x v="4"/>
    <s v="Blackstonian Pencils"/>
    <n v="5.34"/>
    <n v="2"/>
    <n v="0"/>
    <n v="1.4952000000000001"/>
    <x v="0"/>
    <x v="3"/>
    <n v="0.74760000000000004"/>
    <s v="Profit"/>
    <s v="No Discount"/>
  </r>
  <r>
    <n v="408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  <n v="2"/>
    <n v="0"/>
    <n v="9.3869999999999987"/>
    <x v="0"/>
    <x v="3"/>
    <n v="4.6934999999999993"/>
    <s v="Profit"/>
    <s v="No Discount"/>
  </r>
  <r>
    <n v="409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LA-10000452"/>
    <x v="0"/>
    <x v="2"/>
    <s v="Avery 488"/>
    <n v="3.15"/>
    <n v="1"/>
    <n v="0"/>
    <n v="1.512"/>
    <x v="0"/>
    <x v="3"/>
    <n v="1.512"/>
    <s v="Profit"/>
    <s v="No Discount"/>
  </r>
  <r>
    <n v="410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LA-10001613"/>
    <x v="0"/>
    <x v="2"/>
    <s v="Avery File Folder Labels"/>
    <n v="6.911999999999999"/>
    <n v="3"/>
    <n v="0.2"/>
    <n v="2.5056000000000003"/>
    <x v="0"/>
    <x v="3"/>
    <n v="0.83520000000000005"/>
    <s v="Profit"/>
    <s v="Low"/>
  </r>
  <r>
    <n v="411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ST-10000877"/>
    <x v="0"/>
    <x v="3"/>
    <s v="Recycled Steel Personal File for Standard File Folders"/>
    <n v="497.61"/>
    <n v="9"/>
    <n v="0"/>
    <n v="129.37860000000001"/>
    <x v="0"/>
    <x v="3"/>
    <n v="14.375400000000001"/>
    <s v="Profit"/>
    <s v="No Discount"/>
  </r>
  <r>
    <n v="412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ST-10001128"/>
    <x v="0"/>
    <x v="3"/>
    <s v="Carina Mini System Audio Rack, Model AR050B"/>
    <n v="177.56800000000001"/>
    <n v="2"/>
    <n v="0.2"/>
    <n v="-37.733199999999989"/>
    <x v="0"/>
    <x v="3"/>
    <n v="-18.866599999999995"/>
    <s v="Loss"/>
    <s v="Low"/>
  </r>
  <r>
    <n v="413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ST-10002214"/>
    <x v="0"/>
    <x v="3"/>
    <s v="X-Rack File for Hanging Folders"/>
    <n v="27.096"/>
    <n v="3"/>
    <n v="0.2"/>
    <n v="2.0321999999999987"/>
    <x v="0"/>
    <x v="3"/>
    <n v="0.67739999999999956"/>
    <s v="Profit"/>
    <s v="Low"/>
  </r>
  <r>
    <n v="414"/>
    <s v="US-2023-132983"/>
    <x v="88"/>
    <d v="2023-05-03T00:00:00"/>
    <s v="Standard Class"/>
    <s v="DS-13180"/>
    <s v="David Smith"/>
    <x v="2"/>
    <s v="United States"/>
    <s v="Jamestown"/>
    <s v="New York"/>
    <n v="14701"/>
    <x v="1"/>
    <s v="TEC-AC-10000736"/>
    <x v="2"/>
    <x v="9"/>
    <s v="Logitech G600 MMO Gaming Mouse"/>
    <n v="159.97999999999999"/>
    <n v="2"/>
    <n v="0"/>
    <n v="57.592799999999997"/>
    <x v="0"/>
    <x v="3"/>
    <n v="28.796399999999998"/>
    <s v="Profit"/>
    <s v="No Discount"/>
  </r>
  <r>
    <n v="415"/>
    <s v="US-2023-131387"/>
    <x v="88"/>
    <d v="2023-04-30T00:00:00"/>
    <s v="First Class"/>
    <s v="AI-10855"/>
    <s v="Arianne Irving"/>
    <x v="0"/>
    <s v="United States"/>
    <s v="San Francisco"/>
    <s v="California"/>
    <n v="94122"/>
    <x v="3"/>
    <s v="TEC-PH-10001459"/>
    <x v="2"/>
    <x v="7"/>
    <s v="Samsung Galaxy Mega 6.3"/>
    <n v="1679.96"/>
    <n v="5"/>
    <n v="0.2"/>
    <n v="125.99700000000007"/>
    <x v="0"/>
    <x v="3"/>
    <n v="25.199400000000015"/>
    <s v="Profit"/>
    <s v="Low"/>
  </r>
  <r>
    <n v="416"/>
    <s v="US-2023-107811"/>
    <x v="89"/>
    <d v="2023-05-03T00:00:00"/>
    <s v="Standard Class"/>
    <s v="LA-16780"/>
    <s v="Laura Armstrong"/>
    <x v="2"/>
    <s v="United States"/>
    <s v="Memphis"/>
    <s v="Tennessee"/>
    <n v="38109"/>
    <x v="2"/>
    <s v="FUR-CH-10001394"/>
    <x v="1"/>
    <x v="5"/>
    <s v="Global Leather Executive Chair"/>
    <n v="561.58400000000006"/>
    <n v="2"/>
    <n v="0.2"/>
    <n v="70.197999999999922"/>
    <x v="0"/>
    <x v="3"/>
    <n v="35.098999999999961"/>
    <s v="Profit"/>
    <s v="Low"/>
  </r>
  <r>
    <n v="417"/>
    <s v="US-2023-142727"/>
    <x v="89"/>
    <d v="2023-05-01T00:00:00"/>
    <s v="Second Class"/>
    <s v="HG-14845"/>
    <s v="Harry Greene"/>
    <x v="0"/>
    <s v="United States"/>
    <s v="Lake Charles"/>
    <s v="Louisiana"/>
    <n v="70601"/>
    <x v="2"/>
    <s v="FUR-CH-10002304"/>
    <x v="1"/>
    <x v="5"/>
    <s v="Global Stack Chair without Arms, Black"/>
    <n v="51.96"/>
    <n v="2"/>
    <n v="0"/>
    <n v="12.990000000000002"/>
    <x v="0"/>
    <x v="3"/>
    <n v="6.495000000000001"/>
    <s v="Profit"/>
    <s v="No Discount"/>
  </r>
  <r>
    <n v="418"/>
    <s v="US-2023-134061"/>
    <x v="89"/>
    <d v="2023-05-04T00:00:00"/>
    <s v="Standard Class"/>
    <s v="LL-16840"/>
    <s v="Lauren Leatherbury"/>
    <x v="0"/>
    <s v="United States"/>
    <s v="Rochester"/>
    <s v="New York"/>
    <n v="14609"/>
    <x v="1"/>
    <s v="FUR-FU-10001424"/>
    <x v="1"/>
    <x v="8"/>
    <s v="Dax Clear Box Frame"/>
    <n v="17.46"/>
    <n v="2"/>
    <n v="0"/>
    <n v="5.936399999999999"/>
    <x v="0"/>
    <x v="3"/>
    <n v="2.9681999999999995"/>
    <s v="Profit"/>
    <s v="No Discount"/>
  </r>
  <r>
    <n v="419"/>
    <s v="US-2023-142727"/>
    <x v="89"/>
    <d v="2023-05-01T00:00:00"/>
    <s v="Second Class"/>
    <s v="HG-14845"/>
    <s v="Harry Greene"/>
    <x v="0"/>
    <s v="United States"/>
    <s v="Lake Charles"/>
    <s v="Louisiana"/>
    <n v="70601"/>
    <x v="2"/>
    <s v="OFF-BI-10000136"/>
    <x v="0"/>
    <x v="1"/>
    <s v="Avery Non-Stick Heavy Duty View Round Locking Ring Binders"/>
    <n v="17.940000000000001"/>
    <n v="3"/>
    <n v="0"/>
    <n v="8.6112000000000002"/>
    <x v="0"/>
    <x v="3"/>
    <n v="2.8704000000000001"/>
    <s v="Profit"/>
    <s v="No Discount"/>
  </r>
  <r>
    <n v="420"/>
    <s v="US-2023-107811"/>
    <x v="89"/>
    <d v="2023-05-03T00:00:00"/>
    <s v="Standard Class"/>
    <s v="LA-16780"/>
    <s v="Laura Armstrong"/>
    <x v="2"/>
    <s v="United States"/>
    <s v="Memphis"/>
    <s v="Tennessee"/>
    <n v="38109"/>
    <x v="2"/>
    <s v="OFF-ST-10000798"/>
    <x v="0"/>
    <x v="3"/>
    <s v="2300 Heavy-Duty Transfer File Systems by Perma"/>
    <n v="99.920000000000016"/>
    <n v="5"/>
    <n v="0.2"/>
    <n v="-1.249000000000013"/>
    <x v="0"/>
    <x v="3"/>
    <n v="-0.2498000000000026"/>
    <s v="Loss"/>
    <s v="Low"/>
  </r>
  <r>
    <n v="421"/>
    <s v="US-2023-118304"/>
    <x v="89"/>
    <d v="2023-05-04T00:00:00"/>
    <s v="Standard Class"/>
    <s v="KH-16360"/>
    <s v="Katherine Hughes"/>
    <x v="0"/>
    <s v="United States"/>
    <s v="Dover"/>
    <s v="Delaware"/>
    <n v="19901"/>
    <x v="1"/>
    <s v="TEC-PH-10000376"/>
    <x v="2"/>
    <x v="7"/>
    <s v="Square Credit Card Reader"/>
    <n v="19.98"/>
    <n v="2"/>
    <n v="0"/>
    <n v="5.1948000000000008"/>
    <x v="0"/>
    <x v="3"/>
    <n v="2.5974000000000004"/>
    <s v="Profit"/>
    <s v="No Discount"/>
  </r>
  <r>
    <n v="422"/>
    <s v="US-2023-160094"/>
    <x v="90"/>
    <d v="2023-05-02T00:00:00"/>
    <s v="First Class"/>
    <s v="JM-16195"/>
    <s v="Justin MacKendrick"/>
    <x v="0"/>
    <s v="United States"/>
    <s v="Louisville"/>
    <s v="Kentucky"/>
    <n v="40214"/>
    <x v="2"/>
    <s v="OFF-AR-10004010"/>
    <x v="0"/>
    <x v="4"/>
    <s v="Hunt Boston Vacuum Mount KS Pencil Sharpener"/>
    <n v="174.95000000000002"/>
    <n v="5"/>
    <n v="0"/>
    <n v="45.487000000000002"/>
    <x v="0"/>
    <x v="3"/>
    <n v="9.0974000000000004"/>
    <s v="Profit"/>
    <s v="No Discount"/>
  </r>
  <r>
    <n v="423"/>
    <s v="US-2023-160094"/>
    <x v="90"/>
    <d v="2023-05-02T00:00:00"/>
    <s v="First Class"/>
    <s v="JM-16195"/>
    <s v="Justin MacKendrick"/>
    <x v="0"/>
    <s v="United States"/>
    <s v="Louisville"/>
    <s v="Kentucky"/>
    <n v="40214"/>
    <x v="2"/>
    <s v="OFF-ST-10000585"/>
    <x v="0"/>
    <x v="3"/>
    <s v="Economy Rollaway Files"/>
    <n v="826"/>
    <n v="5"/>
    <n v="0"/>
    <n v="214.76"/>
    <x v="0"/>
    <x v="3"/>
    <n v="42.951999999999998"/>
    <s v="Profit"/>
    <s v="No Discount"/>
  </r>
  <r>
    <n v="424"/>
    <s v="US-2023-156006"/>
    <x v="90"/>
    <d v="2023-05-02T00:00:00"/>
    <s v="Second Class"/>
    <s v="TM-21010"/>
    <s v="Tamara Manning"/>
    <x v="0"/>
    <s v="United States"/>
    <s v="Jackson"/>
    <s v="Mississippi"/>
    <n v="39212"/>
    <x v="2"/>
    <s v="TEC-AC-10002550"/>
    <x v="2"/>
    <x v="9"/>
    <s v="Maxell 4.7GB DVD-RW 3/Pack"/>
    <n v="47.79"/>
    <n v="3"/>
    <n v="0"/>
    <n v="16.2486"/>
    <x v="0"/>
    <x v="3"/>
    <n v="5.4161999999999999"/>
    <s v="Profit"/>
    <s v="No Discount"/>
  </r>
  <r>
    <n v="425"/>
    <s v="US-2023-115056"/>
    <x v="91"/>
    <d v="2023-05-02T00:00:00"/>
    <s v="Same Day"/>
    <s v="AR-10510"/>
    <s v="Andrew Roberts"/>
    <x v="0"/>
    <s v="United States"/>
    <s v="Columbus"/>
    <s v="Ohio"/>
    <n v="43229"/>
    <x v="1"/>
    <s v="OFF-AP-10003971"/>
    <x v="0"/>
    <x v="12"/>
    <s v="Belkin 6 Outlet Metallic Surge Strip"/>
    <n v="26.136000000000003"/>
    <n v="3"/>
    <n v="0.2"/>
    <n v="1.9602000000000004"/>
    <x v="0"/>
    <x v="4"/>
    <n v="0.65340000000000009"/>
    <s v="Profit"/>
    <s v="Low"/>
  </r>
  <r>
    <n v="426"/>
    <s v="US-2023-124618"/>
    <x v="91"/>
    <d v="2023-05-04T00:00:00"/>
    <s v="Second Class"/>
    <s v="CS-11860"/>
    <s v="Cari Schnelling"/>
    <x v="0"/>
    <s v="United States"/>
    <s v="Lakeland"/>
    <s v="Florida"/>
    <n v="33801"/>
    <x v="2"/>
    <s v="TEC-CO-10004202"/>
    <x v="2"/>
    <x v="16"/>
    <s v="Brother DCP1000 Digital 3 in 1 Multifunction Machine"/>
    <n v="479.98400000000004"/>
    <n v="2"/>
    <n v="0.2"/>
    <n v="89.996999999999986"/>
    <x v="0"/>
    <x v="4"/>
    <n v="44.998499999999993"/>
    <s v="Profit"/>
    <s v="Low"/>
  </r>
  <r>
    <n v="427"/>
    <s v="US-2023-135755"/>
    <x v="92"/>
    <d v="2023-05-10T00:00:00"/>
    <s v="Standard Class"/>
    <s v="NC-18415"/>
    <s v="Nathan Cano"/>
    <x v="0"/>
    <s v="United States"/>
    <s v="Yonkers"/>
    <s v="New York"/>
    <n v="10701"/>
    <x v="1"/>
    <s v="OFF-BI-10003981"/>
    <x v="0"/>
    <x v="1"/>
    <s v="Avery Durable Plastic 1&quot; Binders"/>
    <n v="10.896000000000001"/>
    <n v="3"/>
    <n v="0.2"/>
    <n v="3.9497999999999998"/>
    <x v="0"/>
    <x v="4"/>
    <n v="1.3166"/>
    <s v="Profit"/>
    <s v="Low"/>
  </r>
  <r>
    <n v="428"/>
    <s v="US-2023-135755"/>
    <x v="92"/>
    <d v="2023-05-10T00:00:00"/>
    <s v="Standard Class"/>
    <s v="NC-18415"/>
    <s v="Nathan Cano"/>
    <x v="0"/>
    <s v="United States"/>
    <s v="Yonkers"/>
    <s v="New York"/>
    <n v="10701"/>
    <x v="1"/>
    <s v="OFF-BI-10004828"/>
    <x v="0"/>
    <x v="1"/>
    <s v="GBC Poly Designer Binding Covers"/>
    <n v="40.176000000000002"/>
    <n v="3"/>
    <n v="0.2"/>
    <n v="14.563799999999997"/>
    <x v="0"/>
    <x v="4"/>
    <n v="4.8545999999999987"/>
    <s v="Profit"/>
    <s v="Low"/>
  </r>
  <r>
    <n v="429"/>
    <s v="US-2023-130274"/>
    <x v="92"/>
    <d v="2023-05-05T00:00:00"/>
    <s v="First Class"/>
    <s v="JS-15940"/>
    <s v="Joni Sundaresam"/>
    <x v="1"/>
    <s v="United States"/>
    <s v="Appleton"/>
    <s v="Wisconsin"/>
    <n v="54915"/>
    <x v="0"/>
    <s v="OFF-LA-10002195"/>
    <x v="0"/>
    <x v="2"/>
    <s v="Avery 481"/>
    <n v="21.560000000000002"/>
    <n v="7"/>
    <n v="0"/>
    <n v="10.348799999999999"/>
    <x v="0"/>
    <x v="4"/>
    <n v="1.4783999999999999"/>
    <s v="Profit"/>
    <s v="No Discount"/>
  </r>
  <r>
    <n v="430"/>
    <s v="US-2023-155271"/>
    <x v="93"/>
    <d v="2023-05-04T00:00:00"/>
    <s v="Same Day"/>
    <s v="AA-10480"/>
    <s v="Andrew Allen"/>
    <x v="0"/>
    <s v="United States"/>
    <s v="Middletown"/>
    <s v="Connecticut"/>
    <n v="6457"/>
    <x v="1"/>
    <s v="FUR-FU-10001473"/>
    <x v="1"/>
    <x v="8"/>
    <s v="DAX Wood Document Frame"/>
    <n v="27.46"/>
    <n v="2"/>
    <n v="0"/>
    <n v="9.8856000000000002"/>
    <x v="0"/>
    <x v="4"/>
    <n v="4.9428000000000001"/>
    <s v="Profit"/>
    <s v="No Discount"/>
  </r>
  <r>
    <n v="431"/>
    <s v="US-2023-148194"/>
    <x v="93"/>
    <d v="2023-05-07T00:00:00"/>
    <s v="First Class"/>
    <s v="BS-11365"/>
    <s v="Bill Shonely"/>
    <x v="2"/>
    <s v="United States"/>
    <s v="Seattle"/>
    <s v="Washington"/>
    <n v="98105"/>
    <x v="3"/>
    <s v="FUR-FU-10001852"/>
    <x v="1"/>
    <x v="8"/>
    <s v="Eldon Regeneration Recycled Desk Accessories, Smoke"/>
    <n v="12.18"/>
    <n v="7"/>
    <n v="0"/>
    <n v="3.8975999999999997"/>
    <x v="0"/>
    <x v="4"/>
    <n v="0.55679999999999996"/>
    <s v="Profit"/>
    <s v="No Discount"/>
  </r>
  <r>
    <n v="432"/>
    <s v="US-2023-148194"/>
    <x v="93"/>
    <d v="2023-05-07T00:00:00"/>
    <s v="First Class"/>
    <s v="BS-11365"/>
    <s v="Bill Shonely"/>
    <x v="2"/>
    <s v="United States"/>
    <s v="Seattle"/>
    <s v="Washington"/>
    <n v="98105"/>
    <x v="3"/>
    <s v="OFF-AP-10000696"/>
    <x v="0"/>
    <x v="12"/>
    <s v="Holmes Odor Grabber"/>
    <n v="57.68"/>
    <n v="4"/>
    <n v="0"/>
    <n v="19.034399999999998"/>
    <x v="0"/>
    <x v="4"/>
    <n v="4.7585999999999995"/>
    <s v="Profit"/>
    <s v="No Discount"/>
  </r>
  <r>
    <n v="433"/>
    <s v="US-2023-111899"/>
    <x v="93"/>
    <d v="2023-05-05T00:00:00"/>
    <s v="First Class"/>
    <s v="NC-18340"/>
    <s v="Nat Carroll"/>
    <x v="0"/>
    <s v="United States"/>
    <s v="Houston"/>
    <s v="Texas"/>
    <n v="77036"/>
    <x v="0"/>
    <s v="OFF-AR-10001725"/>
    <x v="0"/>
    <x v="4"/>
    <s v="Boston Home &amp; Office Model 2000 Electric Pencil Sharpeners"/>
    <n v="37.839999999999996"/>
    <n v="2"/>
    <n v="0.2"/>
    <n v="2.8380000000000027"/>
    <x v="0"/>
    <x v="4"/>
    <n v="1.4190000000000014"/>
    <s v="Profit"/>
    <s v="Low"/>
  </r>
  <r>
    <n v="434"/>
    <s v="US-2023-117709"/>
    <x v="93"/>
    <d v="2023-05-08T00:00:00"/>
    <s v="Standard Class"/>
    <s v="PM-18940"/>
    <s v="Paul MacIntyre"/>
    <x v="0"/>
    <s v="United States"/>
    <s v="Jackson"/>
    <s v="Michigan"/>
    <n v="49201"/>
    <x v="0"/>
    <s v="OFF-BI-10001294"/>
    <x v="0"/>
    <x v="1"/>
    <s v="Fellowes Binding Cases"/>
    <n v="46.8"/>
    <n v="4"/>
    <n v="0"/>
    <n v="21.059999999999995"/>
    <x v="0"/>
    <x v="4"/>
    <n v="5.2649999999999988"/>
    <s v="Profit"/>
    <s v="No Discount"/>
  </r>
  <r>
    <n v="435"/>
    <s v="US-2023-111899"/>
    <x v="93"/>
    <d v="2023-05-05T00:00:00"/>
    <s v="First Class"/>
    <s v="NC-18340"/>
    <s v="Nat Carroll"/>
    <x v="0"/>
    <s v="United States"/>
    <s v="Houston"/>
    <s v="Texas"/>
    <n v="77036"/>
    <x v="0"/>
    <s v="OFF-FA-10000840"/>
    <x v="0"/>
    <x v="6"/>
    <s v="OIC Thumb-Tacks"/>
    <n v="5.4719999999999995"/>
    <n v="6"/>
    <n v="0.2"/>
    <n v="1.8467999999999996"/>
    <x v="0"/>
    <x v="4"/>
    <n v="0.30779999999999991"/>
    <s v="Profit"/>
    <s v="Low"/>
  </r>
  <r>
    <n v="436"/>
    <s v="US-2023-110219"/>
    <x v="94"/>
    <d v="2023-05-08T00:00:00"/>
    <s v="First Class"/>
    <s v="EB-13870"/>
    <s v="Emily Burns"/>
    <x v="0"/>
    <s v="United States"/>
    <s v="San Antonio"/>
    <s v="Texas"/>
    <n v="78207"/>
    <x v="0"/>
    <s v="FUR-CH-10001146"/>
    <x v="1"/>
    <x v="5"/>
    <s v="Global Value Mid-Back Manager's Chair, Gray"/>
    <n v="127.869"/>
    <n v="3"/>
    <n v="0.3"/>
    <n v="-9.1335000000000122"/>
    <x v="0"/>
    <x v="4"/>
    <n v="-3.0445000000000042"/>
    <s v="Loss"/>
    <s v="Medium"/>
  </r>
  <r>
    <n v="437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AR-10003651"/>
    <x v="0"/>
    <x v="4"/>
    <s v="Newell 350"/>
    <n v="6.56"/>
    <n v="2"/>
    <n v="0"/>
    <n v="1.9023999999999992"/>
    <x v="0"/>
    <x v="4"/>
    <n v="0.9511999999999996"/>
    <s v="Profit"/>
    <s v="No Discount"/>
  </r>
  <r>
    <n v="438"/>
    <s v="US-2023-111934"/>
    <x v="94"/>
    <d v="2023-05-07T00:00:00"/>
    <s v="First Class"/>
    <s v="GD-14590"/>
    <s v="Giulietta Dortch"/>
    <x v="2"/>
    <s v="United States"/>
    <s v="Arlington"/>
    <s v="Virginia"/>
    <n v="22204"/>
    <x v="2"/>
    <s v="OFF-BI-10004364"/>
    <x v="0"/>
    <x v="1"/>
    <s v="Storex Dura Pro Binders"/>
    <n v="11.88"/>
    <n v="2"/>
    <n v="0"/>
    <n v="5.3460000000000001"/>
    <x v="0"/>
    <x v="4"/>
    <n v="2.673"/>
    <s v="Profit"/>
    <s v="No Discount"/>
  </r>
  <r>
    <n v="439"/>
    <s v="US-2023-111934"/>
    <x v="94"/>
    <d v="2023-05-07T00:00:00"/>
    <s v="First Class"/>
    <s v="GD-14590"/>
    <s v="Giulietta Dortch"/>
    <x v="2"/>
    <s v="United States"/>
    <s v="Arlington"/>
    <s v="Virginia"/>
    <n v="22204"/>
    <x v="2"/>
    <s v="OFF-PA-10000474"/>
    <x v="0"/>
    <x v="0"/>
    <s v="Easy-staple paper"/>
    <n v="35.44"/>
    <n v="1"/>
    <n v="0"/>
    <n v="16.656799999999997"/>
    <x v="0"/>
    <x v="4"/>
    <n v="16.656799999999997"/>
    <s v="Profit"/>
    <s v="No Discount"/>
  </r>
  <r>
    <n v="440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PA-10001363"/>
    <x v="0"/>
    <x v="0"/>
    <s v="Xerox 1933"/>
    <n v="24.56"/>
    <n v="2"/>
    <n v="0"/>
    <n v="11.543199999999999"/>
    <x v="0"/>
    <x v="4"/>
    <n v="5.7715999999999994"/>
    <s v="Profit"/>
    <s v="No Discount"/>
  </r>
  <r>
    <n v="441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PA-10003016"/>
    <x v="0"/>
    <x v="0"/>
    <s v="Adams &quot;While You Were Out&quot; Message Pads"/>
    <n v="9.42"/>
    <n v="3"/>
    <n v="0"/>
    <n v="4.238999999999999"/>
    <x v="0"/>
    <x v="4"/>
    <n v="1.4129999999999996"/>
    <s v="Profit"/>
    <s v="No Discount"/>
  </r>
  <r>
    <n v="442"/>
    <s v="US-2023-160738"/>
    <x v="94"/>
    <d v="2023-05-10T00:00:00"/>
    <s v="Standard Class"/>
    <s v="KH-16330"/>
    <s v="Katharine Harms"/>
    <x v="2"/>
    <s v="United States"/>
    <s v="Freeport"/>
    <s v="Illinois"/>
    <n v="61032"/>
    <x v="0"/>
    <s v="OFF-ST-10003442"/>
    <x v="0"/>
    <x v="3"/>
    <s v="Eldon Portable Mobile Manager"/>
    <n v="45.248000000000005"/>
    <n v="2"/>
    <n v="0.2"/>
    <n v="3.9591999999999992"/>
    <x v="0"/>
    <x v="4"/>
    <n v="1.9795999999999996"/>
    <s v="Profit"/>
    <s v="Low"/>
  </r>
  <r>
    <n v="443"/>
    <s v="US-2023-154879"/>
    <x v="95"/>
    <d v="2023-05-11T00:00:00"/>
    <s v="Standard Class"/>
    <s v="SN-20710"/>
    <s v="Steve Nguyen"/>
    <x v="1"/>
    <s v="United States"/>
    <s v="Los Angeles"/>
    <s v="California"/>
    <n v="90004"/>
    <x v="3"/>
    <s v="OFF-AR-10001897"/>
    <x v="0"/>
    <x v="4"/>
    <s v="Model L Table or Wall-Mount Pencil Sharpener"/>
    <n v="107.94"/>
    <n v="6"/>
    <n v="0"/>
    <n v="30.223200000000002"/>
    <x v="0"/>
    <x v="4"/>
    <n v="5.0372000000000003"/>
    <s v="Profit"/>
    <s v="No Discount"/>
  </r>
  <r>
    <n v="444"/>
    <s v="US-2023-121664"/>
    <x v="95"/>
    <d v="2023-05-10T00:00:00"/>
    <s v="Standard Class"/>
    <s v="HP-14815"/>
    <s v="Harold Pawlan"/>
    <x v="1"/>
    <s v="United States"/>
    <s v="Los Angeles"/>
    <s v="California"/>
    <n v="90049"/>
    <x v="3"/>
    <s v="OFF-BI-10003684"/>
    <x v="0"/>
    <x v="1"/>
    <s v="Wilson Jones Legal Size Ring Binders"/>
    <n v="140.73599999999999"/>
    <n v="8"/>
    <n v="0.2"/>
    <n v="52.775999999999996"/>
    <x v="0"/>
    <x v="4"/>
    <n v="6.5969999999999995"/>
    <s v="Profit"/>
    <s v="Low"/>
  </r>
  <r>
    <n v="445"/>
    <s v="US-2023-154879"/>
    <x v="95"/>
    <d v="2023-05-11T00:00:00"/>
    <s v="Standard Class"/>
    <s v="SN-20710"/>
    <s v="Steve Nguyen"/>
    <x v="1"/>
    <s v="United States"/>
    <s v="Los Angeles"/>
    <s v="California"/>
    <n v="90004"/>
    <x v="3"/>
    <s v="OFF-LA-10004425"/>
    <x v="0"/>
    <x v="2"/>
    <s v="Staple-on labels"/>
    <n v="5.78"/>
    <n v="2"/>
    <n v="0"/>
    <n v="2.7166000000000001"/>
    <x v="0"/>
    <x v="4"/>
    <n v="1.3583000000000001"/>
    <s v="Profit"/>
    <s v="No Discount"/>
  </r>
  <r>
    <n v="446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FUR-CH-10004675"/>
    <x v="1"/>
    <x v="5"/>
    <s v="Lifetime Advantage Folding Chairs, 4/Carton"/>
    <n v="872.32"/>
    <n v="4"/>
    <n v="0"/>
    <n v="244.24959999999999"/>
    <x v="0"/>
    <x v="4"/>
    <n v="61.062399999999997"/>
    <s v="Profit"/>
    <s v="No Discount"/>
  </r>
  <r>
    <n v="447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FUR-TA-10003469"/>
    <x v="1"/>
    <x v="13"/>
    <s v="Balt Split Level Computer Training Table"/>
    <n v="194.25"/>
    <n v="2"/>
    <n v="0.3"/>
    <n v="-38.849999999999994"/>
    <x v="0"/>
    <x v="4"/>
    <n v="-19.424999999999997"/>
    <s v="Loss"/>
    <s v="Medium"/>
  </r>
  <r>
    <n v="448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OFF-AR-10002578"/>
    <x v="0"/>
    <x v="4"/>
    <s v="Newell 335"/>
    <n v="8.64"/>
    <n v="3"/>
    <n v="0"/>
    <n v="2.5055999999999998"/>
    <x v="0"/>
    <x v="4"/>
    <n v="0.83519999999999994"/>
    <s v="Profit"/>
    <s v="No Discount"/>
  </r>
  <r>
    <n v="449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  <n v="3"/>
    <n v="0"/>
    <n v="7.9085999999999999"/>
    <x v="0"/>
    <x v="4"/>
    <n v="2.6362000000000001"/>
    <s v="Profit"/>
    <s v="No Discount"/>
  </r>
  <r>
    <n v="450"/>
    <s v="CA-2023-166086"/>
    <x v="96"/>
    <d v="2023-05-12T00:00:00"/>
    <s v="Standard Class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872.32"/>
    <n v="4"/>
    <n v="0"/>
    <n v="244.24959999999999"/>
    <x v="0"/>
    <x v="4"/>
    <n v="61.062399999999997"/>
    <s v="Profit"/>
    <s v="No Discount"/>
  </r>
  <r>
    <n v="451"/>
    <s v="CA-2023-166086"/>
    <x v="96"/>
    <d v="2023-05-12T00:00:00"/>
    <s v="Standard Class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194.25"/>
    <n v="2"/>
    <n v="0.3"/>
    <n v="-38.849999999999994"/>
    <x v="0"/>
    <x v="4"/>
    <n v="-19.424999999999997"/>
    <s v="Loss"/>
    <s v="Medium"/>
  </r>
  <r>
    <n v="452"/>
    <s v="CA-2023-166086"/>
    <x v="96"/>
    <d v="2023-05-12T00:00:00"/>
    <s v="Standard Class"/>
    <s v="CT-11995"/>
    <s v="Carol Triggs"/>
    <x v="0"/>
    <s v="Canada"/>
    <s v="Toronto"/>
    <s v="Ontario"/>
    <s v="M3C"/>
    <x v="1"/>
    <s v="OFF-AR-10002578"/>
    <x v="0"/>
    <x v="4"/>
    <s v="Newell 335"/>
    <n v="8.64"/>
    <n v="3"/>
    <n v="0"/>
    <n v="2.5055999999999998"/>
    <x v="0"/>
    <x v="4"/>
    <n v="0.83519999999999994"/>
    <s v="Profit"/>
    <s v="No Discount"/>
  </r>
  <r>
    <n v="453"/>
    <s v="CA-2023-166086"/>
    <x v="96"/>
    <d v="2023-05-12T00:00:00"/>
    <s v="Standard Class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16.14"/>
    <n v="3"/>
    <n v="0"/>
    <n v="7.9085999999999999"/>
    <x v="0"/>
    <x v="4"/>
    <n v="2.6362000000000001"/>
    <s v="Profit"/>
    <s v="No Discount"/>
  </r>
  <r>
    <n v="454"/>
    <s v="US-2023-116666"/>
    <x v="97"/>
    <d v="2023-05-10T00:00:00"/>
    <s v="First Class"/>
    <s v="KT-16480"/>
    <s v="Kean Thornton"/>
    <x v="0"/>
    <s v="United States"/>
    <s v="Philadelphia"/>
    <s v="Pennsylvania"/>
    <n v="19134"/>
    <x v="1"/>
    <s v="TEC-CO-10001449"/>
    <x v="2"/>
    <x v="16"/>
    <s v="Hewlett Packard LaserJet 3310 Copier"/>
    <n v="1799.9699999999998"/>
    <n v="5"/>
    <n v="0.4"/>
    <n v="239.99600000000009"/>
    <x v="0"/>
    <x v="4"/>
    <n v="47.999200000000016"/>
    <s v="Profit"/>
    <s v="Medium"/>
  </r>
  <r>
    <n v="455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LA-10001641"/>
    <x v="0"/>
    <x v="2"/>
    <s v="Avery 518"/>
    <n v="9.4499999999999993"/>
    <n v="3"/>
    <n v="0"/>
    <n v="4.5359999999999996"/>
    <x v="0"/>
    <x v="4"/>
    <n v="1.5119999999999998"/>
    <s v="Profit"/>
    <s v="No Discount"/>
  </r>
  <r>
    <n v="456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LA-10003121"/>
    <x v="0"/>
    <x v="2"/>
    <s v="Avery 506"/>
    <n v="20.65"/>
    <n v="5"/>
    <n v="0"/>
    <n v="9.4989999999999988"/>
    <x v="0"/>
    <x v="4"/>
    <n v="1.8997999999999997"/>
    <s v="Profit"/>
    <s v="No Discount"/>
  </r>
  <r>
    <n v="457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PA-10002689"/>
    <x v="0"/>
    <x v="0"/>
    <s v="Weyerhaeuser First Choice Laser/Copy Paper (20Lb. and 88 Bright)"/>
    <n v="45.36"/>
    <n v="7"/>
    <n v="0"/>
    <n v="21.772800000000004"/>
    <x v="0"/>
    <x v="4"/>
    <n v="3.1104000000000007"/>
    <s v="Profit"/>
    <s v="No Discount"/>
  </r>
  <r>
    <n v="458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ST-10000107"/>
    <x v="0"/>
    <x v="3"/>
    <s v="Fellowes Super Stor/Drawer"/>
    <n v="83.25"/>
    <n v="3"/>
    <n v="0"/>
    <n v="14.984999999999992"/>
    <x v="0"/>
    <x v="4"/>
    <n v="4.9949999999999974"/>
    <s v="Profit"/>
    <s v="No Discount"/>
  </r>
  <r>
    <n v="459"/>
    <s v="US-2023-102071"/>
    <x v="98"/>
    <d v="2023-05-15T00:00:00"/>
    <s v="Standard Class"/>
    <s v="PG-18820"/>
    <s v="Patrick Gardner"/>
    <x v="0"/>
    <s v="United States"/>
    <s v="San Francisco"/>
    <s v="California"/>
    <n v="94110"/>
    <x v="3"/>
    <s v="TEC-AC-10000109"/>
    <x v="2"/>
    <x v="9"/>
    <s v="Sony Micro Vault Click 16 GB USB 2.0 Flash Drive"/>
    <n v="167.97"/>
    <n v="3"/>
    <n v="0"/>
    <n v="40.31280000000001"/>
    <x v="0"/>
    <x v="4"/>
    <n v="13.437600000000003"/>
    <s v="Profit"/>
    <s v="No Discount"/>
  </r>
  <r>
    <n v="460"/>
    <s v="US-2023-102071"/>
    <x v="98"/>
    <d v="2023-05-15T00:00:00"/>
    <s v="Standard Class"/>
    <s v="PG-18820"/>
    <s v="Patrick Gardner"/>
    <x v="0"/>
    <s v="United States"/>
    <s v="San Francisco"/>
    <s v="California"/>
    <n v="94110"/>
    <x v="3"/>
    <s v="TEC-AC-10003441"/>
    <x v="2"/>
    <x v="9"/>
    <s v="Kingston Digital DataTraveler 32GB USB 2.0"/>
    <n v="67.8"/>
    <n v="4"/>
    <n v="0"/>
    <n v="4.0679999999999978"/>
    <x v="0"/>
    <x v="4"/>
    <n v="1.0169999999999995"/>
    <s v="Profit"/>
    <s v="No Discount"/>
  </r>
  <r>
    <n v="461"/>
    <s v="US-2023-114181"/>
    <x v="99"/>
    <d v="2023-05-14T00:00:00"/>
    <s v="Second Class"/>
    <s v="AF-10885"/>
    <s v="Art Foster"/>
    <x v="0"/>
    <s v="United States"/>
    <s v="Philadelphia"/>
    <s v="Pennsylvania"/>
    <n v="19134"/>
    <x v="1"/>
    <s v="FUR-BO-10004467"/>
    <x v="1"/>
    <x v="10"/>
    <s v="Bestar Classic Bookcase"/>
    <n v="349.96499999999997"/>
    <n v="7"/>
    <n v="0.5"/>
    <n v="-216.97830000000002"/>
    <x v="0"/>
    <x v="4"/>
    <n v="-30.996900000000004"/>
    <s v="Loss"/>
    <s v="High"/>
  </r>
  <r>
    <n v="462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FUR-CH-10002320"/>
    <x v="1"/>
    <x v="5"/>
    <s v="Hon Pagoda Stacking Chairs"/>
    <n v="256.78400000000005"/>
    <n v="1"/>
    <n v="0.2"/>
    <n v="32.097999999999971"/>
    <x v="0"/>
    <x v="4"/>
    <n v="32.097999999999971"/>
    <s v="Profit"/>
    <s v="Low"/>
  </r>
  <r>
    <n v="463"/>
    <s v="US-2023-114181"/>
    <x v="99"/>
    <d v="2023-05-14T00:00:00"/>
    <s v="Second Class"/>
    <s v="AF-10885"/>
    <s v="Art Foster"/>
    <x v="0"/>
    <s v="United States"/>
    <s v="Philadelphia"/>
    <s v="Pennsylvania"/>
    <n v="19134"/>
    <x v="1"/>
    <s v="OFF-AR-10000716"/>
    <x v="0"/>
    <x v="4"/>
    <s v="DIXON Ticonderoga Erasable Checking Pencils"/>
    <n v="22.32"/>
    <n v="5"/>
    <n v="0.2"/>
    <n v="5.3010000000000002"/>
    <x v="0"/>
    <x v="4"/>
    <n v="1.0602"/>
    <s v="Profit"/>
    <s v="Low"/>
  </r>
  <r>
    <n v="464"/>
    <s v="US-2023-159709"/>
    <x v="99"/>
    <d v="2023-05-15T00:00:00"/>
    <s v="Standard Class"/>
    <s v="AI-10855"/>
    <s v="Arianne Irving"/>
    <x v="0"/>
    <s v="United States"/>
    <s v="Kent"/>
    <s v="Washington"/>
    <n v="98031"/>
    <x v="3"/>
    <s v="OFF-EN-10001434"/>
    <x v="0"/>
    <x v="11"/>
    <s v="Strathmore #10 Envelopes, Ultimate White"/>
    <n v="158.13"/>
    <n v="3"/>
    <n v="0"/>
    <n v="77.483699999999999"/>
    <x v="0"/>
    <x v="4"/>
    <n v="25.8279"/>
    <s v="Profit"/>
    <s v="No Discount"/>
  </r>
  <r>
    <n v="465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OFF-PA-10004353"/>
    <x v="0"/>
    <x v="0"/>
    <s v="Southworth 25% Cotton Premium Laser Paper and Envelopes"/>
    <n v="39.96"/>
    <n v="2"/>
    <n v="0"/>
    <n v="19.180800000000001"/>
    <x v="0"/>
    <x v="4"/>
    <n v="9.5904000000000007"/>
    <s v="Profit"/>
    <s v="No Discount"/>
  </r>
  <r>
    <n v="466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OFF-SU-10004737"/>
    <x v="0"/>
    <x v="14"/>
    <s v="Acme Design Stainless Steel Bent Scissors"/>
    <n v="41.04"/>
    <n v="6"/>
    <n v="0"/>
    <n v="11.0808"/>
    <x v="0"/>
    <x v="4"/>
    <n v="1.8468"/>
    <s v="Profit"/>
    <s v="No Discount"/>
  </r>
  <r>
    <n v="467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TEC-PH-10001817"/>
    <x v="2"/>
    <x v="7"/>
    <s v="Wilson Electronics DB Pro Signal Booster"/>
    <n v="1432.0000000000002"/>
    <n v="5"/>
    <n v="0.2"/>
    <n v="125.30000000000007"/>
    <x v="0"/>
    <x v="4"/>
    <n v="25.060000000000013"/>
    <s v="Profit"/>
    <s v="Low"/>
  </r>
  <r>
    <n v="468"/>
    <s v="US-2023-159709"/>
    <x v="99"/>
    <d v="2023-05-15T00:00:00"/>
    <s v="Standard Class"/>
    <s v="AI-10855"/>
    <s v="Arianne Irving"/>
    <x v="0"/>
    <s v="United States"/>
    <s v="Kent"/>
    <s v="Washington"/>
    <n v="98031"/>
    <x v="3"/>
    <s v="TEC-PH-10003988"/>
    <x v="2"/>
    <x v="7"/>
    <s v="LF Elite 3D Dazzle Designer Hard Case Cover, Lf Stylus Pen and Wiper For Apple Iphone 5c Mini Lite"/>
    <n v="43.6"/>
    <n v="5"/>
    <n v="0.2"/>
    <n v="4.3600000000000012"/>
    <x v="0"/>
    <x v="4"/>
    <n v="0.87200000000000022"/>
    <s v="Profit"/>
    <s v="Low"/>
  </r>
  <r>
    <n v="469"/>
    <s v="US-2023-152100"/>
    <x v="100"/>
    <d v="2023-05-16T00:00:00"/>
    <s v="Standard Class"/>
    <s v="VW-21775"/>
    <s v="Victoria Wilson"/>
    <x v="2"/>
    <s v="United States"/>
    <s v="Huntsville"/>
    <s v="Texas"/>
    <n v="77340"/>
    <x v="0"/>
    <s v="FUR-CH-10000015"/>
    <x v="1"/>
    <x v="5"/>
    <s v="Hon Multipurpose Stacking Arm Chairs"/>
    <n v="1212.9599999999998"/>
    <n v="8"/>
    <n v="0.3"/>
    <n v="-69.311999999999898"/>
    <x v="0"/>
    <x v="4"/>
    <n v="-8.6639999999999873"/>
    <s v="Loss"/>
    <s v="Medium"/>
  </r>
  <r>
    <n v="470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FUR-FU-10000723"/>
    <x v="1"/>
    <x v="8"/>
    <s v="Deflect-o EconoMat Studded, No Bevel Mat for Low Pile Carpeting"/>
    <n v="66.112000000000009"/>
    <n v="4"/>
    <n v="0.6"/>
    <n v="-84.292799999999986"/>
    <x v="0"/>
    <x v="4"/>
    <n v="-21.073199999999996"/>
    <s v="Loss"/>
    <s v="High"/>
  </r>
  <r>
    <n v="471"/>
    <s v="US-2023-127523"/>
    <x v="100"/>
    <d v="2023-05-18T00:00:00"/>
    <s v="Standard Class"/>
    <s v="BG-11695"/>
    <s v="Brooke Gillingham"/>
    <x v="2"/>
    <s v="United States"/>
    <s v="Watertown"/>
    <s v="New York"/>
    <n v="13601"/>
    <x v="1"/>
    <s v="OFF-AP-10004249"/>
    <x v="0"/>
    <x v="12"/>
    <s v="Staple holder"/>
    <n v="35.910000000000004"/>
    <n v="3"/>
    <n v="0"/>
    <n v="9.6956999999999987"/>
    <x v="0"/>
    <x v="4"/>
    <n v="3.2318999999999996"/>
    <s v="Profit"/>
    <s v="No Discount"/>
  </r>
  <r>
    <n v="472"/>
    <s v="US-2023-119172"/>
    <x v="100"/>
    <d v="2023-05-15T00:00:00"/>
    <s v="Standard Class"/>
    <s v="HD-14785"/>
    <s v="Harold Dahlen"/>
    <x v="1"/>
    <s v="United States"/>
    <s v="Chicago"/>
    <s v="Illinois"/>
    <n v="60610"/>
    <x v="0"/>
    <s v="OFF-BI-10002026"/>
    <x v="0"/>
    <x v="1"/>
    <s v="Avery Arch Ring Binders"/>
    <n v="104.57999999999998"/>
    <n v="9"/>
    <n v="0.8"/>
    <n v="-172.55700000000007"/>
    <x v="0"/>
    <x v="4"/>
    <n v="-19.173000000000009"/>
    <s v="Loss"/>
    <s v="High"/>
  </r>
  <r>
    <n v="473"/>
    <s v="US-2023-119172"/>
    <x v="100"/>
    <d v="2023-05-15T00:00:00"/>
    <s v="Standard Class"/>
    <s v="HD-14785"/>
    <s v="Harold Dahlen"/>
    <x v="1"/>
    <s v="United States"/>
    <s v="Chicago"/>
    <s v="Illinois"/>
    <n v="60610"/>
    <x v="0"/>
    <s v="OFF-PA-10003036"/>
    <x v="0"/>
    <x v="0"/>
    <s v="Black Print Carbonless 8 1/2&quot; x 8 1/4&quot; Rapid Memo Book"/>
    <n v="17.472000000000001"/>
    <n v="3"/>
    <n v="0.2"/>
    <n v="5.6783999999999981"/>
    <x v="0"/>
    <x v="4"/>
    <n v="1.8927999999999994"/>
    <s v="Profit"/>
    <s v="Low"/>
  </r>
  <r>
    <n v="474"/>
    <s v="US-2023-139017"/>
    <x v="100"/>
    <d v="2023-05-17T00:00:00"/>
    <s v="Standard Class"/>
    <s v="RM-19375"/>
    <s v="Raymond Messe"/>
    <x v="0"/>
    <s v="United States"/>
    <s v="Houston"/>
    <s v="Texas"/>
    <n v="77095"/>
    <x v="0"/>
    <s v="TEC-AC-10001013"/>
    <x v="2"/>
    <x v="9"/>
    <s v="Logitech ClearChat Comfort/USB Headset H390"/>
    <n v="46.864000000000004"/>
    <n v="2"/>
    <n v="0.2"/>
    <n v="7.615399999999994"/>
    <x v="0"/>
    <x v="4"/>
    <n v="3.807699999999997"/>
    <s v="Profit"/>
    <s v="Low"/>
  </r>
  <r>
    <n v="475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TEC-AC-10001465"/>
    <x v="2"/>
    <x v="9"/>
    <s v="SanDisk Cruzer 64 GB USB Flash Drive"/>
    <n v="58.112000000000002"/>
    <n v="2"/>
    <n v="0.2"/>
    <n v="7.263999999999994"/>
    <x v="0"/>
    <x v="4"/>
    <n v="3.631999999999997"/>
    <s v="Profit"/>
    <s v="Low"/>
  </r>
  <r>
    <n v="476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TEC-PH-10002597"/>
    <x v="2"/>
    <x v="7"/>
    <s v="Xblue XB-1670-86 X16 Small Office Telephone - Titanium"/>
    <n v="100.792"/>
    <n v="1"/>
    <n v="0.2"/>
    <n v="6.2995000000000019"/>
    <x v="0"/>
    <x v="4"/>
    <n v="6.2995000000000019"/>
    <s v="Profit"/>
    <s v="Low"/>
  </r>
  <r>
    <n v="477"/>
    <s v="US-2023-127159"/>
    <x v="101"/>
    <d v="2023-05-15T00:00:00"/>
    <s v="First Class"/>
    <s v="HL-15040"/>
    <s v="Hunter Lopez"/>
    <x v="0"/>
    <s v="United States"/>
    <s v="Milwaukee"/>
    <s v="Wisconsin"/>
    <n v="53209"/>
    <x v="0"/>
    <s v="FUR-FU-10000010"/>
    <x v="1"/>
    <x v="8"/>
    <s v="DAX Value U-Channel Document Frames, Easel Back"/>
    <n v="34.79"/>
    <n v="7"/>
    <n v="0"/>
    <n v="10.784899999999999"/>
    <x v="0"/>
    <x v="4"/>
    <n v="1.5406999999999997"/>
    <s v="Profit"/>
    <s v="No Discount"/>
  </r>
  <r>
    <n v="478"/>
    <s v="US-2023-155887"/>
    <x v="101"/>
    <d v="2023-05-17T00:00:00"/>
    <s v="Standard Class"/>
    <s v="KT-16480"/>
    <s v="Kean Thornton"/>
    <x v="0"/>
    <s v="United States"/>
    <s v="Franklin"/>
    <s v="Massachusetts"/>
    <n v="2038"/>
    <x v="1"/>
    <s v="FUR-TA-10002228"/>
    <x v="1"/>
    <x v="13"/>
    <s v="Bevis Traditional Conference Table Top, Plinth Base"/>
    <n v="700.05600000000004"/>
    <n v="3"/>
    <n v="0.3"/>
    <n v="-130.0104"/>
    <x v="0"/>
    <x v="4"/>
    <n v="-43.336800000000004"/>
    <s v="Loss"/>
    <s v="Medium"/>
  </r>
  <r>
    <n v="479"/>
    <s v="US-2023-113768"/>
    <x v="102"/>
    <d v="2023-05-19T00:00:00"/>
    <s v="Standard Class"/>
    <s v="AH-10030"/>
    <s v="Aaron Hawkins"/>
    <x v="2"/>
    <s v="United States"/>
    <s v="Los Angeles"/>
    <s v="California"/>
    <n v="90004"/>
    <x v="3"/>
    <s v="FUR-CH-10002439"/>
    <x v="1"/>
    <x v="5"/>
    <s v="Iceberg Nesting Folding Chair, 19w x 6d x 43h"/>
    <n v="279.45600000000002"/>
    <n v="6"/>
    <n v="0.2"/>
    <n v="20.959199999999996"/>
    <x v="0"/>
    <x v="4"/>
    <n v="3.4931999999999994"/>
    <s v="Profit"/>
    <s v="Low"/>
  </r>
  <r>
    <n v="480"/>
    <s v="US-2023-140165"/>
    <x v="102"/>
    <d v="2023-05-15T00:00:00"/>
    <s v="First Class"/>
    <s v="EH-14005"/>
    <s v="Erica Hernandez"/>
    <x v="1"/>
    <s v="United States"/>
    <s v="Hialeah"/>
    <s v="Florida"/>
    <n v="33012"/>
    <x v="2"/>
    <s v="OFF-BI-10004519"/>
    <x v="0"/>
    <x v="1"/>
    <s v="GBC DocuBind P100 Manual Binding Machine"/>
    <n v="398.35200000000003"/>
    <n v="8"/>
    <n v="0.7"/>
    <n v="-331.95999999999992"/>
    <x v="0"/>
    <x v="4"/>
    <n v="-41.49499999999999"/>
    <s v="Loss"/>
    <s v="High"/>
  </r>
  <r>
    <n v="481"/>
    <s v="US-2023-140165"/>
    <x v="102"/>
    <d v="2023-05-15T00:00:00"/>
    <s v="First Class"/>
    <s v="EH-14005"/>
    <s v="Erica Hernandez"/>
    <x v="1"/>
    <s v="United States"/>
    <s v="Hialeah"/>
    <s v="Florida"/>
    <n v="33012"/>
    <x v="2"/>
    <s v="OFF-FA-10002815"/>
    <x v="0"/>
    <x v="6"/>
    <s v="Staples"/>
    <n v="7.104000000000001"/>
    <n v="2"/>
    <n v="0.2"/>
    <n v="2.3976000000000002"/>
    <x v="0"/>
    <x v="4"/>
    <n v="1.1988000000000001"/>
    <s v="Profit"/>
    <s v="Low"/>
  </r>
  <r>
    <n v="482"/>
    <s v="US-2023-113768"/>
    <x v="102"/>
    <d v="2023-05-19T00:00:00"/>
    <s v="Standard Class"/>
    <s v="AH-10030"/>
    <s v="Aaron Hawkins"/>
    <x v="2"/>
    <s v="United States"/>
    <s v="Los Angeles"/>
    <s v="California"/>
    <n v="90004"/>
    <x v="3"/>
    <s v="OFF-PA-10003063"/>
    <x v="0"/>
    <x v="0"/>
    <s v="EcoTones Memo Sheets"/>
    <n v="8"/>
    <n v="2"/>
    <n v="0"/>
    <n v="3.84"/>
    <x v="0"/>
    <x v="4"/>
    <n v="1.92"/>
    <s v="Profit"/>
    <s v="No Discount"/>
  </r>
  <r>
    <n v="483"/>
    <s v="US-2023-167164"/>
    <x v="102"/>
    <d v="2023-05-15T00:00:00"/>
    <s v="Second Class"/>
    <s v="AG-10270"/>
    <s v="Alejandro Grove"/>
    <x v="0"/>
    <s v="United States"/>
    <s v="West Jordan"/>
    <s v="Utah"/>
    <n v="84084"/>
    <x v="3"/>
    <s v="OFF-ST-10000107"/>
    <x v="0"/>
    <x v="3"/>
    <s v="Fellowes Super Stor/Drawer"/>
    <n v="55.5"/>
    <n v="2"/>
    <n v="0"/>
    <n v="9.9899999999999949"/>
    <x v="0"/>
    <x v="4"/>
    <n v="4.9949999999999974"/>
    <s v="Profit"/>
    <s v="No Discount"/>
  </r>
  <r>
    <n v="484"/>
    <s v="US-2023-114433"/>
    <x v="102"/>
    <d v="2023-05-17T00:00:00"/>
    <s v="Standard Class"/>
    <s v="NP-18325"/>
    <s v="Naresj Patel"/>
    <x v="0"/>
    <s v="United States"/>
    <s v="Oakland"/>
    <s v="California"/>
    <n v="94601"/>
    <x v="3"/>
    <s v="TEC-AC-10002800"/>
    <x v="2"/>
    <x v="9"/>
    <s v="Plantronics Audio 478 Stereo USB Headset"/>
    <n v="149.97"/>
    <n v="3"/>
    <n v="0"/>
    <n v="52.489499999999992"/>
    <x v="0"/>
    <x v="4"/>
    <n v="17.496499999999997"/>
    <s v="Profit"/>
    <s v="No Discount"/>
  </r>
  <r>
    <n v="485"/>
    <s v="US-2023-106810"/>
    <x v="103"/>
    <d v="2023-05-20T00:00:00"/>
    <s v="Standard Class"/>
    <s v="AJ-10795"/>
    <s v="Anthony Johnson"/>
    <x v="2"/>
    <s v="United States"/>
    <s v="Saint Petersburg"/>
    <s v="Florida"/>
    <n v="33710"/>
    <x v="2"/>
    <s v="FUR-FU-10004306"/>
    <x v="1"/>
    <x v="8"/>
    <s v="Electrix Halogen Magnifier Lamp"/>
    <n v="310.88000000000005"/>
    <n v="2"/>
    <n v="0.2"/>
    <n v="23.315999999999988"/>
    <x v="0"/>
    <x v="4"/>
    <n v="11.657999999999994"/>
    <s v="Profit"/>
    <s v="Low"/>
  </r>
  <r>
    <n v="486"/>
    <s v="US-2023-125150"/>
    <x v="104"/>
    <d v="2023-05-23T00:00:00"/>
    <s v="Standard Class"/>
    <s v="PW-19030"/>
    <s v="Pauline Webber"/>
    <x v="2"/>
    <s v="United States"/>
    <s v="Los Angeles"/>
    <s v="California"/>
    <n v="90036"/>
    <x v="3"/>
    <s v="FUR-CH-10002439"/>
    <x v="1"/>
    <x v="5"/>
    <s v="Iceberg Nesting Folding Chair, 19w x 6d x 43h"/>
    <n v="232.88"/>
    <n v="5"/>
    <n v="0.2"/>
    <n v="17.466000000000008"/>
    <x v="0"/>
    <x v="4"/>
    <n v="3.4932000000000016"/>
    <s v="Profit"/>
    <s v="Low"/>
  </r>
  <r>
    <n v="487"/>
    <s v="US-2023-163146"/>
    <x v="104"/>
    <d v="2023-05-20T00:00:00"/>
    <s v="Standard Class"/>
    <s v="CC-12475"/>
    <s v="Cindy Chapman"/>
    <x v="0"/>
    <s v="United States"/>
    <s v="San Francisco"/>
    <s v="California"/>
    <n v="94122"/>
    <x v="3"/>
    <s v="TEC-AC-10002217"/>
    <x v="2"/>
    <x v="9"/>
    <s v="Imation Clip USB flash drive - 8 GB"/>
    <n v="56.400000000000006"/>
    <n v="3"/>
    <n v="0"/>
    <n v="3.3840000000000003"/>
    <x v="0"/>
    <x v="4"/>
    <n v="1.1280000000000001"/>
    <s v="Profit"/>
    <s v="No Discount"/>
  </r>
  <r>
    <n v="488"/>
    <s v="US-2023-148761"/>
    <x v="105"/>
    <d v="2023-05-21T00:00:00"/>
    <s v="Standard Class"/>
    <s v="PA-19060"/>
    <s v="Pete Armstrong"/>
    <x v="1"/>
    <s v="United States"/>
    <s v="Eau Claire"/>
    <s v="Wisconsin"/>
    <n v="54703"/>
    <x v="0"/>
    <s v="OFF-BI-10000666"/>
    <x v="0"/>
    <x v="1"/>
    <s v="Surelock Post Binders"/>
    <n v="91.679999999999993"/>
    <n v="3"/>
    <n v="0"/>
    <n v="45.839999999999996"/>
    <x v="0"/>
    <x v="4"/>
    <n v="15.28"/>
    <s v="Profit"/>
    <s v="No Discount"/>
  </r>
  <r>
    <n v="489"/>
    <s v="US-2023-164224"/>
    <x v="106"/>
    <d v="2023-05-20T00:00:00"/>
    <s v="Second Class"/>
    <s v="TT-21070"/>
    <s v="Ted Trevino"/>
    <x v="0"/>
    <s v="United States"/>
    <s v="Akron"/>
    <s v="Ohio"/>
    <n v="44312"/>
    <x v="1"/>
    <s v="FUR-FU-10000308"/>
    <x v="1"/>
    <x v="8"/>
    <s v="Deflect-o Glass Clear Studded Chair Mats"/>
    <n v="149.232"/>
    <n v="3"/>
    <n v="0.2"/>
    <n v="3.7308000000000021"/>
    <x v="0"/>
    <x v="4"/>
    <n v="1.2436000000000007"/>
    <s v="Profit"/>
    <s v="Low"/>
  </r>
  <r>
    <n v="490"/>
    <s v="US-2023-164224"/>
    <x v="106"/>
    <d v="2023-05-20T00:00:00"/>
    <s v="Second Class"/>
    <s v="TT-21070"/>
    <s v="Ted Trevino"/>
    <x v="0"/>
    <s v="United States"/>
    <s v="Akron"/>
    <s v="Ohio"/>
    <n v="44312"/>
    <x v="1"/>
    <s v="OFF-PA-10001526"/>
    <x v="0"/>
    <x v="0"/>
    <s v="Xerox 1949"/>
    <n v="15.936000000000002"/>
    <n v="4"/>
    <n v="0.2"/>
    <n v="5.7768000000000015"/>
    <x v="0"/>
    <x v="4"/>
    <n v="1.4442000000000004"/>
    <s v="Profit"/>
    <s v="Low"/>
  </r>
  <r>
    <n v="491"/>
    <s v="US-2023-133963"/>
    <x v="106"/>
    <d v="2023-05-22T00:00:00"/>
    <s v="Second Class"/>
    <s v="GA-14515"/>
    <s v="George Ashbrook"/>
    <x v="0"/>
    <s v="United States"/>
    <s v="Dallas"/>
    <s v="Texas"/>
    <n v="75220"/>
    <x v="0"/>
    <s v="OFF-PA-10001526"/>
    <x v="0"/>
    <x v="0"/>
    <s v="Xerox 1949"/>
    <n v="3.9840000000000004"/>
    <n v="1"/>
    <n v="0.2"/>
    <n v="1.4442000000000004"/>
    <x v="0"/>
    <x v="4"/>
    <n v="1.4442000000000004"/>
    <s v="Profit"/>
    <s v="Low"/>
  </r>
  <r>
    <n v="492"/>
    <s v="US-2023-103373"/>
    <x v="106"/>
    <d v="2023-05-24T00:00:00"/>
    <s v="Standard Class"/>
    <s v="BS-11755"/>
    <s v="Bruce Stewart"/>
    <x v="0"/>
    <s v="United States"/>
    <s v="Cleveland"/>
    <s v="Ohio"/>
    <n v="44105"/>
    <x v="1"/>
    <s v="TEC-PH-10002885"/>
    <x v="2"/>
    <x v="7"/>
    <s v="Apple iPhone 5"/>
    <n v="779.79600000000005"/>
    <n v="2"/>
    <n v="0.4"/>
    <n v="-168.95579999999995"/>
    <x v="0"/>
    <x v="4"/>
    <n v="-84.477899999999977"/>
    <s v="Loss"/>
    <s v="Medium"/>
  </r>
  <r>
    <n v="493"/>
    <s v="US-2023-107699"/>
    <x v="107"/>
    <d v="2023-05-23T00:00:00"/>
    <s v="Standard Class"/>
    <s v="JH-15820"/>
    <s v="John Huston"/>
    <x v="0"/>
    <s v="United States"/>
    <s v="Midland"/>
    <s v="Michigan"/>
    <n v="48640"/>
    <x v="0"/>
    <s v="OFF-BI-10001249"/>
    <x v="0"/>
    <x v="1"/>
    <s v="Avery Heavy-Duty EZD View Binder with Locking Rings"/>
    <n v="57.42"/>
    <n v="9"/>
    <n v="0"/>
    <n v="26.413199999999996"/>
    <x v="0"/>
    <x v="4"/>
    <n v="2.9347999999999996"/>
    <s v="Profit"/>
    <s v="No Discount"/>
  </r>
  <r>
    <n v="494"/>
    <s v="US-2023-130155"/>
    <x v="107"/>
    <d v="2023-05-22T00:00:00"/>
    <s v="First Class"/>
    <s v="TD-20995"/>
    <s v="Tamara Dahlen"/>
    <x v="0"/>
    <s v="United States"/>
    <s v="Virginia Beach"/>
    <s v="Virginia"/>
    <n v="23464"/>
    <x v="2"/>
    <s v="OFF-SU-10004737"/>
    <x v="0"/>
    <x v="14"/>
    <s v="Acme Design Stainless Steel Bent Scissors"/>
    <n v="34.200000000000003"/>
    <n v="5"/>
    <n v="0"/>
    <n v="9.234"/>
    <x v="0"/>
    <x v="4"/>
    <n v="1.8468"/>
    <s v="Profit"/>
    <s v="No Discount"/>
  </r>
  <r>
    <n v="495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FUR-FU-10000076"/>
    <x v="1"/>
    <x v="8"/>
    <s v="24-Hour Round Wall Clock"/>
    <n v="139.86000000000001"/>
    <n v="7"/>
    <n v="0"/>
    <n v="60.139800000000015"/>
    <x v="0"/>
    <x v="4"/>
    <n v="8.5914000000000019"/>
    <s v="Profit"/>
    <s v="No Discount"/>
  </r>
  <r>
    <n v="496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FUR-FU-10003489"/>
    <x v="1"/>
    <x v="8"/>
    <s v="Contemporary Borderless Frame"/>
    <n v="10.332000000000001"/>
    <n v="3"/>
    <n v="0.6"/>
    <n v="-5.9408999999999992"/>
    <x v="0"/>
    <x v="4"/>
    <n v="-1.9802999999999997"/>
    <s v="Loss"/>
    <s v="High"/>
  </r>
  <r>
    <n v="497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OFF-AP-10000124"/>
    <x v="0"/>
    <x v="12"/>
    <s v="Acco 6 Outlet Guardian Basic Surge Suppressor"/>
    <n v="33.28"/>
    <n v="4"/>
    <n v="0"/>
    <n v="9.3184000000000005"/>
    <x v="0"/>
    <x v="4"/>
    <n v="2.3296000000000001"/>
    <s v="Profit"/>
    <s v="No Discount"/>
  </r>
  <r>
    <n v="498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OFF-AR-10004511"/>
    <x v="0"/>
    <x v="4"/>
    <s v="Sanford Colorific Scented Colored Pencils, 12/Pack"/>
    <n v="38.520000000000003"/>
    <n v="9"/>
    <n v="0"/>
    <n v="11.9412"/>
    <x v="0"/>
    <x v="4"/>
    <n v="1.3268"/>
    <s v="Profit"/>
    <s v="No Discount"/>
  </r>
  <r>
    <n v="499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OFF-PA-10000289"/>
    <x v="0"/>
    <x v="0"/>
    <s v="Xerox 213"/>
    <n v="10.368000000000002"/>
    <n v="2"/>
    <n v="0.2"/>
    <n v="3.6288"/>
    <x v="0"/>
    <x v="4"/>
    <n v="1.8144"/>
    <s v="Profit"/>
    <s v="Low"/>
  </r>
  <r>
    <n v="500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OFF-ST-10000636"/>
    <x v="0"/>
    <x v="3"/>
    <s v="Rogers Profile Extra Capacity Storage Tub"/>
    <n v="66.959999999999994"/>
    <n v="5"/>
    <n v="0.2"/>
    <n v="-13.392000000000003"/>
    <x v="0"/>
    <x v="4"/>
    <n v="-2.6784000000000008"/>
    <s v="Loss"/>
    <s v="Low"/>
  </r>
  <r>
    <n v="501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TEC-AC-10004227"/>
    <x v="2"/>
    <x v="9"/>
    <s v="SanDisk Ultra 16 GB MicroSDHC Class 10 Memory Card"/>
    <n v="20.784000000000002"/>
    <n v="2"/>
    <n v="0.2"/>
    <n v="-3.6372000000000027"/>
    <x v="0"/>
    <x v="4"/>
    <n v="-1.8186000000000013"/>
    <s v="Loss"/>
    <s v="Low"/>
  </r>
  <r>
    <n v="502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FUR-CH-10000225"/>
    <x v="1"/>
    <x v="5"/>
    <s v="Global Geo Office Task Chair, Gray"/>
    <n v="518.27"/>
    <n v="8"/>
    <n v="0.2"/>
    <n v="-97.18"/>
    <x v="0"/>
    <x v="4"/>
    <n v="-12.147500000000001"/>
    <s v="Loss"/>
    <s v="Low"/>
  </r>
  <r>
    <n v="503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FUR-FU-10002191"/>
    <x v="1"/>
    <x v="8"/>
    <s v="G.E. Halogen Desk Lamp Bulbs"/>
    <n v="6.98"/>
    <n v="1"/>
    <n v="0"/>
    <n v="3.35"/>
    <x v="0"/>
    <x v="4"/>
    <n v="3.35"/>
    <s v="Profit"/>
    <s v="No Discount"/>
  </r>
  <r>
    <n v="504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TEC-MA-10003176"/>
    <x v="2"/>
    <x v="15"/>
    <s v="Okidata B400 Printer"/>
    <n v="343.2"/>
    <n v="1"/>
    <n v="0.2"/>
    <n v="38.61"/>
    <x v="0"/>
    <x v="4"/>
    <n v="38.61"/>
    <s v="Profit"/>
    <s v="Low"/>
  </r>
  <r>
    <n v="505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FUR-CH-10003396"/>
    <x v="1"/>
    <x v="5"/>
    <s v="Global Deluxe Steno Chair"/>
    <n v="107.77200000000001"/>
    <n v="2"/>
    <n v="0.3"/>
    <n v="-29.252400000000009"/>
    <x v="0"/>
    <x v="4"/>
    <n v="-14.626200000000004"/>
    <s v="Loss"/>
    <s v="Medium"/>
  </r>
  <r>
    <n v="506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AP-10001293"/>
    <x v="0"/>
    <x v="12"/>
    <s v="Belkin 8 Outlet Surge Protector"/>
    <n v="245.88"/>
    <n v="6"/>
    <n v="0"/>
    <n v="68.846399999999988"/>
    <x v="0"/>
    <x v="4"/>
    <n v="11.474399999999997"/>
    <s v="Profit"/>
    <s v="No Discount"/>
  </r>
  <r>
    <n v="507"/>
    <s v="US-2023-104780"/>
    <x v="109"/>
    <d v="2023-05-25T00:00:00"/>
    <s v="Standard Class"/>
    <s v="BT-11530"/>
    <s v="Bradley Talbott"/>
    <x v="1"/>
    <s v="United States"/>
    <s v="San Diego"/>
    <s v="California"/>
    <n v="92037"/>
    <x v="3"/>
    <s v="OFF-AR-10003514"/>
    <x v="0"/>
    <x v="4"/>
    <s v="4009 Highlighters by Sanford"/>
    <n v="31.84"/>
    <n v="8"/>
    <n v="0"/>
    <n v="10.507199999999997"/>
    <x v="0"/>
    <x v="4"/>
    <n v="1.3133999999999997"/>
    <s v="Profit"/>
    <s v="No Discount"/>
  </r>
  <r>
    <n v="508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BI-10000977"/>
    <x v="0"/>
    <x v="1"/>
    <s v="Ibico Plastic Spiral Binding Combs"/>
    <n v="18.239999999999995"/>
    <n v="3"/>
    <n v="0.8"/>
    <n v="-31.00800000000001"/>
    <x v="0"/>
    <x v="4"/>
    <n v="-10.336000000000004"/>
    <s v="Loss"/>
    <s v="High"/>
  </r>
  <r>
    <n v="509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BI-10001071"/>
    <x v="0"/>
    <x v="1"/>
    <s v="GBC ProClick Punch Binding System"/>
    <n v="447.85999999999996"/>
    <n v="7"/>
    <n v="0"/>
    <n v="219.45140000000001"/>
    <x v="0"/>
    <x v="4"/>
    <n v="31.350200000000001"/>
    <s v="Profit"/>
    <s v="No Discount"/>
  </r>
  <r>
    <n v="510"/>
    <s v="US-2023-117639"/>
    <x v="109"/>
    <d v="2023-05-25T00:00:00"/>
    <s v="Standard Class"/>
    <s v="MW-18235"/>
    <s v="Mitch Willingham"/>
    <x v="2"/>
    <s v="United States"/>
    <s v="Virginia Beach"/>
    <s v="Virginia"/>
    <n v="23464"/>
    <x v="2"/>
    <s v="OFF-BI-10003925"/>
    <x v="0"/>
    <x v="1"/>
    <s v="Fellowes PB300 Plastic Comb Binding Machine"/>
    <n v="2715.9300000000003"/>
    <n v="7"/>
    <n v="0"/>
    <n v="1276.4871000000001"/>
    <x v="0"/>
    <x v="4"/>
    <n v="182.3553"/>
    <s v="Profit"/>
    <s v="No Discount"/>
  </r>
  <r>
    <n v="511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EN-10003134"/>
    <x v="0"/>
    <x v="11"/>
    <s v="Staple envelope"/>
    <n v="56.063999999999993"/>
    <n v="6"/>
    <n v="0.2"/>
    <n v="21.024000000000001"/>
    <x v="0"/>
    <x v="4"/>
    <n v="3.504"/>
    <s v="Profit"/>
    <s v="Low"/>
  </r>
  <r>
    <n v="512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PA-10001560"/>
    <x v="0"/>
    <x v="0"/>
    <s v="Adams Telephone Message Books, 5 1/4” x 11”"/>
    <n v="4.8320000000000007"/>
    <n v="1"/>
    <n v="0.2"/>
    <n v="1.6307999999999998"/>
    <x v="0"/>
    <x v="4"/>
    <n v="1.6307999999999998"/>
    <s v="Profit"/>
    <s v="Low"/>
  </r>
  <r>
    <n v="513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PA-10003022"/>
    <x v="0"/>
    <x v="0"/>
    <s v="Xerox 1992"/>
    <n v="17.940000000000001"/>
    <n v="3"/>
    <n v="0"/>
    <n v="8.7906000000000013"/>
    <x v="0"/>
    <x v="4"/>
    <n v="2.9302000000000006"/>
    <s v="Profit"/>
    <s v="No Discount"/>
  </r>
  <r>
    <n v="514"/>
    <s v="US-2023-117639"/>
    <x v="109"/>
    <d v="2023-05-25T00:00:00"/>
    <s v="Standard Class"/>
    <s v="MW-18235"/>
    <s v="Mitch Willingham"/>
    <x v="2"/>
    <s v="United States"/>
    <s v="Virginia Beach"/>
    <s v="Virginia"/>
    <n v="23464"/>
    <x v="2"/>
    <s v="TEC-PH-10001530"/>
    <x v="2"/>
    <x v="7"/>
    <s v="Plantronics Voyager Pro Legend"/>
    <n v="617.97"/>
    <n v="3"/>
    <n v="0"/>
    <n v="173.0316"/>
    <x v="0"/>
    <x v="4"/>
    <n v="57.677199999999999"/>
    <s v="Profit"/>
    <s v="No Discount"/>
  </r>
  <r>
    <n v="515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AP-10001293"/>
    <x v="0"/>
    <x v="12"/>
    <s v="Belkin 8 Outlet Surge Protector"/>
    <n v="245.88"/>
    <n v="6"/>
    <n v="0"/>
    <n v="68.846399999999988"/>
    <x v="0"/>
    <x v="4"/>
    <n v="11.474399999999997"/>
    <s v="Profit"/>
    <s v="No Discount"/>
  </r>
  <r>
    <n v="516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BI-10001071"/>
    <x v="0"/>
    <x v="1"/>
    <s v="GBC ProClick Punch Binding System"/>
    <n v="447.85999999999996"/>
    <n v="7"/>
    <n v="0"/>
    <n v="219.45140000000001"/>
    <x v="0"/>
    <x v="4"/>
    <n v="31.350200000000001"/>
    <s v="Profit"/>
    <s v="No Discount"/>
  </r>
  <r>
    <n v="517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PA-10003022"/>
    <x v="0"/>
    <x v="0"/>
    <s v="Xerox 1992"/>
    <n v="17.940000000000001"/>
    <n v="3"/>
    <n v="0"/>
    <n v="8.7906000000000013"/>
    <x v="0"/>
    <x v="4"/>
    <n v="2.9302000000000006"/>
    <s v="Profit"/>
    <s v="No Discount"/>
  </r>
  <r>
    <n v="518"/>
    <s v="US-2023-143840"/>
    <x v="110"/>
    <d v="2023-05-29T00:00:00"/>
    <s v="Standard Class"/>
    <s v="EH-14185"/>
    <s v="Evan Henry"/>
    <x v="0"/>
    <s v="United States"/>
    <s v="Decatur"/>
    <s v="Alabama"/>
    <n v="35601"/>
    <x v="2"/>
    <s v="TEC-PH-10002660"/>
    <x v="2"/>
    <x v="7"/>
    <s v="Nortel Networks T7316 E Nt8 B27"/>
    <n v="135.97999999999999"/>
    <n v="2"/>
    <n v="0"/>
    <n v="33.995000000000005"/>
    <x v="0"/>
    <x v="4"/>
    <n v="16.997500000000002"/>
    <s v="Profit"/>
    <s v="No Discount"/>
  </r>
  <r>
    <n v="519"/>
    <s v="US-2023-143840"/>
    <x v="110"/>
    <d v="2023-05-29T00:00:00"/>
    <s v="Standard Class"/>
    <s v="EH-14185"/>
    <s v="Evan Henry"/>
    <x v="0"/>
    <s v="United States"/>
    <s v="Decatur"/>
    <s v="Alabama"/>
    <n v="35601"/>
    <x v="2"/>
    <s v="TEC-PH-10003171"/>
    <x v="2"/>
    <x v="7"/>
    <s v="Plantronics Encore H101 Dual Earpieces Headset"/>
    <n v="44.95"/>
    <n v="1"/>
    <n v="0"/>
    <n v="12.585999999999999"/>
    <x v="0"/>
    <x v="4"/>
    <n v="12.585999999999999"/>
    <s v="Profit"/>
    <s v="No Discount"/>
  </r>
  <r>
    <n v="520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AP-10002118"/>
    <x v="0"/>
    <x v="12"/>
    <s v="1.7 Cubic Foot Compact &quot;Cube&quot; Office Refrigerators"/>
    <n v="208.16"/>
    <n v="1"/>
    <n v="0"/>
    <n v="56.20320000000001"/>
    <x v="0"/>
    <x v="4"/>
    <n v="56.20320000000001"/>
    <s v="Profit"/>
    <s v="No Discount"/>
  </r>
  <r>
    <n v="521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OFF-AR-10001246"/>
    <x v="0"/>
    <x v="4"/>
    <s v="Newell 317"/>
    <n v="21.167999999999999"/>
    <n v="9"/>
    <n v="0.2"/>
    <n v="2.3813999999999984"/>
    <x v="0"/>
    <x v="4"/>
    <n v="0.26459999999999984"/>
    <s v="Profit"/>
    <s v="Low"/>
  </r>
  <r>
    <n v="522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BI-10000829"/>
    <x v="0"/>
    <x v="1"/>
    <s v="Avery Non-Stick Binders"/>
    <n v="17.96"/>
    <n v="5"/>
    <n v="0.2"/>
    <n v="5.8369999999999997"/>
    <x v="0"/>
    <x v="4"/>
    <n v="1.1674"/>
    <s v="Profit"/>
    <s v="Low"/>
  </r>
  <r>
    <n v="523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OFF-BI-10000848"/>
    <x v="0"/>
    <x v="1"/>
    <s v="Angle-D Ring Binders"/>
    <n v="3.2820000000000005"/>
    <n v="2"/>
    <n v="0.7"/>
    <n v="-2.6256000000000004"/>
    <x v="0"/>
    <x v="4"/>
    <n v="-1.3128000000000002"/>
    <s v="Loss"/>
    <s v="High"/>
  </r>
  <r>
    <n v="524"/>
    <s v="US-2023-138513"/>
    <x v="111"/>
    <d v="2023-05-27T00:00:00"/>
    <s v="Standard Class"/>
    <s v="EH-13990"/>
    <s v="Erica Hackney"/>
    <x v="0"/>
    <s v="United States"/>
    <s v="Bellevue"/>
    <s v="Washington"/>
    <n v="98006"/>
    <x v="3"/>
    <s v="OFF-PA-10003177"/>
    <x v="0"/>
    <x v="0"/>
    <s v="Xerox 1999"/>
    <n v="12.96"/>
    <n v="2"/>
    <n v="0"/>
    <n v="6.2208000000000006"/>
    <x v="0"/>
    <x v="4"/>
    <n v="3.1104000000000003"/>
    <s v="Profit"/>
    <s v="No Discount"/>
  </r>
  <r>
    <n v="525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SU-10003002"/>
    <x v="0"/>
    <x v="14"/>
    <s v="Letter Slitter"/>
    <n v="5.04"/>
    <n v="2"/>
    <n v="0"/>
    <n v="0.15120000000000022"/>
    <x v="0"/>
    <x v="4"/>
    <n v="7.5600000000000112E-2"/>
    <s v="Profit"/>
    <s v="No Discount"/>
  </r>
  <r>
    <n v="526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TEC-PH-10003092"/>
    <x v="2"/>
    <x v="7"/>
    <s v="Motorola L804"/>
    <n v="55.188000000000002"/>
    <n v="2"/>
    <n v="0.4"/>
    <n v="-10.117800000000003"/>
    <x v="0"/>
    <x v="4"/>
    <n v="-5.0589000000000013"/>
    <s v="Loss"/>
    <s v="Medium"/>
  </r>
  <r>
    <n v="527"/>
    <s v="US-2023-143413"/>
    <x v="112"/>
    <d v="2023-05-30T00:00:00"/>
    <s v="Standard Class"/>
    <s v="RP-19390"/>
    <s v="Resi Pölking"/>
    <x v="0"/>
    <s v="United States"/>
    <s v="Baltimore"/>
    <s v="Maryland"/>
    <n v="21215"/>
    <x v="1"/>
    <s v="OFF-PA-10002319"/>
    <x v="0"/>
    <x v="0"/>
    <s v="Xerox 1944"/>
    <n v="116.28"/>
    <n v="3"/>
    <n v="0"/>
    <n v="56.977199999999996"/>
    <x v="0"/>
    <x v="4"/>
    <n v="18.9924"/>
    <s v="Profit"/>
    <s v="No Discount"/>
  </r>
  <r>
    <n v="528"/>
    <s v="US-2023-130379"/>
    <x v="113"/>
    <d v="2023-05-29T00:00:00"/>
    <s v="Standard Class"/>
    <s v="JL-15235"/>
    <s v="Janet Lee"/>
    <x v="0"/>
    <s v="United States"/>
    <s v="Chicago"/>
    <s v="Illinois"/>
    <n v="60623"/>
    <x v="0"/>
    <s v="FUR-FU-10002553"/>
    <x v="1"/>
    <x v="8"/>
    <s v="Electrix Incandescent Magnifying Lamp, Black"/>
    <n v="29.32"/>
    <n v="2"/>
    <n v="0.6"/>
    <n v="-24.188999999999993"/>
    <x v="0"/>
    <x v="4"/>
    <n v="-12.094499999999996"/>
    <s v="Loss"/>
    <s v="High"/>
  </r>
  <r>
    <n v="529"/>
    <s v="US-2023-130379"/>
    <x v="113"/>
    <d v="2023-05-29T00:00:00"/>
    <s v="Standard Class"/>
    <s v="JL-15235"/>
    <s v="Janet Lee"/>
    <x v="0"/>
    <s v="United States"/>
    <s v="Chicago"/>
    <s v="Illinois"/>
    <n v="60623"/>
    <x v="0"/>
    <s v="OFF-AP-10001394"/>
    <x v="0"/>
    <x v="12"/>
    <s v="Harmony Air Purifier"/>
    <n v="75.59999999999998"/>
    <n v="2"/>
    <n v="0.8"/>
    <n v="-166.32000000000005"/>
    <x v="0"/>
    <x v="4"/>
    <n v="-83.160000000000025"/>
    <s v="Loss"/>
    <s v="High"/>
  </r>
  <r>
    <n v="530"/>
    <s v="US-2023-100391"/>
    <x v="113"/>
    <d v="2023-05-29T00:00:00"/>
    <s v="Standard Class"/>
    <s v="BW-11065"/>
    <s v="Barry Weirich"/>
    <x v="0"/>
    <s v="United States"/>
    <s v="New York City"/>
    <s v="New York"/>
    <n v="10035"/>
    <x v="1"/>
    <s v="OFF-PA-10001471"/>
    <x v="0"/>
    <x v="0"/>
    <s v="Strathmore Photo Frame Cards"/>
    <n v="14.62"/>
    <n v="2"/>
    <n v="0"/>
    <n v="6.7251999999999992"/>
    <x v="0"/>
    <x v="4"/>
    <n v="3.3625999999999996"/>
    <s v="Profit"/>
    <s v="No Discount"/>
  </r>
  <r>
    <n v="531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FUR-BO-10000362"/>
    <x v="1"/>
    <x v="10"/>
    <s v="Sauder Inglewood Library Bookcases"/>
    <n v="290.666"/>
    <n v="2"/>
    <n v="0.15"/>
    <n v="27.356800000000007"/>
    <x v="0"/>
    <x v="4"/>
    <n v="13.678400000000003"/>
    <s v="Profit"/>
    <s v="Low"/>
  </r>
  <r>
    <n v="532"/>
    <s v="US-2023-158029"/>
    <x v="114"/>
    <d v="2023-05-30T00:00:00"/>
    <s v="Standard Class"/>
    <s v="HF-14995"/>
    <s v="Herbert Flentye"/>
    <x v="0"/>
    <s v="United States"/>
    <s v="Los Angeles"/>
    <s v="California"/>
    <n v="90008"/>
    <x v="3"/>
    <s v="FUR-CH-10000988"/>
    <x v="1"/>
    <x v="5"/>
    <s v="Hon Olson Stacker Stools"/>
    <n v="225.29600000000002"/>
    <n v="2"/>
    <n v="0.2"/>
    <n v="22.529599999999995"/>
    <x v="0"/>
    <x v="4"/>
    <n v="11.264799999999997"/>
    <s v="Profit"/>
    <s v="Low"/>
  </r>
  <r>
    <n v="533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FUR-CH-10003981"/>
    <x v="1"/>
    <x v="5"/>
    <s v="Global Commerce Series Low-Back Swivel/Tilt Chairs"/>
    <n v="359.77199999999999"/>
    <n v="2"/>
    <n v="0.3"/>
    <n v="-5.1396000000000583"/>
    <x v="0"/>
    <x v="4"/>
    <n v="-2.5698000000000292"/>
    <s v="Loss"/>
    <s v="Medium"/>
  </r>
  <r>
    <n v="534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OFF-AR-10000716"/>
    <x v="0"/>
    <x v="4"/>
    <s v="DIXON Ticonderoga Erasable Checking Pencils"/>
    <n v="13.392000000000001"/>
    <n v="3"/>
    <n v="0.2"/>
    <n v="3.1806000000000005"/>
    <x v="0"/>
    <x v="4"/>
    <n v="1.0602000000000003"/>
    <s v="Profit"/>
    <s v="Low"/>
  </r>
  <r>
    <n v="535"/>
    <s v="US-2023-129574"/>
    <x v="114"/>
    <d v="2023-05-29T00:00:00"/>
    <s v="First Class"/>
    <s v="Dp-13240"/>
    <s v="Dean percer"/>
    <x v="1"/>
    <s v="United States"/>
    <s v="Murray"/>
    <s v="Utah"/>
    <n v="84107"/>
    <x v="3"/>
    <s v="OFF-PA-10002893"/>
    <x v="0"/>
    <x v="0"/>
    <s v="Wirebound Service Call Books, 5 1/2&quot; x 4&quot;"/>
    <n v="48.4"/>
    <n v="5"/>
    <n v="0"/>
    <n v="23.231999999999999"/>
    <x v="0"/>
    <x v="4"/>
    <n v="4.6463999999999999"/>
    <s v="Profit"/>
    <s v="No Discount"/>
  </r>
  <r>
    <n v="536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OFF-ST-10001837"/>
    <x v="0"/>
    <x v="3"/>
    <s v="SAFCO Mobile Desk Side File, Wire Frame"/>
    <n v="102.624"/>
    <n v="3"/>
    <n v="0.2"/>
    <n v="7.6968000000000032"/>
    <x v="0"/>
    <x v="4"/>
    <n v="2.5656000000000012"/>
    <s v="Profit"/>
    <s v="Low"/>
  </r>
  <r>
    <n v="537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TEC-PH-10000441"/>
    <x v="2"/>
    <x v="7"/>
    <s v="VTech DS6151"/>
    <n v="201.584"/>
    <n v="2"/>
    <n v="0.2"/>
    <n v="20.158400000000015"/>
    <x v="0"/>
    <x v="4"/>
    <n v="10.079200000000007"/>
    <s v="Profit"/>
    <s v="Low"/>
  </r>
  <r>
    <n v="538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TEC-PH-10002726"/>
    <x v="2"/>
    <x v="7"/>
    <s v="netTALK DUO VoIP Telephone Service"/>
    <n v="83.984000000000009"/>
    <n v="2"/>
    <n v="0.2"/>
    <n v="31.494"/>
    <x v="0"/>
    <x v="4"/>
    <n v="15.747"/>
    <s v="Profit"/>
    <s v="Low"/>
  </r>
  <r>
    <n v="539"/>
    <s v="US-2023-124429"/>
    <x v="115"/>
    <d v="2023-05-27T00:00:00"/>
    <s v="Same Day"/>
    <s v="MH-17785"/>
    <s v="Maya Herman"/>
    <x v="2"/>
    <s v="United States"/>
    <s v="San Diego"/>
    <s v="California"/>
    <n v="92105"/>
    <x v="3"/>
    <s v="FUR-TA-10002607"/>
    <x v="1"/>
    <x v="13"/>
    <s v="KI Conference Tables"/>
    <n v="567.12"/>
    <n v="10"/>
    <n v="0.2"/>
    <n v="-28.355999999999952"/>
    <x v="0"/>
    <x v="4"/>
    <n v="-2.835599999999995"/>
    <s v="Loss"/>
    <s v="Low"/>
  </r>
  <r>
    <n v="540"/>
    <s v="US-2023-117058"/>
    <x v="115"/>
    <d v="2023-05-30T00:00:00"/>
    <s v="First Class"/>
    <s v="LE-16810"/>
    <s v="Laurel Elliston"/>
    <x v="0"/>
    <s v="United States"/>
    <s v="Chicago"/>
    <s v="Illinois"/>
    <n v="60653"/>
    <x v="0"/>
    <s v="OFF-BI-10004139"/>
    <x v="0"/>
    <x v="1"/>
    <s v="Fellowes Presentation Covers for Comb Binding Machines"/>
    <n v="17.459999999999997"/>
    <n v="6"/>
    <n v="0.8"/>
    <n v="-30.555000000000007"/>
    <x v="0"/>
    <x v="4"/>
    <n v="-5.0925000000000011"/>
    <s v="Loss"/>
    <s v="High"/>
  </r>
  <r>
    <n v="541"/>
    <s v="US-2023-124429"/>
    <x v="115"/>
    <d v="2023-05-27T00:00:00"/>
    <s v="Same Day"/>
    <s v="MH-17785"/>
    <s v="Maya Herman"/>
    <x v="2"/>
    <s v="United States"/>
    <s v="San Diego"/>
    <s v="California"/>
    <n v="92105"/>
    <x v="3"/>
    <s v="OFF-ST-10001809"/>
    <x v="0"/>
    <x v="3"/>
    <s v="Fellowes Officeware Wire Shelving"/>
    <n v="359.32"/>
    <n v="4"/>
    <n v="0"/>
    <n v="7.1863999999999919"/>
    <x v="0"/>
    <x v="4"/>
    <n v="1.796599999999998"/>
    <s v="Profit"/>
    <s v="No Discount"/>
  </r>
  <r>
    <n v="542"/>
    <s v="US-2023-139192"/>
    <x v="115"/>
    <d v="2023-06-01T00:00:00"/>
    <s v="Second Class"/>
    <s v="LC-16885"/>
    <s v="Lena Creighton"/>
    <x v="0"/>
    <s v="United States"/>
    <s v="San Francisco"/>
    <s v="California"/>
    <n v="94109"/>
    <x v="3"/>
    <s v="TEC-AC-10001606"/>
    <x v="2"/>
    <x v="9"/>
    <s v="Logitech Wireless Performance Mouse MX for PC and Mac"/>
    <n v="99.99"/>
    <n v="1"/>
    <n v="0"/>
    <n v="37.996200000000002"/>
    <x v="0"/>
    <x v="4"/>
    <n v="37.996200000000002"/>
    <s v="Profit"/>
    <s v="No Discount"/>
  </r>
  <r>
    <n v="543"/>
    <s v="US-2023-139192"/>
    <x v="115"/>
    <d v="2023-06-01T00:00:00"/>
    <s v="Second Class"/>
    <s v="LC-16885"/>
    <s v="Lena Creighton"/>
    <x v="0"/>
    <s v="United States"/>
    <s v="San Francisco"/>
    <s v="California"/>
    <n v="94109"/>
    <x v="3"/>
    <s v="TEC-PH-10000486"/>
    <x v="2"/>
    <x v="7"/>
    <s v="Plantronics HL10 Handset Lifter"/>
    <n v="1113.5039999999999"/>
    <n v="12"/>
    <n v="0.2"/>
    <n v="125.2691999999999"/>
    <x v="0"/>
    <x v="4"/>
    <n v="10.439099999999991"/>
    <s v="Profit"/>
    <s v="Low"/>
  </r>
  <r>
    <n v="544"/>
    <s v="US-2023-108861"/>
    <x v="116"/>
    <d v="2023-06-01T00:00:00"/>
    <s v="Standard Class"/>
    <s v="MM-17260"/>
    <s v="Magdelene Morse"/>
    <x v="0"/>
    <s v="United States"/>
    <s v="Seattle"/>
    <s v="Washington"/>
    <n v="98105"/>
    <x v="3"/>
    <s v="OFF-BI-10003876"/>
    <x v="0"/>
    <x v="1"/>
    <s v="Green Canvas Binder for 8-1/2&quot; x 14&quot; Sheets"/>
    <n v="136.96"/>
    <n v="4"/>
    <n v="0.2"/>
    <n v="51.359999999999992"/>
    <x v="0"/>
    <x v="4"/>
    <n v="12.839999999999998"/>
    <s v="Profit"/>
    <s v="Low"/>
  </r>
  <r>
    <n v="545"/>
    <s v="US-2023-135993"/>
    <x v="116"/>
    <d v="2023-06-02T00:00:00"/>
    <s v="Standard Class"/>
    <s v="PJ-18835"/>
    <s v="Patrick Jones"/>
    <x v="2"/>
    <s v="United States"/>
    <s v="Seattle"/>
    <s v="Washington"/>
    <n v="98115"/>
    <x v="3"/>
    <s v="TEC-AC-10004877"/>
    <x v="2"/>
    <x v="9"/>
    <s v="Imation 30456 USB Flash Drive 8GB"/>
    <n v="27.6"/>
    <n v="4"/>
    <n v="0"/>
    <n v="2.2079999999999984"/>
    <x v="0"/>
    <x v="4"/>
    <n v="0.5519999999999996"/>
    <s v="Profit"/>
    <s v="No Discount"/>
  </r>
  <r>
    <n v="546"/>
    <s v="US-2023-135993"/>
    <x v="116"/>
    <d v="2023-06-02T00:00:00"/>
    <s v="Standard Class"/>
    <s v="PJ-18835"/>
    <s v="Patrick Jones"/>
    <x v="2"/>
    <s v="United States"/>
    <s v="Seattle"/>
    <s v="Washington"/>
    <n v="98115"/>
    <x v="3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x v="0"/>
    <x v="4"/>
    <n v="0.95680000000000032"/>
    <s v="Profit"/>
    <s v="Low"/>
  </r>
  <r>
    <n v="547"/>
    <s v="US-2023-145800"/>
    <x v="117"/>
    <d v="2023-06-05T00:00:00"/>
    <s v="Standard Class"/>
    <s v="SS-20410"/>
    <s v="Shahid Shariari"/>
    <x v="0"/>
    <s v="United States"/>
    <s v="Buffalo Grove"/>
    <s v="Illinois"/>
    <n v="60089"/>
    <x v="0"/>
    <s v="FUR-TA-10001539"/>
    <x v="1"/>
    <x v="13"/>
    <s v="Chromcraft Rectangular Conference Tables"/>
    <n v="355.45499999999998"/>
    <n v="3"/>
    <n v="0.5"/>
    <n v="-184.83660000000003"/>
    <x v="0"/>
    <x v="4"/>
    <n v="-61.612200000000009"/>
    <s v="Loss"/>
    <s v="High"/>
  </r>
  <r>
    <n v="548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AP-10001005"/>
    <x v="0"/>
    <x v="12"/>
    <s v="Honeywell Quietcare HEPA Air Cleaner"/>
    <n v="235.95000000000002"/>
    <n v="3"/>
    <n v="0"/>
    <n v="77.863499999999988"/>
    <x v="0"/>
    <x v="4"/>
    <n v="25.954499999999996"/>
    <s v="Profit"/>
    <s v="No Discount"/>
  </r>
  <r>
    <n v="549"/>
    <s v="US-2023-105872"/>
    <x v="117"/>
    <d v="2023-06-06T00:00:00"/>
    <s v="Standard Class"/>
    <s v="JG-15160"/>
    <s v="James Galang"/>
    <x v="0"/>
    <s v="United States"/>
    <s v="New York City"/>
    <s v="New York"/>
    <n v="10024"/>
    <x v="1"/>
    <s v="OFF-BI-10003684"/>
    <x v="0"/>
    <x v="1"/>
    <s v="Wilson Jones Legal Size Ring Binders"/>
    <n v="70.367999999999995"/>
    <n v="4"/>
    <n v="0.2"/>
    <n v="26.387999999999998"/>
    <x v="0"/>
    <x v="4"/>
    <n v="6.5969999999999995"/>
    <s v="Profit"/>
    <s v="Low"/>
  </r>
  <r>
    <n v="550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BI-10004233"/>
    <x v="0"/>
    <x v="1"/>
    <s v="GBC Pre-Punched Binding Paper, Plastic, White, 8-1/2&quot; x 11&quot;"/>
    <n v="25.584000000000003"/>
    <n v="2"/>
    <n v="0.2"/>
    <n v="8.9543999999999997"/>
    <x v="0"/>
    <x v="4"/>
    <n v="4.4771999999999998"/>
    <s v="Profit"/>
    <s v="Low"/>
  </r>
  <r>
    <n v="551"/>
    <s v="US-2023-146885"/>
    <x v="117"/>
    <d v="2023-06-05T00:00:00"/>
    <s v="Standard Class"/>
    <s v="EB-13840"/>
    <s v="Ellis Ballard"/>
    <x v="2"/>
    <s v="United States"/>
    <s v="Richmond"/>
    <s v="Virginia"/>
    <n v="23223"/>
    <x v="2"/>
    <s v="OFF-PA-10001622"/>
    <x v="0"/>
    <x v="0"/>
    <s v="Ampad Poly Cover Wirebound Steno Book, 6&quot; x 9&quot; Assorted Colors, Gregg Ruled"/>
    <n v="13.620000000000001"/>
    <n v="3"/>
    <n v="0"/>
    <n v="6.1289999999999996"/>
    <x v="0"/>
    <x v="4"/>
    <n v="2.0429999999999997"/>
    <s v="Profit"/>
    <s v="No Discount"/>
  </r>
  <r>
    <n v="552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PA-10001712"/>
    <x v="0"/>
    <x v="0"/>
    <s v="Xerox 1948"/>
    <n v="39.96"/>
    <n v="4"/>
    <n v="0"/>
    <n v="17.981999999999999"/>
    <x v="0"/>
    <x v="4"/>
    <n v="4.4954999999999998"/>
    <s v="Profit"/>
    <s v="No Discount"/>
  </r>
  <r>
    <n v="553"/>
    <s v="US-2023-140473"/>
    <x v="117"/>
    <d v="2023-06-03T00:00:00"/>
    <s v="Standard Class"/>
    <s v="MC-17425"/>
    <s v="Mark Cousins"/>
    <x v="2"/>
    <s v="United States"/>
    <s v="Chicago"/>
    <s v="Illinois"/>
    <n v="60623"/>
    <x v="0"/>
    <s v="TEC-CO-10004202"/>
    <x v="2"/>
    <x v="16"/>
    <s v="Brother DCP1000 Digital 3 in 1 Multifunction Machine"/>
    <n v="719.97600000000011"/>
    <n v="3"/>
    <n v="0.2"/>
    <n v="134.99549999999999"/>
    <x v="0"/>
    <x v="4"/>
    <n v="44.9985"/>
    <s v="Profit"/>
    <s v="Low"/>
  </r>
  <r>
    <n v="554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TEC-PH-10003505"/>
    <x v="2"/>
    <x v="7"/>
    <s v="Geemarc AmpliPOWER60"/>
    <n v="464"/>
    <n v="5"/>
    <n v="0"/>
    <n v="134.55999999999995"/>
    <x v="0"/>
    <x v="4"/>
    <n v="26.911999999999988"/>
    <s v="Profit"/>
    <s v="No Discount"/>
  </r>
  <r>
    <n v="555"/>
    <s v="US-2023-166051"/>
    <x v="118"/>
    <d v="2023-06-05T00:00:00"/>
    <s v="Standard Class"/>
    <s v="JK-15625"/>
    <s v="Jim Karlsson"/>
    <x v="0"/>
    <s v="United States"/>
    <s v="Jackson"/>
    <s v="Mississippi"/>
    <n v="39212"/>
    <x v="2"/>
    <s v="TEC-PH-10002538"/>
    <x v="2"/>
    <x v="7"/>
    <s v="Grandstream GXP1160 VoIP phone"/>
    <n v="113.72999999999999"/>
    <n v="3"/>
    <n v="0"/>
    <n v="32.981699999999989"/>
    <x v="0"/>
    <x v="4"/>
    <n v="10.993899999999996"/>
    <s v="Profit"/>
    <s v="No Discount"/>
  </r>
  <r>
    <n v="556"/>
    <s v="US-2023-166051"/>
    <x v="118"/>
    <d v="2023-06-05T00:00:00"/>
    <s v="Standard Class"/>
    <s v="JK-15625"/>
    <s v="Jim Karlsson"/>
    <x v="0"/>
    <s v="United States"/>
    <s v="Jackson"/>
    <s v="Mississippi"/>
    <n v="39212"/>
    <x v="2"/>
    <s v="TEC-PH-10002680"/>
    <x v="2"/>
    <x v="7"/>
    <s v="Samsung Galaxy Note 3"/>
    <n v="659.97"/>
    <n v="3"/>
    <n v="0"/>
    <n v="197.99099999999996"/>
    <x v="0"/>
    <x v="4"/>
    <n v="65.996999999999986"/>
    <s v="Profit"/>
    <s v="No Discount"/>
  </r>
  <r>
    <n v="557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FUR-CH-10004063"/>
    <x v="1"/>
    <x v="5"/>
    <s v="Global Deluxe High-Back Manager's Chair"/>
    <n v="2001.8600000000001"/>
    <n v="7"/>
    <n v="0"/>
    <n v="580.53939999999989"/>
    <x v="0"/>
    <x v="5"/>
    <n v="82.93419999999999"/>
    <s v="Profit"/>
    <s v="No Discount"/>
  </r>
  <r>
    <n v="558"/>
    <s v="US-2023-165659"/>
    <x v="119"/>
    <d v="2023-06-06T00:00:00"/>
    <s v="Standard Class"/>
    <s v="LT-17110"/>
    <s v="Liz Thompson"/>
    <x v="0"/>
    <s v="United States"/>
    <s v="Little Rock"/>
    <s v="Arkansas"/>
    <n v="72209"/>
    <x v="2"/>
    <s v="FUR-FU-10001935"/>
    <x v="1"/>
    <x v="8"/>
    <s v="3M Hangers With Command Adhesive"/>
    <n v="22.200000000000003"/>
    <n v="6"/>
    <n v="0"/>
    <n v="9.1020000000000021"/>
    <x v="0"/>
    <x v="5"/>
    <n v="1.5170000000000003"/>
    <s v="Profit"/>
    <s v="No Discount"/>
  </r>
  <r>
    <n v="559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AP-10002945"/>
    <x v="0"/>
    <x v="12"/>
    <s v="Honeywell Enviracaire Portable HEPA Air Cleaner for 17' x 22' Room"/>
    <n v="1503.25"/>
    <n v="5"/>
    <n v="0"/>
    <n v="496.07249999999993"/>
    <x v="0"/>
    <x v="5"/>
    <n v="99.214499999999987"/>
    <s v="Profit"/>
    <s v="No Discount"/>
  </r>
  <r>
    <n v="560"/>
    <s v="US-2023-157070"/>
    <x v="119"/>
    <d v="2023-06-06T00:00:00"/>
    <s v="Standard Class"/>
    <s v="QJ-19255"/>
    <s v="Quincy Jones"/>
    <x v="2"/>
    <s v="United States"/>
    <s v="Detroit"/>
    <s v="Michigan"/>
    <n v="48234"/>
    <x v="0"/>
    <s v="OFF-AP-10004859"/>
    <x v="0"/>
    <x v="12"/>
    <s v="Acco 6 Outlet Guardian Premium Surge Suppressor"/>
    <n v="65.52000000000001"/>
    <n v="5"/>
    <n v="0.1"/>
    <n v="12.376000000000001"/>
    <x v="0"/>
    <x v="5"/>
    <n v="2.4752000000000001"/>
    <s v="Profit"/>
    <s v="Low"/>
  </r>
  <r>
    <n v="561"/>
    <s v="US-2023-111003"/>
    <x v="119"/>
    <d v="2023-06-06T00:00:00"/>
    <s v="Standard Class"/>
    <s v="CR-12625"/>
    <s v="Corey Roper"/>
    <x v="1"/>
    <s v="United States"/>
    <s v="Lakewood"/>
    <s v="New Jersey"/>
    <n v="8701"/>
    <x v="1"/>
    <s v="OFF-AR-10002135"/>
    <x v="0"/>
    <x v="4"/>
    <s v="Boston Heavy-Duty Trimline Electric Pencil Sharpeners"/>
    <n v="289.20000000000005"/>
    <n v="6"/>
    <n v="0"/>
    <n v="83.867999999999967"/>
    <x v="0"/>
    <x v="5"/>
    <n v="13.977999999999994"/>
    <s v="Profit"/>
    <s v="No Discount"/>
  </r>
  <r>
    <n v="562"/>
    <s v="US-2023-111003"/>
    <x v="119"/>
    <d v="2023-06-06T00:00:00"/>
    <s v="Standard Class"/>
    <s v="CR-12625"/>
    <s v="Corey Roper"/>
    <x v="1"/>
    <s v="United States"/>
    <s v="Lakewood"/>
    <s v="New Jersey"/>
    <n v="8701"/>
    <x v="1"/>
    <s v="OFF-BI-10001072"/>
    <x v="0"/>
    <x v="1"/>
    <s v="GBC Clear Cover, 8-1/2 x 11, unpunched, 25 covers per pack"/>
    <n v="45.480000000000004"/>
    <n v="3"/>
    <n v="0"/>
    <n v="20.9208"/>
    <x v="0"/>
    <x v="5"/>
    <n v="6.9736000000000002"/>
    <s v="Profit"/>
    <s v="No Discount"/>
  </r>
  <r>
    <n v="563"/>
    <s v="US-2023-157070"/>
    <x v="119"/>
    <d v="2023-06-06T00:00:00"/>
    <s v="Standard Class"/>
    <s v="QJ-19255"/>
    <s v="Quincy Jones"/>
    <x v="2"/>
    <s v="United States"/>
    <s v="Detroit"/>
    <s v="Michigan"/>
    <n v="48234"/>
    <x v="0"/>
    <s v="OFF-BI-10001765"/>
    <x v="0"/>
    <x v="1"/>
    <s v="Wilson Jones Heavy-Duty Casebound Ring Binders with Metal Hinges"/>
    <n v="138.56"/>
    <n v="4"/>
    <n v="0"/>
    <n v="66.508799999999994"/>
    <x v="0"/>
    <x v="5"/>
    <n v="16.627199999999998"/>
    <s v="Profit"/>
    <s v="No Discount"/>
  </r>
  <r>
    <n v="564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PA-10000061"/>
    <x v="0"/>
    <x v="0"/>
    <s v="Xerox 205"/>
    <n v="25.92"/>
    <n v="4"/>
    <n v="0"/>
    <n v="12.441600000000001"/>
    <x v="0"/>
    <x v="5"/>
    <n v="3.1104000000000003"/>
    <s v="Profit"/>
    <s v="No Discount"/>
  </r>
  <r>
    <n v="565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PA-10004082"/>
    <x v="0"/>
    <x v="0"/>
    <s v="Adams Telephone Message Book w/Frequently-Called Numbers Space, 400 Messages per Book"/>
    <n v="47.88"/>
    <n v="6"/>
    <n v="0"/>
    <n v="23.94"/>
    <x v="0"/>
    <x v="5"/>
    <n v="3.99"/>
    <s v="Profit"/>
    <s v="No Discount"/>
  </r>
  <r>
    <n v="566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ST-10002276"/>
    <x v="0"/>
    <x v="3"/>
    <s v="Safco Steel Mobile File Cart"/>
    <n v="166.72"/>
    <n v="2"/>
    <n v="0"/>
    <n v="41.680000000000007"/>
    <x v="0"/>
    <x v="5"/>
    <n v="20.840000000000003"/>
    <s v="Profit"/>
    <s v="No Discount"/>
  </r>
  <r>
    <n v="567"/>
    <s v="US-2023-165659"/>
    <x v="119"/>
    <d v="2023-06-06T00:00:00"/>
    <s v="Standard Class"/>
    <s v="LT-17110"/>
    <s v="Liz Thompson"/>
    <x v="0"/>
    <s v="United States"/>
    <s v="Little Rock"/>
    <s v="Arkansas"/>
    <n v="72209"/>
    <x v="2"/>
    <s v="TEC-PH-10002563"/>
    <x v="2"/>
    <x v="7"/>
    <s v="Adtran 1202752G1"/>
    <n v="881.93"/>
    <n v="7"/>
    <n v="0"/>
    <n v="229.30180000000001"/>
    <x v="0"/>
    <x v="5"/>
    <n v="32.757400000000004"/>
    <s v="Profit"/>
    <s v="No Discount"/>
  </r>
  <r>
    <n v="568"/>
    <s v="US-2023-104472"/>
    <x v="120"/>
    <d v="2023-06-07T00:00:00"/>
    <s v="Standard Class"/>
    <s v="CK-12325"/>
    <s v="Christine Kargatis"/>
    <x v="1"/>
    <s v="United States"/>
    <s v="Orem"/>
    <s v="Utah"/>
    <n v="84057"/>
    <x v="3"/>
    <s v="FUR-FU-10000246"/>
    <x v="1"/>
    <x v="8"/>
    <s v="Aluminum Document Frame"/>
    <n v="73.320000000000007"/>
    <n v="6"/>
    <n v="0"/>
    <n v="21.995999999999992"/>
    <x v="0"/>
    <x v="5"/>
    <n v="3.6659999999999986"/>
    <s v="Profit"/>
    <s v="No Discount"/>
  </r>
  <r>
    <n v="569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OFF-AR-10004511"/>
    <x v="0"/>
    <x v="4"/>
    <s v="Sanford Colorific Scented Colored Pencils, 12/Pack"/>
    <n v="8.56"/>
    <n v="2"/>
    <n v="0"/>
    <n v="2.6536"/>
    <x v="0"/>
    <x v="5"/>
    <n v="1.3268"/>
    <s v="Profit"/>
    <s v="No Discount"/>
  </r>
  <r>
    <n v="570"/>
    <s v="US-2023-104472"/>
    <x v="120"/>
    <d v="2023-06-07T00:00:00"/>
    <s v="Standard Class"/>
    <s v="CK-12325"/>
    <s v="Christine Kargatis"/>
    <x v="1"/>
    <s v="United States"/>
    <s v="Orem"/>
    <s v="Utah"/>
    <n v="84057"/>
    <x v="3"/>
    <s v="OFF-BI-10001658"/>
    <x v="0"/>
    <x v="1"/>
    <s v="GBC Standard Therm-A-Bind Covers"/>
    <n v="59.808000000000007"/>
    <n v="3"/>
    <n v="0.2"/>
    <n v="19.4376"/>
    <x v="0"/>
    <x v="5"/>
    <n v="6.4791999999999996"/>
    <s v="Profit"/>
    <s v="Low"/>
  </r>
  <r>
    <n v="571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OFF-ST-10001490"/>
    <x v="0"/>
    <x v="3"/>
    <s v="Hot File 7-Pocket, Floor Stand"/>
    <n v="356.94"/>
    <n v="2"/>
    <n v="0"/>
    <n v="107.08199999999997"/>
    <x v="0"/>
    <x v="5"/>
    <n v="53.540999999999983"/>
    <s v="Profit"/>
    <s v="No Discount"/>
  </r>
  <r>
    <n v="572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TEC-PH-10001425"/>
    <x v="2"/>
    <x v="7"/>
    <s v="Mophie Juice Pack Helium for iPhone"/>
    <n v="239.96999999999997"/>
    <n v="3"/>
    <n v="0"/>
    <n v="67.191599999999994"/>
    <x v="0"/>
    <x v="5"/>
    <n v="22.397199999999998"/>
    <s v="Profit"/>
    <s v="No Discount"/>
  </r>
  <r>
    <n v="573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FUR-FU-10001475"/>
    <x v="1"/>
    <x v="8"/>
    <s v="Contract Clock, 14&quot;, Brown"/>
    <n v="61.543999999999997"/>
    <n v="7"/>
    <n v="0.6"/>
    <n v="-40.003599999999999"/>
    <x v="0"/>
    <x v="5"/>
    <n v="-5.7147999999999994"/>
    <s v="Loss"/>
    <s v="High"/>
  </r>
  <r>
    <n v="574"/>
    <s v="US-2023-135657"/>
    <x v="121"/>
    <d v="2023-06-07T00:00:00"/>
    <s v="Second Class"/>
    <s v="SC-20725"/>
    <s v="Steven Cartwright"/>
    <x v="0"/>
    <s v="United States"/>
    <s v="Seattle"/>
    <s v="Washington"/>
    <n v="98115"/>
    <x v="3"/>
    <s v="FUR-TA-10004086"/>
    <x v="1"/>
    <x v="13"/>
    <s v="KI Adjustable-Height Table"/>
    <n v="515.88"/>
    <n v="6"/>
    <n v="0"/>
    <n v="113.49359999999999"/>
    <x v="0"/>
    <x v="5"/>
    <n v="18.915599999999998"/>
    <s v="Profit"/>
    <s v="No Discount"/>
  </r>
  <r>
    <n v="575"/>
    <s v="US-2023-141299"/>
    <x v="121"/>
    <d v="2023-06-07T00:00:00"/>
    <s v="Second Class"/>
    <s v="RB-19795"/>
    <s v="Ross Baird"/>
    <x v="1"/>
    <s v="United States"/>
    <s v="Midland"/>
    <s v="Michigan"/>
    <n v="48640"/>
    <x v="0"/>
    <s v="OFF-EN-10004459"/>
    <x v="0"/>
    <x v="11"/>
    <s v="Security-Tint Envelopes"/>
    <n v="15.28"/>
    <n v="2"/>
    <n v="0"/>
    <n v="7.4871999999999996"/>
    <x v="0"/>
    <x v="5"/>
    <n v="3.7435999999999998"/>
    <s v="Profit"/>
    <s v="No Discount"/>
  </r>
  <r>
    <n v="576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OFF-LA-10001771"/>
    <x v="0"/>
    <x v="2"/>
    <s v="Avery 513"/>
    <n v="15.936000000000002"/>
    <n v="4"/>
    <n v="0.2"/>
    <n v="5.1791999999999998"/>
    <x v="0"/>
    <x v="5"/>
    <n v="1.2948"/>
    <s v="Profit"/>
    <s v="Low"/>
  </r>
  <r>
    <n v="577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OFF-ST-10000877"/>
    <x v="0"/>
    <x v="3"/>
    <s v="Recycled Steel Personal File for Standard File Folders"/>
    <n v="132.696"/>
    <n v="3"/>
    <n v="0.2"/>
    <n v="9.9521999999999977"/>
    <x v="0"/>
    <x v="5"/>
    <n v="3.3173999999999992"/>
    <s v="Profit"/>
    <s v="Low"/>
  </r>
  <r>
    <n v="578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BO-10003272"/>
    <x v="1"/>
    <x v="10"/>
    <s v="O'Sullivan Living Dimensions 5-Shelf Bookcases"/>
    <n v="353.56799999999998"/>
    <n v="2"/>
    <n v="0.2"/>
    <n v="-44.196000000000026"/>
    <x v="0"/>
    <x v="5"/>
    <n v="-22.098000000000013"/>
    <s v="Loss"/>
    <s v="Low"/>
  </r>
  <r>
    <n v="579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FU-10002191"/>
    <x v="1"/>
    <x v="8"/>
    <s v="G.E. Halogen Desk Lamp Bulbs"/>
    <n v="13.96"/>
    <n v="2"/>
    <n v="0"/>
    <n v="6.7008000000000001"/>
    <x v="0"/>
    <x v="5"/>
    <n v="3.3504"/>
    <s v="Profit"/>
    <s v="No Discount"/>
  </r>
  <r>
    <n v="580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FU-10002878"/>
    <x v="1"/>
    <x v="8"/>
    <s v="Seth Thomas 14&quot; Day/Date Wall Clock"/>
    <n v="56.96"/>
    <n v="2"/>
    <n v="0"/>
    <n v="21.075200000000002"/>
    <x v="0"/>
    <x v="5"/>
    <n v="10.537600000000001"/>
    <s v="Profit"/>
    <s v="No Discount"/>
  </r>
  <r>
    <n v="581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OFF-AP-10001626"/>
    <x v="0"/>
    <x v="12"/>
    <s v="Commercial WindTunnel Clean Air Upright Vacuum, Replacement Belts, Filtration Bags"/>
    <n v="15.56"/>
    <n v="4"/>
    <n v="0"/>
    <n v="4.0456000000000003"/>
    <x v="0"/>
    <x v="5"/>
    <n v="1.0114000000000001"/>
    <s v="Profit"/>
    <s v="No Discount"/>
  </r>
  <r>
    <n v="582"/>
    <s v="US-2023-147914"/>
    <x v="122"/>
    <d v="2023-06-09T00:00:00"/>
    <s v="Standard Class"/>
    <s v="MP-17470"/>
    <s v="Mark Packer"/>
    <x v="1"/>
    <s v="United States"/>
    <s v="Columbus"/>
    <s v="Ohio"/>
    <n v="43229"/>
    <x v="1"/>
    <s v="OFF-PA-10001685"/>
    <x v="0"/>
    <x v="0"/>
    <s v="Easy-staple paper"/>
    <n v="16.224"/>
    <n v="2"/>
    <n v="0.2"/>
    <n v="5.8812000000000006"/>
    <x v="0"/>
    <x v="5"/>
    <n v="2.9406000000000003"/>
    <s v="Profit"/>
    <s v="Low"/>
  </r>
  <r>
    <n v="583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FUR-TA-10003238"/>
    <x v="1"/>
    <x v="13"/>
    <s v="Chromcraft Bull-Nose Wood 48&quot; x 96&quot; Rectangular Conference Tables"/>
    <n v="991.76400000000012"/>
    <n v="3"/>
    <n v="0.4"/>
    <n v="-347.11740000000009"/>
    <x v="0"/>
    <x v="5"/>
    <n v="-115.70580000000002"/>
    <s v="Loss"/>
    <s v="Medium"/>
  </r>
  <r>
    <n v="584"/>
    <s v="US-2023-133270"/>
    <x v="123"/>
    <d v="2023-06-09T00:00:00"/>
    <s v="First Class"/>
    <s v="BM-11785"/>
    <s v="Bryan Mills"/>
    <x v="0"/>
    <s v="United States"/>
    <s v="Rochester"/>
    <s v="New York"/>
    <n v="14609"/>
    <x v="1"/>
    <s v="OFF-AR-10002656"/>
    <x v="0"/>
    <x v="4"/>
    <s v="Sanford Liquid Accent Highlighters"/>
    <n v="13.36"/>
    <n v="2"/>
    <n v="0"/>
    <n v="4.9431999999999992"/>
    <x v="0"/>
    <x v="5"/>
    <n v="2.4715999999999996"/>
    <s v="Profit"/>
    <s v="No Discount"/>
  </r>
  <r>
    <n v="585"/>
    <s v="US-2023-169257"/>
    <x v="123"/>
    <d v="2023-06-12T00:00:00"/>
    <s v="Standard Class"/>
    <s v="SV-20785"/>
    <s v="Stewart Visinsky"/>
    <x v="0"/>
    <s v="United States"/>
    <s v="Jacksonville"/>
    <s v="Florida"/>
    <n v="32216"/>
    <x v="2"/>
    <s v="OFF-BI-10002557"/>
    <x v="0"/>
    <x v="1"/>
    <s v="Presstex Flexible Ring Binders"/>
    <n v="1.3650000000000002"/>
    <n v="1"/>
    <n v="0.7"/>
    <n v="-0.9099999999999997"/>
    <x v="0"/>
    <x v="5"/>
    <n v="-0.9099999999999997"/>
    <s v="Loss"/>
    <s v="High"/>
  </r>
  <r>
    <n v="586"/>
    <s v="US-2023-161305"/>
    <x v="123"/>
    <d v="2023-06-12T00:00:00"/>
    <s v="Standard Class"/>
    <s v="SB-20170"/>
    <s v="Sarah Bern"/>
    <x v="0"/>
    <s v="United States"/>
    <s v="Chicago"/>
    <s v="Illinois"/>
    <n v="60623"/>
    <x v="0"/>
    <s v="OFF-BI-10002794"/>
    <x v="0"/>
    <x v="1"/>
    <s v="Avery Trapezoid Ring Binder, 3&quot; Capacity, Black, 1040 sheets"/>
    <n v="24.587999999999994"/>
    <n v="3"/>
    <n v="0.8"/>
    <n v="-38.11140000000001"/>
    <x v="0"/>
    <x v="5"/>
    <n v="-12.703800000000003"/>
    <s v="Loss"/>
    <s v="High"/>
  </r>
  <r>
    <n v="587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OFF-BI-10003982"/>
    <x v="0"/>
    <x v="1"/>
    <s v="Wilson Jones Century Plastic Molded Ring Binders"/>
    <n v="149.54399999999998"/>
    <n v="9"/>
    <n v="0.2"/>
    <n v="50.471099999999993"/>
    <x v="0"/>
    <x v="5"/>
    <n v="5.607899999999999"/>
    <s v="Profit"/>
    <s v="Low"/>
  </r>
  <r>
    <n v="588"/>
    <s v="US-2023-161305"/>
    <x v="123"/>
    <d v="2023-06-12T00:00:00"/>
    <s v="Standard Class"/>
    <s v="SB-20170"/>
    <s v="Sarah Bern"/>
    <x v="0"/>
    <s v="United States"/>
    <s v="Chicago"/>
    <s v="Illinois"/>
    <n v="60623"/>
    <x v="0"/>
    <s v="OFF-EN-10000461"/>
    <x v="0"/>
    <x v="11"/>
    <s v="#10- 4 1/8&quot; x 9 1/2&quot; Recycled Envelopes"/>
    <n v="13.984000000000002"/>
    <n v="2"/>
    <n v="0.2"/>
    <n v="4.7195999999999998"/>
    <x v="0"/>
    <x v="5"/>
    <n v="2.3597999999999999"/>
    <s v="Profit"/>
    <s v="Low"/>
  </r>
  <r>
    <n v="589"/>
    <s v="US-2023-151897"/>
    <x v="123"/>
    <d v="2023-06-10T00:00:00"/>
    <s v="Standard Class"/>
    <s v="VT-21700"/>
    <s v="Valerie Takahito"/>
    <x v="1"/>
    <s v="United States"/>
    <s v="Houston"/>
    <s v="Texas"/>
    <n v="77070"/>
    <x v="0"/>
    <s v="OFF-LA-10001074"/>
    <x v="0"/>
    <x v="2"/>
    <s v="Round Specialty Laser Printer Labels"/>
    <n v="100.24000000000001"/>
    <n v="10"/>
    <n v="0.2"/>
    <n v="33.830999999999989"/>
    <x v="0"/>
    <x v="5"/>
    <n v="3.3830999999999989"/>
    <s v="Profit"/>
    <s v="Low"/>
  </r>
  <r>
    <n v="590"/>
    <s v="US-2023-169257"/>
    <x v="123"/>
    <d v="2023-06-12T00:00:00"/>
    <s v="Standard Class"/>
    <s v="SV-20785"/>
    <s v="Stewart Visinsky"/>
    <x v="0"/>
    <s v="United States"/>
    <s v="Jacksonville"/>
    <s v="Florida"/>
    <n v="32216"/>
    <x v="2"/>
    <s v="OFF-PA-10002319"/>
    <x v="0"/>
    <x v="0"/>
    <s v="Xerox 1944"/>
    <n v="62.015999999999998"/>
    <n v="2"/>
    <n v="0.2"/>
    <n v="22.480800000000002"/>
    <x v="0"/>
    <x v="5"/>
    <n v="11.240400000000001"/>
    <s v="Profit"/>
    <s v="Low"/>
  </r>
  <r>
    <n v="591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OFF-SU-10001664"/>
    <x v="0"/>
    <x v="14"/>
    <s v="Acme Office Executive Series Stainless Steel Trimmers"/>
    <n v="17.14"/>
    <n v="2"/>
    <n v="0"/>
    <n v="4.4564000000000004"/>
    <x v="0"/>
    <x v="5"/>
    <n v="2.2282000000000002"/>
    <s v="Profit"/>
    <s v="No Discount"/>
  </r>
  <r>
    <n v="592"/>
    <s v="US-2023-106229"/>
    <x v="124"/>
    <d v="2023-06-11T00:00:00"/>
    <s v="Second Class"/>
    <s v="NR-18550"/>
    <s v="Nick Radford"/>
    <x v="0"/>
    <s v="United States"/>
    <s v="Aurora"/>
    <s v="Illinois"/>
    <n v="60505"/>
    <x v="0"/>
    <s v="FUR-TA-10002041"/>
    <x v="1"/>
    <x v="13"/>
    <s v="Bevis Round Conference Table Top, X-Base"/>
    <n v="268.935"/>
    <n v="3"/>
    <n v="0.5"/>
    <n v="-209.76929999999999"/>
    <x v="0"/>
    <x v="5"/>
    <n v="-69.923099999999991"/>
    <s v="Loss"/>
    <s v="High"/>
  </r>
  <r>
    <n v="593"/>
    <s v="US-2023-134971"/>
    <x v="124"/>
    <d v="2023-06-10T00:00:00"/>
    <s v="Second Class"/>
    <s v="BP-11095"/>
    <s v="Bart Pistole"/>
    <x v="2"/>
    <s v="United States"/>
    <s v="Peoria"/>
    <s v="Illinois"/>
    <n v="61604"/>
    <x v="0"/>
    <s v="OFF-BI-10003982"/>
    <x v="0"/>
    <x v="1"/>
    <s v="Wilson Jones Century Plastic Molded Ring Binders"/>
    <n v="12.461999999999996"/>
    <n v="3"/>
    <n v="0.8"/>
    <n v="-20.5623"/>
    <x v="0"/>
    <x v="5"/>
    <n v="-6.8540999999999999"/>
    <s v="Loss"/>
    <s v="High"/>
  </r>
  <r>
    <n v="594"/>
    <s v="US-2023-109162"/>
    <x v="125"/>
    <d v="2023-06-12T00:00:00"/>
    <s v="Standard Class"/>
    <s v="KE-16420"/>
    <s v="Katrina Edelman"/>
    <x v="2"/>
    <s v="United States"/>
    <s v="Bristol"/>
    <s v="Tennessee"/>
    <n v="37620"/>
    <x v="2"/>
    <s v="FUR-CH-10002647"/>
    <x v="1"/>
    <x v="5"/>
    <s v="Situations Contoured Folding Chairs, 4/Set"/>
    <n v="170.35200000000003"/>
    <n v="3"/>
    <n v="0.2"/>
    <n v="10.647000000000006"/>
    <x v="0"/>
    <x v="5"/>
    <n v="3.5490000000000017"/>
    <s v="Profit"/>
    <s v="Low"/>
  </r>
  <r>
    <n v="595"/>
    <s v="US-2023-141257"/>
    <x v="125"/>
    <d v="2023-06-14T00:00:00"/>
    <s v="Standard Class"/>
    <s v="CS-11950"/>
    <s v="Carlos Soltero"/>
    <x v="0"/>
    <s v="United States"/>
    <s v="Seattle"/>
    <s v="Washington"/>
    <n v="98115"/>
    <x v="3"/>
    <s v="FUR-CH-10002758"/>
    <x v="1"/>
    <x v="5"/>
    <s v="Hon Deluxe Fabric Upholstered Stacking Chairs, Squared Back"/>
    <n v="585.55200000000002"/>
    <n v="3"/>
    <n v="0.2"/>
    <n v="73.19399999999996"/>
    <x v="0"/>
    <x v="5"/>
    <n v="24.397999999999985"/>
    <s v="Profit"/>
    <s v="Low"/>
  </r>
  <r>
    <n v="596"/>
    <s v="US-2023-108147"/>
    <x v="125"/>
    <d v="2023-06-13T00:00:00"/>
    <s v="Standard Class"/>
    <s v="RD-19480"/>
    <s v="Rick Duston"/>
    <x v="0"/>
    <s v="United States"/>
    <s v="Long Beach"/>
    <s v="New York"/>
    <n v="11561"/>
    <x v="1"/>
    <s v="OFF-BI-10003876"/>
    <x v="0"/>
    <x v="1"/>
    <s v="Green Canvas Binder for 8-1/2&quot; x 14&quot; Sheets"/>
    <n v="68.48"/>
    <n v="2"/>
    <n v="0.2"/>
    <n v="25.679999999999996"/>
    <x v="0"/>
    <x v="5"/>
    <n v="12.839999999999998"/>
    <s v="Profit"/>
    <s v="Low"/>
  </r>
  <r>
    <n v="597"/>
    <s v="US-2023-108147"/>
    <x v="125"/>
    <d v="2023-06-13T00:00:00"/>
    <s v="Standard Class"/>
    <s v="RD-19480"/>
    <s v="Rick Duston"/>
    <x v="0"/>
    <s v="United States"/>
    <s v="Long Beach"/>
    <s v="New York"/>
    <n v="11561"/>
    <x v="1"/>
    <s v="OFF-ST-10003470"/>
    <x v="0"/>
    <x v="3"/>
    <s v="Tennsco Snap-Together Open Shelving Units, Starter Sets and Add-On Units"/>
    <n v="1676.88"/>
    <n v="6"/>
    <n v="0"/>
    <n v="83.843999999999937"/>
    <x v="0"/>
    <x v="5"/>
    <n v="13.97399999999999"/>
    <s v="Profit"/>
    <s v="No Discount"/>
  </r>
  <r>
    <n v="598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FUR-FU-10001487"/>
    <x v="1"/>
    <x v="8"/>
    <s v="Eldon Expressions Wood and Plastic Desk Accessories, Cherry Wood"/>
    <n v="48.86"/>
    <n v="7"/>
    <n v="0"/>
    <n v="14.169399999999996"/>
    <x v="0"/>
    <x v="5"/>
    <n v="2.0241999999999996"/>
    <s v="Profit"/>
    <s v="No Discount"/>
  </r>
  <r>
    <n v="599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FUR-FU-10002685"/>
    <x v="1"/>
    <x v="8"/>
    <s v="Executive Impressions 13-1/2&quot; Indoor/Outdoor Wall Clock"/>
    <n v="37.4"/>
    <n v="2"/>
    <n v="0"/>
    <n v="14.212"/>
    <x v="0"/>
    <x v="5"/>
    <n v="7.1059999999999999"/>
    <s v="Profit"/>
    <s v="No Discount"/>
  </r>
  <r>
    <n v="600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FUR-TA-10001539"/>
    <x v="1"/>
    <x v="13"/>
    <s v="Chromcraft Rectangular Conference Tables"/>
    <n v="1706.1840000000002"/>
    <n v="9"/>
    <n v="0.2"/>
    <n v="85.309199999999805"/>
    <x v="0"/>
    <x v="5"/>
    <n v="9.4787999999999784"/>
    <s v="Profit"/>
    <s v="Low"/>
  </r>
  <r>
    <n v="601"/>
    <s v="US-2023-132612"/>
    <x v="126"/>
    <d v="2023-06-11T00:00:00"/>
    <s v="Second Class"/>
    <s v="FO-14305"/>
    <s v="Frank Olsen"/>
    <x v="0"/>
    <s v="United States"/>
    <s v="Harrisonburg"/>
    <s v="Virginia"/>
    <n v="22801"/>
    <x v="2"/>
    <s v="FUR-TA-10004534"/>
    <x v="1"/>
    <x v="13"/>
    <s v="Bevis 44 x 96 Conference Tables"/>
    <n v="1441.3"/>
    <n v="7"/>
    <n v="0"/>
    <n v="245.0209999999999"/>
    <x v="0"/>
    <x v="5"/>
    <n v="35.002999999999986"/>
    <s v="Profit"/>
    <s v="No Discount"/>
  </r>
  <r>
    <n v="602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AP-10002892"/>
    <x v="0"/>
    <x v="12"/>
    <s v="Belkin F5C206VTEL 6 Outlet Surge"/>
    <n v="114.9"/>
    <n v="5"/>
    <n v="0"/>
    <n v="34.469999999999992"/>
    <x v="0"/>
    <x v="5"/>
    <n v="6.8939999999999984"/>
    <s v="Profit"/>
    <s v="No Discount"/>
  </r>
  <r>
    <n v="603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OFF-AR-10001953"/>
    <x v="0"/>
    <x v="4"/>
    <s v="Boston 1645 Deluxe Heavier-Duty Electric Pencil Sharpener"/>
    <n v="70.367999999999995"/>
    <n v="2"/>
    <n v="0.2"/>
    <n v="6.1572000000000031"/>
    <x v="0"/>
    <x v="5"/>
    <n v="3.0786000000000016"/>
    <s v="Profit"/>
    <s v="Low"/>
  </r>
  <r>
    <n v="604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OFF-AR-10002335"/>
    <x v="0"/>
    <x v="4"/>
    <s v="DIXON Oriole Pencils"/>
    <n v="18.060000000000002"/>
    <n v="7"/>
    <n v="0"/>
    <n v="4.6956000000000007"/>
    <x v="0"/>
    <x v="5"/>
    <n v="0.67080000000000006"/>
    <s v="Profit"/>
    <s v="No Discount"/>
  </r>
  <r>
    <n v="605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AR-10002833"/>
    <x v="0"/>
    <x v="4"/>
    <s v="Newell 322"/>
    <n v="7.28"/>
    <n v="4"/>
    <n v="0"/>
    <n v="1.9656000000000002"/>
    <x v="0"/>
    <x v="5"/>
    <n v="0.49140000000000006"/>
    <s v="Profit"/>
    <s v="No Discount"/>
  </r>
  <r>
    <n v="606"/>
    <s v="US-2023-133851"/>
    <x v="126"/>
    <d v="2023-06-16T00:00:00"/>
    <s v="Standard Class"/>
    <s v="CM-12445"/>
    <s v="Chuck Magee"/>
    <x v="0"/>
    <s v="United States"/>
    <s v="San Francisco"/>
    <s v="California"/>
    <n v="94122"/>
    <x v="3"/>
    <s v="OFF-AR-10003752"/>
    <x v="0"/>
    <x v="4"/>
    <s v="Deluxe Chalkboard Eraser Cleaner"/>
    <n v="23.1"/>
    <n v="2"/>
    <n v="0"/>
    <n v="10.625999999999999"/>
    <x v="0"/>
    <x v="5"/>
    <n v="5.3129999999999997"/>
    <s v="Profit"/>
    <s v="No Discount"/>
  </r>
  <r>
    <n v="607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BI-10003910"/>
    <x v="0"/>
    <x v="1"/>
    <s v="DXL Angle-View Binders with Locking Rings by Samsill"/>
    <n v="18.504000000000001"/>
    <n v="3"/>
    <n v="0.2"/>
    <n v="5.7824999999999998"/>
    <x v="0"/>
    <x v="5"/>
    <n v="1.9275"/>
    <s v="Profit"/>
    <s v="Low"/>
  </r>
  <r>
    <n v="608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OFF-PA-10003641"/>
    <x v="0"/>
    <x v="0"/>
    <s v="Xerox 1909"/>
    <n v="79.14"/>
    <n v="3"/>
    <n v="0"/>
    <n v="36.404399999999995"/>
    <x v="0"/>
    <x v="5"/>
    <n v="12.134799999999998"/>
    <s v="Profit"/>
    <s v="No Discount"/>
  </r>
  <r>
    <n v="609"/>
    <s v="US-2023-133851"/>
    <x v="126"/>
    <d v="2023-06-16T00:00:00"/>
    <s v="Standard Class"/>
    <s v="CM-12445"/>
    <s v="Chuck Magee"/>
    <x v="0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  <x v="0"/>
    <x v="5"/>
    <n v="7.3599999999999888E-2"/>
    <s v="Profit"/>
    <s v="No Discount"/>
  </r>
  <r>
    <n v="610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TEC-AC-10000303"/>
    <x v="2"/>
    <x v="9"/>
    <s v="Logitech M510 Wireless Mouse"/>
    <n v="63.984000000000009"/>
    <n v="2"/>
    <n v="0.2"/>
    <n v="10.397399999999998"/>
    <x v="0"/>
    <x v="5"/>
    <n v="5.1986999999999988"/>
    <s v="Profit"/>
    <s v="Low"/>
  </r>
  <r>
    <n v="611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TEC-PH-10000376"/>
    <x v="2"/>
    <x v="7"/>
    <s v="Square Credit Card Reader"/>
    <n v="7.9920000000000009"/>
    <n v="1"/>
    <n v="0.2"/>
    <n v="0.59940000000000015"/>
    <x v="0"/>
    <x v="5"/>
    <n v="0.59940000000000015"/>
    <s v="Profit"/>
    <s v="Low"/>
  </r>
  <r>
    <n v="612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TEC-PH-10002033"/>
    <x v="2"/>
    <x v="7"/>
    <s v="Konftel 250 Conference phone - Charcoal black"/>
    <n v="911.42399999999998"/>
    <n v="4"/>
    <n v="0.2"/>
    <n v="68.356800000000021"/>
    <x v="0"/>
    <x v="5"/>
    <n v="17.089200000000005"/>
    <s v="Profit"/>
    <s v="Low"/>
  </r>
  <r>
    <n v="613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TEC-PH-10002275"/>
    <x v="2"/>
    <x v="7"/>
    <s v="Mitel 5320 IP Phone VoIP phone"/>
    <n v="907.15200000000004"/>
    <n v="6"/>
    <n v="0.2"/>
    <n v="90.715200000000038"/>
    <x v="0"/>
    <x v="5"/>
    <n v="15.119200000000006"/>
    <s v="Profit"/>
    <s v="Low"/>
  </r>
  <r>
    <n v="614"/>
    <s v="US-2023-144281"/>
    <x v="127"/>
    <d v="2023-06-15T00:00:00"/>
    <s v="Second Class"/>
    <s v="HK-14890"/>
    <s v="Heather Kirkland"/>
    <x v="2"/>
    <s v="United States"/>
    <s v="Detroit"/>
    <s v="Michigan"/>
    <n v="48234"/>
    <x v="0"/>
    <s v="OFF-LA-10003930"/>
    <x v="0"/>
    <x v="2"/>
    <s v="Dot Matrix Printer Tape Reel Labels, White, 5000/Box"/>
    <n v="491.55"/>
    <n v="5"/>
    <n v="0"/>
    <n v="240.8595"/>
    <x v="0"/>
    <x v="5"/>
    <n v="48.171900000000001"/>
    <s v="Profit"/>
    <s v="No Discount"/>
  </r>
  <r>
    <n v="615"/>
    <s v="US-2023-114643"/>
    <x v="128"/>
    <d v="2023-06-17T00:00:00"/>
    <s v="Standard Class"/>
    <s v="FM-14215"/>
    <s v="Filia McAdams"/>
    <x v="2"/>
    <s v="United States"/>
    <s v="Los Angeles"/>
    <s v="California"/>
    <n v="90032"/>
    <x v="3"/>
    <s v="OFF-AR-10003631"/>
    <x v="0"/>
    <x v="4"/>
    <s v="Staples in misc. colors"/>
    <n v="14.52"/>
    <n v="3"/>
    <n v="0"/>
    <n v="4.7915999999999999"/>
    <x v="0"/>
    <x v="5"/>
    <n v="1.5972"/>
    <s v="Profit"/>
    <s v="No Discount"/>
  </r>
  <r>
    <n v="616"/>
    <s v="US-2023-140487"/>
    <x v="129"/>
    <d v="2023-06-20T00:00:00"/>
    <s v="Standard Class"/>
    <s v="SR-20425"/>
    <s v="Sharelle Roach"/>
    <x v="1"/>
    <s v="United States"/>
    <s v="Detroit"/>
    <s v="Michigan"/>
    <n v="48234"/>
    <x v="0"/>
    <s v="FUR-BO-10000711"/>
    <x v="1"/>
    <x v="10"/>
    <s v="Hon Metal Bookcases, Gray"/>
    <n v="212.94"/>
    <n v="3"/>
    <n v="0"/>
    <n v="57.4938"/>
    <x v="0"/>
    <x v="5"/>
    <n v="19.1646"/>
    <s v="Profit"/>
    <s v="No Discount"/>
  </r>
  <r>
    <n v="617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FUR-CH-10003379"/>
    <x v="1"/>
    <x v="5"/>
    <s v="Global Commerce Series High-Back Swivel/Tilt Chairs"/>
    <n v="797.94399999999996"/>
    <n v="4"/>
    <n v="0.3"/>
    <n v="-56.995999999999981"/>
    <x v="0"/>
    <x v="5"/>
    <n v="-14.248999999999995"/>
    <s v="Loss"/>
    <s v="Medium"/>
  </r>
  <r>
    <n v="618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FUR-TA-10001520"/>
    <x v="1"/>
    <x v="13"/>
    <s v="Lesro Sheffield Collection Coffee Table, End Table, Center Table, Corner Table"/>
    <n v="99.918000000000006"/>
    <n v="2"/>
    <n v="0.3"/>
    <n v="-18.556200000000018"/>
    <x v="0"/>
    <x v="5"/>
    <n v="-9.2781000000000091"/>
    <s v="Loss"/>
    <s v="Medium"/>
  </r>
  <r>
    <n v="619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OFF-BI-10002706"/>
    <x v="0"/>
    <x v="1"/>
    <s v="Avery Premier Heavy-Duty Binder with Round Locking Rings"/>
    <n v="8.5679999999999978"/>
    <n v="3"/>
    <n v="0.8"/>
    <n v="-14.5656"/>
    <x v="0"/>
    <x v="5"/>
    <n v="-4.8552"/>
    <s v="Loss"/>
    <s v="High"/>
  </r>
  <r>
    <n v="620"/>
    <s v="US-2023-126963"/>
    <x v="130"/>
    <d v="2023-06-15T00:00:00"/>
    <s v="Same Day"/>
    <s v="PS-18760"/>
    <s v="Pamela Stobb"/>
    <x v="0"/>
    <s v="United States"/>
    <s v="El Paso"/>
    <s v="Texas"/>
    <n v="79907"/>
    <x v="0"/>
    <s v="OFF-PA-10001952"/>
    <x v="0"/>
    <x v="0"/>
    <s v="Xerox 1902"/>
    <n v="36.544000000000004"/>
    <n v="2"/>
    <n v="0.2"/>
    <n v="11.876799999999998"/>
    <x v="0"/>
    <x v="5"/>
    <n v="5.9383999999999988"/>
    <s v="Profit"/>
    <s v="Low"/>
  </r>
  <r>
    <n v="621"/>
    <s v="US-2023-136644"/>
    <x v="131"/>
    <d v="2023-06-22T00:00:00"/>
    <s v="Standard Class"/>
    <s v="SC-20575"/>
    <s v="Sonia Cooley"/>
    <x v="0"/>
    <s v="United States"/>
    <s v="Mishawaka"/>
    <s v="Indiana"/>
    <n v="46544"/>
    <x v="0"/>
    <s v="FUR-CH-10000225"/>
    <x v="1"/>
    <x v="5"/>
    <s v="Global Geo Office Task Chair, Gray"/>
    <n v="647.84"/>
    <n v="8"/>
    <n v="0"/>
    <n v="32.391999999999939"/>
    <x v="0"/>
    <x v="5"/>
    <n v="4.0489999999999924"/>
    <s v="Profit"/>
    <s v="No Discount"/>
  </r>
  <r>
    <n v="622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AR-10003772"/>
    <x v="0"/>
    <x v="4"/>
    <s v="Boston 16750 Black Compact Battery Pencil Sharpener"/>
    <n v="35"/>
    <n v="4"/>
    <n v="0"/>
    <n v="10.499999999999996"/>
    <x v="0"/>
    <x v="5"/>
    <n v="2.6249999999999991"/>
    <s v="Profit"/>
    <s v="No Discount"/>
  </r>
  <r>
    <n v="623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BI-10002852"/>
    <x v="0"/>
    <x v="1"/>
    <s v="Ibico Standard Transparent Covers"/>
    <n v="39.552000000000007"/>
    <n v="3"/>
    <n v="0.2"/>
    <n v="14.337599999999998"/>
    <x v="0"/>
    <x v="5"/>
    <n v="4.7791999999999994"/>
    <s v="Profit"/>
    <s v="Low"/>
  </r>
  <r>
    <n v="624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EN-10003286"/>
    <x v="0"/>
    <x v="11"/>
    <s v="Staple envelope"/>
    <n v="41.4"/>
    <n v="5"/>
    <n v="0"/>
    <n v="19.457999999999998"/>
    <x v="0"/>
    <x v="5"/>
    <n v="3.8915999999999995"/>
    <s v="Profit"/>
    <s v="No Discount"/>
  </r>
  <r>
    <n v="625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FUR-FU-10003981"/>
    <x v="1"/>
    <x v="8"/>
    <s v="Eldon Wave Desk Accessories"/>
    <n v="6.24"/>
    <n v="3"/>
    <n v="0"/>
    <n v="2.6208000000000005"/>
    <x v="0"/>
    <x v="5"/>
    <n v="0.87360000000000015"/>
    <s v="Profit"/>
    <s v="No Discount"/>
  </r>
  <r>
    <n v="626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OFF-BI-10004995"/>
    <x v="0"/>
    <x v="1"/>
    <s v="GBC DocuBind P400 Electric Binding System"/>
    <n v="3266.3760000000002"/>
    <n v="3"/>
    <n v="0.2"/>
    <n v="1061.5721999999998"/>
    <x v="0"/>
    <x v="5"/>
    <n v="353.85739999999993"/>
    <s v="Profit"/>
    <s v="Low"/>
  </r>
  <r>
    <n v="627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OFF-FA-10000624"/>
    <x v="0"/>
    <x v="6"/>
    <s v="OIC Binder Clips"/>
    <n v="17.899999999999999"/>
    <n v="5"/>
    <n v="0"/>
    <n v="8.9499999999999993"/>
    <x v="0"/>
    <x v="5"/>
    <n v="1.7899999999999998"/>
    <s v="Profit"/>
    <s v="No Discount"/>
  </r>
  <r>
    <n v="628"/>
    <s v="US-2023-156342"/>
    <x v="132"/>
    <d v="2023-06-20T00:00:00"/>
    <s v="Second Class"/>
    <s v="JF-15415"/>
    <s v="Jennifer Ferguson"/>
    <x v="0"/>
    <s v="United States"/>
    <s v="Chicago"/>
    <s v="Illinois"/>
    <n v="60653"/>
    <x v="0"/>
    <s v="OFF-PA-10001725"/>
    <x v="0"/>
    <x v="0"/>
    <s v="Xerox 1892"/>
    <n v="62.015999999999998"/>
    <n v="2"/>
    <n v="0.2"/>
    <n v="22.480800000000002"/>
    <x v="0"/>
    <x v="5"/>
    <n v="11.240400000000001"/>
    <s v="Profit"/>
    <s v="Low"/>
  </r>
  <r>
    <n v="629"/>
    <s v="US-2023-104402"/>
    <x v="132"/>
    <d v="2023-06-23T00:00:00"/>
    <s v="Standard Class"/>
    <s v="DB-13660"/>
    <s v="Duane Benoit"/>
    <x v="0"/>
    <s v="United States"/>
    <s v="Newark"/>
    <s v="Delaware"/>
    <n v="19711"/>
    <x v="1"/>
    <s v="TEC-MA-10000423"/>
    <x v="2"/>
    <x v="15"/>
    <s v="Texas Instruments TI-34 Scientific Calculator"/>
    <n v="65.97"/>
    <n v="3"/>
    <n v="0"/>
    <n v="31.005899999999997"/>
    <x v="0"/>
    <x v="5"/>
    <n v="10.335299999999998"/>
    <s v="Profit"/>
    <s v="No Discount"/>
  </r>
  <r>
    <n v="630"/>
    <s v="US-2023-123855"/>
    <x v="133"/>
    <d v="2023-06-23T00:00:00"/>
    <s v="Standard Class"/>
    <s v="MC-18100"/>
    <s v="Mick Crebagga"/>
    <x v="0"/>
    <s v="United States"/>
    <s v="Los Angeles"/>
    <s v="California"/>
    <n v="90036"/>
    <x v="3"/>
    <s v="TEC-PH-10000215"/>
    <x v="2"/>
    <x v="7"/>
    <s v="Plantronics Cordless Phone Headset with In-line Volume - M214C"/>
    <n v="139.80000000000001"/>
    <n v="5"/>
    <n v="0.2"/>
    <n v="12.232500000000009"/>
    <x v="0"/>
    <x v="5"/>
    <n v="2.4465000000000017"/>
    <s v="Profit"/>
    <s v="Low"/>
  </r>
  <r>
    <n v="631"/>
    <s v="CA-2023-184712"/>
    <x v="133"/>
    <d v="2023-06-20T00:00:00"/>
    <s v="Second Class"/>
    <s v="NC-19470"/>
    <s v="Neil Cohen"/>
    <x v="1"/>
    <s v="Canada"/>
    <s v="Halifax"/>
    <s v="Nova Scotia"/>
    <s v="B3H"/>
    <x v="1"/>
    <s v="OFF-PA-10000167"/>
    <x v="0"/>
    <x v="0"/>
    <s v="Xerox 1925"/>
    <n v="74.352000000000004"/>
    <n v="3"/>
    <n v="0.2"/>
    <n v="23.234999999999992"/>
    <x v="0"/>
    <x v="5"/>
    <n v="7.7449999999999974"/>
    <s v="Profit"/>
    <s v="Low"/>
  </r>
  <r>
    <n v="632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FUR-BO-10001608"/>
    <x v="1"/>
    <x v="10"/>
    <s v="Hon Metal Bookcases, Black"/>
    <n v="193.06559999999999"/>
    <n v="4"/>
    <n v="0.32"/>
    <n v="-19.874399999999994"/>
    <x v="0"/>
    <x v="5"/>
    <n v="-4.9685999999999986"/>
    <s v="Loss"/>
    <s v="Medium"/>
  </r>
  <r>
    <n v="633"/>
    <s v="US-2023-112949"/>
    <x v="134"/>
    <d v="2023-06-27T00:00:00"/>
    <s v="Standard Class"/>
    <s v="Co-12640"/>
    <s v="Corey-Lock"/>
    <x v="0"/>
    <s v="United States"/>
    <s v="Lawton"/>
    <s v="Oklahoma"/>
    <n v="73505"/>
    <x v="0"/>
    <s v="OFF-AP-10001005"/>
    <x v="0"/>
    <x v="12"/>
    <s v="Honeywell Quietcare HEPA Air Cleaner"/>
    <n v="471.90000000000003"/>
    <n v="6"/>
    <n v="0"/>
    <n v="155.72699999999998"/>
    <x v="0"/>
    <x v="5"/>
    <n v="25.954499999999996"/>
    <s v="Profit"/>
    <s v="No Discount"/>
  </r>
  <r>
    <n v="634"/>
    <s v="US-2023-112949"/>
    <x v="134"/>
    <d v="2023-06-27T00:00:00"/>
    <s v="Standard Class"/>
    <s v="Co-12640"/>
    <s v="Corey-Lock"/>
    <x v="0"/>
    <s v="United States"/>
    <s v="Lawton"/>
    <s v="Oklahoma"/>
    <n v="73505"/>
    <x v="0"/>
    <s v="OFF-AR-10003469"/>
    <x v="0"/>
    <x v="4"/>
    <s v="Nontoxic Chalk"/>
    <n v="3.52"/>
    <n v="2"/>
    <n v="0"/>
    <n v="1.6896"/>
    <x v="0"/>
    <x v="5"/>
    <n v="0.8448"/>
    <s v="Profit"/>
    <s v="No Discount"/>
  </r>
  <r>
    <n v="635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BI-10000756"/>
    <x v="0"/>
    <x v="1"/>
    <s v="Storex DuraTech Recycled Plastic Frosted Binders"/>
    <n v="3.3919999999999995"/>
    <n v="4"/>
    <n v="0.8"/>
    <n v="-5.088000000000001"/>
    <x v="0"/>
    <x v="5"/>
    <n v="-1.2720000000000002"/>
    <s v="Loss"/>
    <s v="High"/>
  </r>
  <r>
    <n v="636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PA-10000587"/>
    <x v="0"/>
    <x v="0"/>
    <s v="Array Parchment Paper, Assorted Colors"/>
    <n v="11.648000000000001"/>
    <n v="2"/>
    <n v="0.2"/>
    <n v="4.0768000000000004"/>
    <x v="0"/>
    <x v="5"/>
    <n v="2.0384000000000002"/>
    <s v="Profit"/>
    <s v="Low"/>
  </r>
  <r>
    <n v="637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PA-10001166"/>
    <x v="0"/>
    <x v="0"/>
    <s v="Xerox 2"/>
    <n v="15.552000000000003"/>
    <n v="3"/>
    <n v="0.2"/>
    <n v="5.4432"/>
    <x v="0"/>
    <x v="5"/>
    <n v="1.8144"/>
    <s v="Profit"/>
    <s v="Low"/>
  </r>
  <r>
    <n v="638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ST-10004123"/>
    <x v="0"/>
    <x v="3"/>
    <s v="Safco Industrial Wire Shelving System"/>
    <n v="509.48800000000006"/>
    <n v="7"/>
    <n v="0.2"/>
    <n v="-127.37200000000001"/>
    <x v="0"/>
    <x v="5"/>
    <n v="-18.196000000000002"/>
    <s v="Loss"/>
    <s v="Low"/>
  </r>
  <r>
    <n v="639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TEC-MA-10001972"/>
    <x v="2"/>
    <x v="15"/>
    <s v="Okidata C331dn Printer"/>
    <n v="418.8"/>
    <n v="2"/>
    <n v="0.4"/>
    <n v="-97.71999999999997"/>
    <x v="0"/>
    <x v="5"/>
    <n v="-48.859999999999985"/>
    <s v="Loss"/>
    <s v="Medium"/>
  </r>
  <r>
    <n v="640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TEC-PH-10000369"/>
    <x v="2"/>
    <x v="7"/>
    <s v="HTC One Mini"/>
    <n v="201.584"/>
    <n v="2"/>
    <n v="0.2"/>
    <n v="20.158400000000015"/>
    <x v="0"/>
    <x v="5"/>
    <n v="10.079200000000007"/>
    <s v="Profit"/>
    <s v="Low"/>
  </r>
  <r>
    <n v="641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FUR-FU-10000550"/>
    <x v="1"/>
    <x v="8"/>
    <s v="Stacking Trays by OIC"/>
    <n v="3.9840000000000004"/>
    <n v="1"/>
    <n v="0.2"/>
    <n v="0.64739999999999964"/>
    <x v="0"/>
    <x v="5"/>
    <n v="0.64739999999999964"/>
    <s v="Profit"/>
    <s v="Low"/>
  </r>
  <r>
    <n v="642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FUR-FU-10004071"/>
    <x v="1"/>
    <x v="8"/>
    <s v="Luxo Professional Magnifying Clamp-On Fluorescent Lamps"/>
    <n v="104.01"/>
    <n v="1"/>
    <n v="0"/>
    <n v="14.561400000000006"/>
    <x v="0"/>
    <x v="5"/>
    <n v="14.561400000000006"/>
    <s v="Profit"/>
    <s v="No Discount"/>
  </r>
  <r>
    <n v="643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OFF-AP-10001303"/>
    <x v="0"/>
    <x v="12"/>
    <s v="Holmes Cool Mist Humidifier for the Whole House with 8-Gallon Output per Day, Extended Life Filter"/>
    <n v="59.699999999999996"/>
    <n v="3"/>
    <n v="0"/>
    <n v="26.864999999999995"/>
    <x v="0"/>
    <x v="5"/>
    <n v="8.9549999999999983"/>
    <s v="Profit"/>
    <s v="No Discount"/>
  </r>
  <r>
    <n v="644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AP-10003860"/>
    <x v="0"/>
    <x v="12"/>
    <s v="Fellowes Advanced 8 Outlet Surge Suppressor with Phone/Fax Protection"/>
    <n v="44.416000000000004"/>
    <n v="2"/>
    <n v="0.2"/>
    <n v="3.8864000000000001"/>
    <x v="0"/>
    <x v="5"/>
    <n v="1.9432"/>
    <s v="Profit"/>
    <s v="Low"/>
  </r>
  <r>
    <n v="645"/>
    <s v="US-2023-128146"/>
    <x v="135"/>
    <d v="2023-06-25T00:00:00"/>
    <s v="Standard Class"/>
    <s v="DB-13060"/>
    <s v="Dave Brooks"/>
    <x v="0"/>
    <s v="United States"/>
    <s v="Lakewood"/>
    <s v="New Jersey"/>
    <n v="8701"/>
    <x v="1"/>
    <s v="OFF-AR-10001919"/>
    <x v="0"/>
    <x v="4"/>
    <s v="OIC #2 Pencils, Medium Soft"/>
    <n v="3.76"/>
    <n v="2"/>
    <n v="0"/>
    <n v="1.0903999999999998"/>
    <x v="0"/>
    <x v="5"/>
    <n v="0.54519999999999991"/>
    <s v="Profit"/>
    <s v="No Discount"/>
  </r>
  <r>
    <n v="646"/>
    <s v="US-2023-141278"/>
    <x v="135"/>
    <d v="2023-06-24T00:00:00"/>
    <s v="First Class"/>
    <s v="RM-19375"/>
    <s v="Raymond Messe"/>
    <x v="0"/>
    <s v="United States"/>
    <s v="Meriden"/>
    <s v="Connecticut"/>
    <n v="6450"/>
    <x v="1"/>
    <s v="OFF-AR-10003056"/>
    <x v="0"/>
    <x v="4"/>
    <s v="Newell 341"/>
    <n v="21.400000000000002"/>
    <n v="5"/>
    <n v="0"/>
    <n v="6.2059999999999977"/>
    <x v="0"/>
    <x v="5"/>
    <n v="1.2411999999999996"/>
    <s v="Profit"/>
    <s v="No Discount"/>
  </r>
  <r>
    <n v="647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BI-10000069"/>
    <x v="0"/>
    <x v="1"/>
    <s v="GBC Prepunched Paper, 19-Hole, for Binding Systems, 24-lb"/>
    <n v="9.006000000000002"/>
    <n v="2"/>
    <n v="0.7"/>
    <n v="-7.2048000000000023"/>
    <x v="0"/>
    <x v="5"/>
    <n v="-3.6024000000000012"/>
    <s v="Loss"/>
    <s v="High"/>
  </r>
  <r>
    <n v="648"/>
    <s v="US-2023-160780"/>
    <x v="135"/>
    <d v="2023-06-21T00:00:00"/>
    <s v="Same Day"/>
    <s v="SV-20785"/>
    <s v="Stewart Visinsky"/>
    <x v="0"/>
    <s v="United States"/>
    <s v="Pueblo"/>
    <s v="Colorado"/>
    <n v="81001"/>
    <x v="3"/>
    <s v="OFF-BI-10001116"/>
    <x v="0"/>
    <x v="1"/>
    <s v="Wilson Jones 1&quot; Hanging DublLock Ring Binders"/>
    <n v="11.088000000000003"/>
    <n v="7"/>
    <n v="0.7"/>
    <n v="-8.1311999999999998"/>
    <x v="0"/>
    <x v="5"/>
    <n v="-1.1616"/>
    <s v="Loss"/>
    <s v="High"/>
  </r>
  <r>
    <n v="649"/>
    <s v="US-2023-160780"/>
    <x v="135"/>
    <d v="2023-06-21T00:00:00"/>
    <s v="Same Day"/>
    <s v="SV-20785"/>
    <s v="Stewart Visinsky"/>
    <x v="0"/>
    <s v="United States"/>
    <s v="Pueblo"/>
    <s v="Colorado"/>
    <n v="81001"/>
    <x v="3"/>
    <s v="OFF-BI-10002931"/>
    <x v="0"/>
    <x v="1"/>
    <s v="Avery Trapezoid Extra Heavy Duty 4&quot; Binders"/>
    <n v="25.164000000000001"/>
    <n v="2"/>
    <n v="0.7"/>
    <n v="-16.775999999999996"/>
    <x v="0"/>
    <x v="5"/>
    <n v="-8.3879999999999981"/>
    <s v="Loss"/>
    <s v="High"/>
  </r>
  <r>
    <n v="650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EN-10001539"/>
    <x v="0"/>
    <x v="11"/>
    <s v="Staple envelope"/>
    <n v="24.896000000000001"/>
    <n v="4"/>
    <n v="0.2"/>
    <n v="8.4024000000000001"/>
    <x v="0"/>
    <x v="5"/>
    <n v="2.1006"/>
    <s v="Profit"/>
    <s v="Low"/>
  </r>
  <r>
    <n v="651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OFF-PA-10003883"/>
    <x v="0"/>
    <x v="0"/>
    <s v="Message Book, Phone, Wirebound Standard Line Memo, 2 3/4&quot; X 5&quot;"/>
    <n v="19.649999999999999"/>
    <n v="3"/>
    <n v="0"/>
    <n v="9.0389999999999997"/>
    <x v="0"/>
    <x v="5"/>
    <n v="3.0129999999999999"/>
    <s v="Profit"/>
    <s v="No Discount"/>
  </r>
  <r>
    <n v="652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OFF-ST-10002444"/>
    <x v="0"/>
    <x v="3"/>
    <s v="Recycled Eldon Regeneration Jumbo File"/>
    <n v="36.839999999999996"/>
    <n v="3"/>
    <n v="0"/>
    <n v="10.315199999999999"/>
    <x v="0"/>
    <x v="5"/>
    <n v="3.4383999999999997"/>
    <s v="Profit"/>
    <s v="No Discount"/>
  </r>
  <r>
    <n v="653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TEC-AC-10003628"/>
    <x v="2"/>
    <x v="9"/>
    <s v="Logitech 910-002974 M325 Wireless Mouse for Web Scrolling"/>
    <n v="95.968000000000004"/>
    <n v="4"/>
    <n v="0.2"/>
    <n v="28.790400000000009"/>
    <x v="0"/>
    <x v="5"/>
    <n v="7.1976000000000022"/>
    <s v="Profit"/>
    <s v="Low"/>
  </r>
  <r>
    <n v="654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TEC-MA-10004521"/>
    <x v="2"/>
    <x v="15"/>
    <s v="Epson Perfection V600 Photo Scanner"/>
    <n v="206.99100000000004"/>
    <n v="3"/>
    <n v="0.7"/>
    <n v="-172.49250000000001"/>
    <x v="0"/>
    <x v="5"/>
    <n v="-57.497500000000002"/>
    <s v="Loss"/>
    <s v="High"/>
  </r>
  <r>
    <n v="655"/>
    <s v="US-2023-141796"/>
    <x v="135"/>
    <d v="2023-06-21T00:00:00"/>
    <s v="Same Day"/>
    <s v="JG-15160"/>
    <s v="James Galang"/>
    <x v="0"/>
    <s v="United States"/>
    <s v="Long Beach"/>
    <s v="New York"/>
    <n v="11561"/>
    <x v="1"/>
    <s v="TEC-PH-10001578"/>
    <x v="2"/>
    <x v="7"/>
    <s v="Polycom SoundStation2 EX Conference phone"/>
    <n v="1214.8499999999999"/>
    <n v="3"/>
    <n v="0"/>
    <n v="352.30649999999997"/>
    <x v="0"/>
    <x v="5"/>
    <n v="117.43549999999999"/>
    <s v="Profit"/>
    <s v="No Discount"/>
  </r>
  <r>
    <n v="656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TEC-PH-10002033"/>
    <x v="2"/>
    <x v="7"/>
    <s v="Konftel 250 Conference phone - Charcoal black"/>
    <n v="284.82"/>
    <n v="1"/>
    <n v="0"/>
    <n v="74.053200000000004"/>
    <x v="0"/>
    <x v="5"/>
    <n v="74.053200000000004"/>
    <s v="Profit"/>
    <s v="No Discount"/>
  </r>
  <r>
    <n v="657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TEC-PH-10003963"/>
    <x v="2"/>
    <x v="7"/>
    <s v="GE 2-Jack Phone Line Splitter"/>
    <n v="617.97"/>
    <n v="3"/>
    <n v="0"/>
    <n v="160.6722"/>
    <x v="0"/>
    <x v="5"/>
    <n v="53.557400000000001"/>
    <s v="Profit"/>
    <s v="No Discount"/>
  </r>
  <r>
    <n v="658"/>
    <s v="US-2023-128146"/>
    <x v="135"/>
    <d v="2023-06-25T00:00:00"/>
    <s v="Standard Class"/>
    <s v="DB-13060"/>
    <s v="Dave Brooks"/>
    <x v="0"/>
    <s v="United States"/>
    <s v="Lakewood"/>
    <s v="New Jersey"/>
    <n v="8701"/>
    <x v="1"/>
    <s v="TEC-PH-10004539"/>
    <x v="2"/>
    <x v="7"/>
    <s v="Wireless Extenders zBoost YX545 SOHO Signal Booster"/>
    <n v="1322.93"/>
    <n v="7"/>
    <n v="0"/>
    <n v="357.19110000000001"/>
    <x v="0"/>
    <x v="5"/>
    <n v="51.027300000000004"/>
    <s v="Profit"/>
    <s v="No Discount"/>
  </r>
  <r>
    <n v="659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FUR-CH-10000454"/>
    <x v="1"/>
    <x v="5"/>
    <s v="Hon Deluxe Fabric Upholstered Stacking Chairs, Rounded Back"/>
    <n v="853.92999999999984"/>
    <n v="5"/>
    <n v="0.3"/>
    <n v="0"/>
    <x v="0"/>
    <x v="5"/>
    <n v="0"/>
    <s v="Break-even"/>
    <s v="Medium"/>
  </r>
  <r>
    <n v="660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FUR-CH-10004698"/>
    <x v="1"/>
    <x v="5"/>
    <s v="Padded Folding Chairs, Black, 4/Carton"/>
    <n v="170.05799999999999"/>
    <n v="3"/>
    <n v="0.3"/>
    <n v="-4.858799999999988"/>
    <x v="0"/>
    <x v="5"/>
    <n v="-1.6195999999999959"/>
    <s v="Loss"/>
    <s v="Medium"/>
  </r>
  <r>
    <n v="661"/>
    <s v="US-2023-133389"/>
    <x v="136"/>
    <d v="2023-06-22T00:00:00"/>
    <s v="Same Day"/>
    <s v="TB-21280"/>
    <s v="Toby Braunhardt"/>
    <x v="0"/>
    <s v="United States"/>
    <s v="Phoenix"/>
    <s v="Arizona"/>
    <n v="85023"/>
    <x v="3"/>
    <s v="OFF-BI-10001553"/>
    <x v="0"/>
    <x v="1"/>
    <s v="SpineVue Locking Slant-D Ring Binders by Cardinal"/>
    <n v="8.2260000000000009"/>
    <n v="3"/>
    <n v="0.7"/>
    <n v="-6.0323999999999991"/>
    <x v="0"/>
    <x v="5"/>
    <n v="-2.0107999999999997"/>
    <s v="Loss"/>
    <s v="High"/>
  </r>
  <r>
    <n v="662"/>
    <s v="US-2023-124646"/>
    <x v="136"/>
    <d v="2023-06-24T00:00:00"/>
    <s v="First Class"/>
    <s v="DV-13465"/>
    <s v="Dianna Vittorini"/>
    <x v="0"/>
    <s v="United States"/>
    <s v="Minneapolis"/>
    <s v="Minnesota"/>
    <n v="55407"/>
    <x v="0"/>
    <s v="OFF-ST-10001097"/>
    <x v="0"/>
    <x v="3"/>
    <s v="Office Impressions Heavy Duty Welded Shelving &amp; Multimedia Storage Drawers"/>
    <n v="501.81000000000006"/>
    <n v="3"/>
    <n v="0"/>
    <n v="0"/>
    <x v="0"/>
    <x v="5"/>
    <n v="0"/>
    <s v="Break-even"/>
    <s v="No Discount"/>
  </r>
  <r>
    <n v="663"/>
    <s v="US-2023-124646"/>
    <x v="136"/>
    <d v="2023-06-24T00:00:00"/>
    <s v="First Class"/>
    <s v="DV-13465"/>
    <s v="Dianna Vittorini"/>
    <x v="0"/>
    <s v="United States"/>
    <s v="Minneapolis"/>
    <s v="Minnesota"/>
    <n v="55407"/>
    <x v="0"/>
    <s v="OFF-ST-10001469"/>
    <x v="0"/>
    <x v="3"/>
    <s v="Fellowes Bankers Box Recycled Super Stor/Drawer"/>
    <n v="161.94"/>
    <n v="3"/>
    <n v="0"/>
    <n v="9.716399999999993"/>
    <x v="0"/>
    <x v="5"/>
    <n v="3.2387999999999977"/>
    <s v="Profit"/>
    <s v="No Discount"/>
  </r>
  <r>
    <n v="664"/>
    <s v="US-2023-142048"/>
    <x v="136"/>
    <d v="2023-06-25T00:00:00"/>
    <s v="First Class"/>
    <s v="JE-15745"/>
    <s v="Joel Eaton"/>
    <x v="0"/>
    <s v="United States"/>
    <s v="Louisville"/>
    <s v="Colorado"/>
    <n v="80027"/>
    <x v="3"/>
    <s v="TEC-AC-10004114"/>
    <x v="2"/>
    <x v="9"/>
    <s v="KeyTronic 6101 Series - Keyboard - Black"/>
    <n v="196.75200000000001"/>
    <n v="6"/>
    <n v="0.2"/>
    <n v="56.566200000000009"/>
    <x v="0"/>
    <x v="5"/>
    <n v="9.4277000000000015"/>
    <s v="Profit"/>
    <s v="Low"/>
  </r>
  <r>
    <n v="665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TEC-PH-10004093"/>
    <x v="2"/>
    <x v="7"/>
    <s v="Panasonic Kx-TS550"/>
    <n v="82.782000000000011"/>
    <n v="3"/>
    <n v="0.4"/>
    <n v="-15.176700000000004"/>
    <x v="0"/>
    <x v="5"/>
    <n v="-5.0589000000000013"/>
    <s v="Loss"/>
    <s v="Medium"/>
  </r>
  <r>
    <n v="666"/>
    <s v="US-2023-130358"/>
    <x v="137"/>
    <d v="2023-06-26T00:00:00"/>
    <s v="First Class"/>
    <s v="DL-13330"/>
    <s v="Denise Leinenbach"/>
    <x v="0"/>
    <s v="United States"/>
    <s v="Concord"/>
    <s v="North Carolina"/>
    <n v="28027"/>
    <x v="2"/>
    <s v="OFF-AR-10002766"/>
    <x v="0"/>
    <x v="4"/>
    <s v="Prang Drawing Pencil Set"/>
    <n v="20.015999999999998"/>
    <n v="9"/>
    <n v="0.2"/>
    <n v="1.7514000000000003"/>
    <x v="0"/>
    <x v="5"/>
    <n v="0.19460000000000002"/>
    <s v="Profit"/>
    <s v="Low"/>
  </r>
  <r>
    <n v="667"/>
    <s v="US-2023-130358"/>
    <x v="137"/>
    <d v="2023-06-26T00:00:00"/>
    <s v="First Class"/>
    <s v="DL-13330"/>
    <s v="Denise Leinenbach"/>
    <x v="0"/>
    <s v="United States"/>
    <s v="Concord"/>
    <s v="North Carolina"/>
    <n v="28027"/>
    <x v="2"/>
    <s v="OFF-SU-10002522"/>
    <x v="0"/>
    <x v="14"/>
    <s v="Acme Kleen Earth Office Shears"/>
    <n v="3.1040000000000001"/>
    <n v="1"/>
    <n v="0.2"/>
    <n v="0.34919999999999951"/>
    <x v="0"/>
    <x v="5"/>
    <n v="0.34919999999999951"/>
    <s v="Profit"/>
    <s v="Low"/>
  </r>
  <r>
    <n v="668"/>
    <s v="US-2023-126032"/>
    <x v="137"/>
    <d v="2023-06-28T00:00:00"/>
    <s v="Standard Class"/>
    <s v="BS-11665"/>
    <s v="Brian Stugart"/>
    <x v="0"/>
    <s v="United States"/>
    <s v="Philadelphia"/>
    <s v="Pennsylvania"/>
    <n v="19143"/>
    <x v="1"/>
    <s v="TEC-AC-10000158"/>
    <x v="2"/>
    <x v="9"/>
    <s v="Sony 64GB Class 10 Micro SDHC R40 Memory Card"/>
    <n v="86.376000000000005"/>
    <n v="3"/>
    <n v="0.2"/>
    <n v="1.079699999999999"/>
    <x v="0"/>
    <x v="5"/>
    <n v="0.35989999999999966"/>
    <s v="Profit"/>
    <s v="Low"/>
  </r>
  <r>
    <n v="669"/>
    <s v="US-2023-159814"/>
    <x v="138"/>
    <d v="2023-06-28T00:00:00"/>
    <s v="Standard Class"/>
    <s v="LP-17080"/>
    <s v="Liz Pelletier"/>
    <x v="0"/>
    <s v="United States"/>
    <s v="Tucson"/>
    <s v="Arizona"/>
    <n v="85705"/>
    <x v="3"/>
    <s v="FUR-FU-10001731"/>
    <x v="1"/>
    <x v="8"/>
    <s v="Acrylic Self-Standing Desk Frames"/>
    <n v="4.2720000000000002"/>
    <n v="2"/>
    <n v="0.2"/>
    <n v="0.96119999999999983"/>
    <x v="0"/>
    <x v="5"/>
    <n v="0.48059999999999992"/>
    <s v="Profit"/>
    <s v="Low"/>
  </r>
  <r>
    <n v="670"/>
    <s v="US-2023-159338"/>
    <x v="139"/>
    <d v="2023-06-28T00:00:00"/>
    <s v="First Class"/>
    <s v="NS-18640"/>
    <s v="Noel Staavos"/>
    <x v="2"/>
    <s v="United States"/>
    <s v="Los Angeles"/>
    <s v="California"/>
    <n v="90049"/>
    <x v="3"/>
    <s v="FUR-TA-10004147"/>
    <x v="1"/>
    <x v="13"/>
    <s v="Hon 4060 Series Tables"/>
    <n v="447.84"/>
    <n v="5"/>
    <n v="0.2"/>
    <n v="11.19599999999997"/>
    <x v="0"/>
    <x v="5"/>
    <n v="2.2391999999999941"/>
    <s v="Profit"/>
    <s v="Low"/>
  </r>
  <r>
    <n v="671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OFF-AR-10000475"/>
    <x v="0"/>
    <x v="4"/>
    <s v="Hunt BOSTON Vista Battery-Operated Pencil Sharpener, Black"/>
    <n v="9.3280000000000012"/>
    <n v="1"/>
    <n v="0.2"/>
    <n v="0.8162000000000007"/>
    <x v="0"/>
    <x v="5"/>
    <n v="0.8162000000000007"/>
    <s v="Profit"/>
    <s v="Low"/>
  </r>
  <r>
    <n v="672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OFF-AR-10003478"/>
    <x v="0"/>
    <x v="4"/>
    <s v="Avery Hi-Liter EverBold Pen Style Fluorescent Highlighters, 4/Pack"/>
    <n v="71.632000000000005"/>
    <n v="11"/>
    <n v="0.2"/>
    <n v="17.908000000000001"/>
    <x v="0"/>
    <x v="5"/>
    <n v="1.6280000000000001"/>
    <s v="Profit"/>
    <s v="Low"/>
  </r>
  <r>
    <n v="673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TEC-PH-10002115"/>
    <x v="2"/>
    <x v="7"/>
    <s v="Plantronics 81402"/>
    <n v="263.96000000000004"/>
    <n v="5"/>
    <n v="0.2"/>
    <n v="19.796999999999997"/>
    <x v="0"/>
    <x v="5"/>
    <n v="3.9593999999999996"/>
    <s v="Profit"/>
    <s v="Low"/>
  </r>
  <r>
    <n v="674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FUR-TA-10001039"/>
    <x v="1"/>
    <x v="13"/>
    <s v="KI Adjustable-Height Table"/>
    <n v="85.98"/>
    <n v="1"/>
    <n v="0"/>
    <n v="22.354800000000004"/>
    <x v="0"/>
    <x v="5"/>
    <n v="22.354800000000004"/>
    <s v="Profit"/>
    <s v="No Discount"/>
  </r>
  <r>
    <n v="675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OFF-ST-10004337"/>
    <x v="0"/>
    <x v="3"/>
    <s v="SAFCO Commercial Wire Shelving, 72h"/>
    <n v="306.2"/>
    <n v="5"/>
    <n v="0"/>
    <n v="0"/>
    <x v="0"/>
    <x v="5"/>
    <n v="0"/>
    <s v="Break-even"/>
    <s v="No Discount"/>
  </r>
  <r>
    <n v="676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TEC-AC-10000109"/>
    <x v="2"/>
    <x v="9"/>
    <s v="Sony Micro Vault Click 16 GB USB 2.0 Flash Drive"/>
    <n v="223.96"/>
    <n v="4"/>
    <n v="0"/>
    <n v="53.750400000000013"/>
    <x v="0"/>
    <x v="5"/>
    <n v="13.437600000000003"/>
    <s v="Profit"/>
    <s v="No Discount"/>
  </r>
  <r>
    <n v="677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FUR-CH-10001394"/>
    <x v="1"/>
    <x v="5"/>
    <s v="Global Leather Executive Chair"/>
    <n v="1228.4649999999999"/>
    <n v="5"/>
    <n v="0.3"/>
    <n v="0"/>
    <x v="0"/>
    <x v="5"/>
    <n v="0"/>
    <s v="Break-even"/>
    <s v="Medium"/>
  </r>
  <r>
    <n v="678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BI-10003094"/>
    <x v="0"/>
    <x v="1"/>
    <s v="Self-Adhesive Ring Binder Labels"/>
    <n v="3.168000000000001"/>
    <n v="3"/>
    <n v="0.7"/>
    <n v="-2.4287999999999998"/>
    <x v="0"/>
    <x v="5"/>
    <n v="-0.80959999999999999"/>
    <s v="Loss"/>
    <s v="High"/>
  </r>
  <r>
    <n v="679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BI-10004230"/>
    <x v="0"/>
    <x v="1"/>
    <s v="GBC Recycled Grain Textured Covers"/>
    <n v="31.086000000000006"/>
    <n v="3"/>
    <n v="0.7"/>
    <n v="-22.796399999999991"/>
    <x v="0"/>
    <x v="5"/>
    <n v="-7.5987999999999971"/>
    <s v="Loss"/>
    <s v="High"/>
  </r>
  <r>
    <n v="680"/>
    <s v="US-2023-156993"/>
    <x v="141"/>
    <d v="2023-07-04T00:00:00"/>
    <s v="Standard Class"/>
    <s v="RW-19630"/>
    <s v="Rob Williams"/>
    <x v="2"/>
    <s v="United States"/>
    <s v="Detroit"/>
    <s v="Michigan"/>
    <n v="48234"/>
    <x v="0"/>
    <s v="OFF-FA-10003495"/>
    <x v="0"/>
    <x v="6"/>
    <s v="Staples"/>
    <n v="6.08"/>
    <n v="1"/>
    <n v="0"/>
    <n v="3.04"/>
    <x v="0"/>
    <x v="5"/>
    <n v="3.04"/>
    <s v="Profit"/>
    <s v="No Discount"/>
  </r>
  <r>
    <n v="681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PA-10000304"/>
    <x v="0"/>
    <x v="0"/>
    <s v="Xerox 1995"/>
    <n v="41.472000000000008"/>
    <n v="8"/>
    <n v="0.2"/>
    <n v="14.5152"/>
    <x v="0"/>
    <x v="5"/>
    <n v="1.8144"/>
    <s v="Profit"/>
    <s v="Low"/>
  </r>
  <r>
    <n v="682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PA-10003395"/>
    <x v="0"/>
    <x v="0"/>
    <s v="Xerox 1941"/>
    <n v="335.52"/>
    <n v="4"/>
    <n v="0.2"/>
    <n v="117.43199999999999"/>
    <x v="0"/>
    <x v="5"/>
    <n v="29.357999999999997"/>
    <s v="Profit"/>
    <s v="Low"/>
  </r>
  <r>
    <n v="683"/>
    <s v="US-2023-165974"/>
    <x v="142"/>
    <d v="2023-07-06T00:00:00"/>
    <s v="Standard Class"/>
    <s v="DL-12865"/>
    <s v="Dan Lawera"/>
    <x v="0"/>
    <s v="United States"/>
    <s v="Cincinnati"/>
    <s v="Ohio"/>
    <n v="45231"/>
    <x v="1"/>
    <s v="OFF-AR-10003405"/>
    <x v="0"/>
    <x v="4"/>
    <s v="Dixon My First Ticonderoga Pencil, #2"/>
    <n v="32.76"/>
    <n v="7"/>
    <n v="0.2"/>
    <n v="3.6854999999999958"/>
    <x v="0"/>
    <x v="5"/>
    <n v="0.52649999999999941"/>
    <s v="Profit"/>
    <s v="Low"/>
  </r>
  <r>
    <n v="684"/>
    <s v="US-2023-111773"/>
    <x v="142"/>
    <d v="2023-07-03T00:00:00"/>
    <s v="Standard Class"/>
    <s v="JK-15625"/>
    <s v="Jim Karlsson"/>
    <x v="0"/>
    <s v="United States"/>
    <s v="New York City"/>
    <s v="New York"/>
    <n v="10024"/>
    <x v="1"/>
    <s v="OFF-BI-10000174"/>
    <x v="0"/>
    <x v="1"/>
    <s v="Wilson Jones Clip &amp; Carry Folder Binder Tool for Ring Binders, Clear"/>
    <n v="13.919999999999998"/>
    <n v="3"/>
    <n v="0.2"/>
    <n v="4.8720000000000008"/>
    <x v="0"/>
    <x v="5"/>
    <n v="1.6240000000000003"/>
    <s v="Profit"/>
    <s v="Low"/>
  </r>
  <r>
    <n v="685"/>
    <s v="US-2023-121566"/>
    <x v="143"/>
    <d v="2023-07-06T00:00:00"/>
    <s v="Standard Class"/>
    <s v="CS-11860"/>
    <s v="Cari Schnelling"/>
    <x v="0"/>
    <s v="United States"/>
    <s v="New York City"/>
    <s v="New York"/>
    <n v="10011"/>
    <x v="1"/>
    <s v="OFF-AR-10001026"/>
    <x v="0"/>
    <x v="4"/>
    <s v="Sanford Uni-Blazer View Highlighters, Chisel Tip, Yellow"/>
    <n v="6.6000000000000005"/>
    <n v="3"/>
    <n v="0"/>
    <n v="2.9040000000000008"/>
    <x v="0"/>
    <x v="5"/>
    <n v="0.9680000000000003"/>
    <s v="Profit"/>
    <s v="No Discount"/>
  </r>
  <r>
    <n v="686"/>
    <s v="US-2023-109218"/>
    <x v="143"/>
    <d v="2023-07-03T00:00:00"/>
    <s v="Second Class"/>
    <s v="AR-10825"/>
    <s v="Anthony Rawles"/>
    <x v="2"/>
    <s v="United States"/>
    <s v="Los Angeles"/>
    <s v="California"/>
    <n v="90004"/>
    <x v="3"/>
    <s v="OFF-AR-10001374"/>
    <x v="0"/>
    <x v="4"/>
    <s v="BIC Brite Liner Highlighters, Chisel Tip"/>
    <n v="32.400000000000006"/>
    <n v="5"/>
    <n v="0"/>
    <n v="10.367999999999999"/>
    <x v="0"/>
    <x v="5"/>
    <n v="2.0735999999999999"/>
    <s v="Profit"/>
    <s v="No Discount"/>
  </r>
  <r>
    <n v="687"/>
    <s v="US-2023-123064"/>
    <x v="143"/>
    <d v="2023-07-02T00:00:00"/>
    <s v="First Class"/>
    <s v="RA-19915"/>
    <s v="Russell Applegate"/>
    <x v="0"/>
    <s v="United States"/>
    <s v="Chicago"/>
    <s v="Illinois"/>
    <n v="60653"/>
    <x v="0"/>
    <s v="OFF-AR-10004582"/>
    <x v="0"/>
    <x v="4"/>
    <s v="BIC Brite Liner Grip Highlighters"/>
    <n v="5.2480000000000002"/>
    <n v="4"/>
    <n v="0.2"/>
    <n v="1.6399999999999995"/>
    <x v="0"/>
    <x v="5"/>
    <n v="0.40999999999999986"/>
    <s v="Profit"/>
    <s v="Low"/>
  </r>
  <r>
    <n v="688"/>
    <s v="US-2023-146640"/>
    <x v="143"/>
    <d v="2023-07-05T00:00:00"/>
    <s v="Standard Class"/>
    <s v="HA-14905"/>
    <s v="Helen Abelman"/>
    <x v="0"/>
    <s v="United States"/>
    <s v="New York City"/>
    <s v="New York"/>
    <n v="10024"/>
    <x v="1"/>
    <s v="OFF-BI-10002867"/>
    <x v="0"/>
    <x v="1"/>
    <s v="GBC Recycled Regency Composition Covers"/>
    <n v="334.76800000000003"/>
    <n v="7"/>
    <n v="0.2"/>
    <n v="108.79959999999997"/>
    <x v="0"/>
    <x v="5"/>
    <n v="15.542799999999996"/>
    <s v="Profit"/>
    <s v="Low"/>
  </r>
  <r>
    <n v="689"/>
    <s v="US-2023-121566"/>
    <x v="143"/>
    <d v="2023-07-06T00:00:00"/>
    <s v="Standard Class"/>
    <s v="CS-11860"/>
    <s v="Cari Schnelling"/>
    <x v="0"/>
    <s v="United States"/>
    <s v="New York City"/>
    <s v="New York"/>
    <n v="10011"/>
    <x v="1"/>
    <s v="OFF-BI-10004528"/>
    <x v="0"/>
    <x v="1"/>
    <s v="Cardinal Poly Pocket Divider Pockets for Ring Binders"/>
    <n v="2.6880000000000002"/>
    <n v="1"/>
    <n v="0.2"/>
    <n v="0.83999999999999975"/>
    <x v="0"/>
    <x v="5"/>
    <n v="0.83999999999999975"/>
    <s v="Profit"/>
    <s v="Low"/>
  </r>
  <r>
    <n v="690"/>
    <s v="US-2023-116757"/>
    <x v="143"/>
    <d v="2023-07-04T00:00:00"/>
    <s v="Standard Class"/>
    <s v="MS-17980"/>
    <s v="Michael Stewart"/>
    <x v="2"/>
    <s v="United States"/>
    <s v="Houston"/>
    <s v="Texas"/>
    <n v="77095"/>
    <x v="0"/>
    <s v="OFF-FA-10002815"/>
    <x v="0"/>
    <x v="6"/>
    <s v="Staples"/>
    <n v="21.312000000000005"/>
    <n v="6"/>
    <n v="0.2"/>
    <n v="7.1928000000000001"/>
    <x v="0"/>
    <x v="5"/>
    <n v="1.1988000000000001"/>
    <s v="Profit"/>
    <s v="Low"/>
  </r>
  <r>
    <n v="691"/>
    <s v="US-2023-152254"/>
    <x v="143"/>
    <d v="2023-06-30T00:00:00"/>
    <s v="Same Day"/>
    <s v="BD-11620"/>
    <s v="Brian DeCherney"/>
    <x v="0"/>
    <s v="United States"/>
    <s v="Wilmington"/>
    <s v="North Carolina"/>
    <n v="28403"/>
    <x v="2"/>
    <s v="OFF-PA-10001144"/>
    <x v="0"/>
    <x v="0"/>
    <s v="Xerox 1913"/>
    <n v="310.68799999999999"/>
    <n v="7"/>
    <n v="0.2"/>
    <n v="108.74079999999998"/>
    <x v="0"/>
    <x v="5"/>
    <n v="15.534399999999996"/>
    <s v="Profit"/>
    <s v="Low"/>
  </r>
  <r>
    <n v="692"/>
    <s v="US-2023-116757"/>
    <x v="143"/>
    <d v="2023-07-04T00:00:00"/>
    <s v="Standard Class"/>
    <s v="MS-17980"/>
    <s v="Michael Stewart"/>
    <x v="2"/>
    <s v="United States"/>
    <s v="Houston"/>
    <s v="Texas"/>
    <n v="77095"/>
    <x v="0"/>
    <s v="OFF-PA-10002005"/>
    <x v="0"/>
    <x v="0"/>
    <s v="Xerox 225"/>
    <n v="25.920000000000005"/>
    <n v="5"/>
    <n v="0.2"/>
    <n v="9.0719999999999992"/>
    <x v="0"/>
    <x v="5"/>
    <n v="1.8143999999999998"/>
    <s v="Profit"/>
    <s v="Low"/>
  </r>
  <r>
    <n v="693"/>
    <s v="US-2023-160773"/>
    <x v="144"/>
    <d v="2023-07-05T00:00:00"/>
    <s v="Standard Class"/>
    <s v="LW-16825"/>
    <s v="Laurel Workman"/>
    <x v="2"/>
    <s v="United States"/>
    <s v="Deltona"/>
    <s v="Florida"/>
    <n v="32725"/>
    <x v="2"/>
    <s v="OFF-BI-10000546"/>
    <x v="0"/>
    <x v="1"/>
    <s v="Avery Durable Binders"/>
    <n v="5.1840000000000011"/>
    <n v="6"/>
    <n v="0.7"/>
    <n v="-3.6288"/>
    <x v="0"/>
    <x v="6"/>
    <n v="-0.6048"/>
    <s v="Loss"/>
    <s v="High"/>
  </r>
  <r>
    <n v="694"/>
    <s v="US-2023-153150"/>
    <x v="144"/>
    <d v="2023-07-06T00:00:00"/>
    <s v="Second Class"/>
    <s v="Dl-13600"/>
    <s v="Dorris liebe"/>
    <x v="2"/>
    <s v="United States"/>
    <s v="Seattle"/>
    <s v="Washington"/>
    <n v="98105"/>
    <x v="3"/>
    <s v="OFF-BI-10003355"/>
    <x v="0"/>
    <x v="1"/>
    <s v="Cardinal Holdit Business Card Pockets"/>
    <n v="19.920000000000002"/>
    <n v="5"/>
    <n v="0.2"/>
    <n v="6.9719999999999995"/>
    <x v="0"/>
    <x v="6"/>
    <n v="1.3943999999999999"/>
    <s v="Profit"/>
    <s v="Low"/>
  </r>
  <r>
    <n v="695"/>
    <s v="US-2023-160773"/>
    <x v="144"/>
    <d v="2023-07-05T00:00:00"/>
    <s v="Standard Class"/>
    <s v="LW-16825"/>
    <s v="Laurel Workman"/>
    <x v="2"/>
    <s v="United States"/>
    <s v="Deltona"/>
    <s v="Florida"/>
    <n v="32725"/>
    <x v="2"/>
    <s v="TEC-PH-10004586"/>
    <x v="2"/>
    <x v="7"/>
    <s v="Wilson SignalBoost 841262 DB PRO Amplifier Kit"/>
    <n v="575.91999999999996"/>
    <n v="2"/>
    <n v="0.2"/>
    <n v="71.989999999999981"/>
    <x v="0"/>
    <x v="6"/>
    <n v="35.99499999999999"/>
    <s v="Profit"/>
    <s v="Low"/>
  </r>
  <r>
    <n v="696"/>
    <s v="US-2023-107594"/>
    <x v="145"/>
    <d v="2023-07-06T00:00:00"/>
    <s v="Standard Class"/>
    <s v="EH-13945"/>
    <s v="Eric Hoffmann"/>
    <x v="0"/>
    <s v="United States"/>
    <s v="Plainfield"/>
    <s v="New Jersey"/>
    <n v="7060"/>
    <x v="1"/>
    <s v="OFF-AR-10000716"/>
    <x v="0"/>
    <x v="4"/>
    <s v="DIXON Ticonderoga Erasable Checking Pencils"/>
    <n v="5.58"/>
    <n v="1"/>
    <n v="0"/>
    <n v="2.1762000000000001"/>
    <x v="0"/>
    <x v="6"/>
    <n v="2.1762000000000001"/>
    <s v="Profit"/>
    <s v="No Discount"/>
  </r>
  <r>
    <n v="697"/>
    <s v="US-2023-107594"/>
    <x v="145"/>
    <d v="2023-07-06T00:00:00"/>
    <s v="Standard Class"/>
    <s v="EH-13945"/>
    <s v="Eric Hoffmann"/>
    <x v="0"/>
    <s v="United States"/>
    <s v="Plainfield"/>
    <s v="New Jersey"/>
    <n v="7060"/>
    <x v="1"/>
    <s v="TEC-PH-10002923"/>
    <x v="2"/>
    <x v="7"/>
    <s v="Logitech B530 USB Headset - headset - Full size, Binaural"/>
    <n v="73.98"/>
    <n v="2"/>
    <n v="0"/>
    <n v="19.974600000000002"/>
    <x v="0"/>
    <x v="6"/>
    <n v="9.9873000000000012"/>
    <s v="Profit"/>
    <s v="No Discount"/>
  </r>
  <r>
    <n v="698"/>
    <s v="US-2023-120096"/>
    <x v="146"/>
    <d v="2023-07-07T00:00:00"/>
    <s v="First Class"/>
    <s v="KE-16420"/>
    <s v="Katrina Edelman"/>
    <x v="2"/>
    <s v="United States"/>
    <s v="Aurora"/>
    <s v="Colorado"/>
    <n v="80013"/>
    <x v="3"/>
    <s v="OFF-AP-10000692"/>
    <x v="0"/>
    <x v="12"/>
    <s v="Fellowes Mighty 8 Compact Surge Protector"/>
    <n v="32.432000000000002"/>
    <n v="2"/>
    <n v="0.2"/>
    <n v="3.2432000000000016"/>
    <x v="0"/>
    <x v="6"/>
    <n v="1.6216000000000008"/>
    <s v="Profit"/>
    <s v="Low"/>
  </r>
  <r>
    <n v="699"/>
    <s v="US-2023-138709"/>
    <x v="146"/>
    <d v="2023-07-09T00:00:00"/>
    <s v="Standard Class"/>
    <s v="MS-17770"/>
    <s v="Maxwell Schwartz"/>
    <x v="0"/>
    <s v="United States"/>
    <s v="Richmond"/>
    <s v="Virginia"/>
    <n v="23223"/>
    <x v="2"/>
    <s v="OFF-BI-10000145"/>
    <x v="0"/>
    <x v="1"/>
    <s v="Zipper Ring Binder Pockets"/>
    <n v="15.600000000000001"/>
    <n v="5"/>
    <n v="0"/>
    <n v="7.6440000000000001"/>
    <x v="0"/>
    <x v="6"/>
    <n v="1.5287999999999999"/>
    <s v="Profit"/>
    <s v="No Discount"/>
  </r>
  <r>
    <n v="700"/>
    <s v="US-2023-120096"/>
    <x v="146"/>
    <d v="2023-07-07T00:00:00"/>
    <s v="First Class"/>
    <s v="KE-16420"/>
    <s v="Katrina Edelman"/>
    <x v="2"/>
    <s v="United States"/>
    <s v="Aurora"/>
    <s v="Colorado"/>
    <n v="80013"/>
    <x v="3"/>
    <s v="OFF-PA-10001977"/>
    <x v="0"/>
    <x v="0"/>
    <s v="Xerox 194"/>
    <n v="177.536"/>
    <n v="4"/>
    <n v="0.2"/>
    <n v="62.137599999999992"/>
    <x v="0"/>
    <x v="6"/>
    <n v="15.534399999999998"/>
    <s v="Profit"/>
    <s v="Low"/>
  </r>
  <r>
    <n v="701"/>
    <s v="US-2023-138709"/>
    <x v="146"/>
    <d v="2023-07-09T00:00:00"/>
    <s v="Standard Class"/>
    <s v="MS-17770"/>
    <s v="Maxwell Schwartz"/>
    <x v="0"/>
    <s v="United States"/>
    <s v="Richmond"/>
    <s v="Virginia"/>
    <n v="23223"/>
    <x v="2"/>
    <s v="OFF-PA-10004734"/>
    <x v="0"/>
    <x v="0"/>
    <s v="Southworth Structures Collection"/>
    <n v="21.84"/>
    <n v="3"/>
    <n v="0"/>
    <n v="10.92"/>
    <x v="0"/>
    <x v="6"/>
    <n v="3.64"/>
    <s v="Profit"/>
    <s v="No Discount"/>
  </r>
  <r>
    <n v="702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FUR-FU-10001591"/>
    <x v="1"/>
    <x v="8"/>
    <s v="Advantus Panel Wall Certificate Holder - 8.5x11"/>
    <n v="19.52"/>
    <n v="2"/>
    <n v="0.2"/>
    <n v="5.3680000000000012"/>
    <x v="0"/>
    <x v="6"/>
    <n v="2.6840000000000006"/>
    <s v="Profit"/>
    <s v="Low"/>
  </r>
  <r>
    <n v="703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FUR-FU-10003192"/>
    <x v="1"/>
    <x v="8"/>
    <s v="Luxo Adjustable Task Clamp Lamp"/>
    <n v="213.21600000000001"/>
    <n v="3"/>
    <n v="0.2"/>
    <n v="15.991199999999992"/>
    <x v="0"/>
    <x v="6"/>
    <n v="5.3303999999999974"/>
    <s v="Profit"/>
    <s v="Low"/>
  </r>
  <r>
    <n v="704"/>
    <s v="US-2023-152849"/>
    <x v="147"/>
    <d v="2023-07-12T00:00:00"/>
    <s v="Standard Class"/>
    <s v="DW-13195"/>
    <s v="David Wiener"/>
    <x v="2"/>
    <s v="United States"/>
    <s v="Knoxville"/>
    <s v="Tennessee"/>
    <n v="37918"/>
    <x v="2"/>
    <s v="OFF-AR-10002833"/>
    <x v="0"/>
    <x v="4"/>
    <s v="Newell 322"/>
    <n v="4.3680000000000003"/>
    <n v="3"/>
    <n v="0.2"/>
    <n v="0.3822000000000001"/>
    <x v="0"/>
    <x v="6"/>
    <n v="0.12740000000000004"/>
    <s v="Profit"/>
    <s v="Low"/>
  </r>
  <r>
    <n v="705"/>
    <s v="US-2023-107139"/>
    <x v="147"/>
    <d v="2023-07-11T00:00:00"/>
    <s v="Standard Class"/>
    <s v="DP-13390"/>
    <s v="Dennis Pardue"/>
    <x v="1"/>
    <s v="United States"/>
    <s v="Los Angeles"/>
    <s v="California"/>
    <n v="90004"/>
    <x v="3"/>
    <s v="OFF-BI-10001670"/>
    <x v="0"/>
    <x v="1"/>
    <s v="Vinyl Sectional Post Binders"/>
    <n v="180.96000000000004"/>
    <n v="6"/>
    <n v="0.2"/>
    <n v="67.86"/>
    <x v="0"/>
    <x v="6"/>
    <n v="11.31"/>
    <s v="Profit"/>
    <s v="Low"/>
  </r>
  <r>
    <n v="706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OFF-BI-10001787"/>
    <x v="0"/>
    <x v="1"/>
    <s v="Wilson Jones Four-Pocket Poly Binders"/>
    <n v="9.8100000000000023"/>
    <n v="5"/>
    <n v="0.7"/>
    <n v="-6.8669999999999973"/>
    <x v="0"/>
    <x v="6"/>
    <n v="-1.3733999999999995"/>
    <s v="Loss"/>
    <s v="High"/>
  </r>
  <r>
    <n v="707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OFF-LA-10001934"/>
    <x v="0"/>
    <x v="2"/>
    <s v="Avery 516"/>
    <n v="14.62"/>
    <n v="2"/>
    <n v="0"/>
    <n v="6.8713999999999995"/>
    <x v="0"/>
    <x v="6"/>
    <n v="3.4356999999999998"/>
    <s v="Profit"/>
    <s v="No Discount"/>
  </r>
  <r>
    <n v="708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OFF-PA-10000304"/>
    <x v="0"/>
    <x v="0"/>
    <s v="Xerox 1995"/>
    <n v="19.440000000000001"/>
    <n v="3"/>
    <n v="0"/>
    <n v="9.3312000000000008"/>
    <x v="0"/>
    <x v="6"/>
    <n v="3.1104000000000003"/>
    <s v="Profit"/>
    <s v="No Discount"/>
  </r>
  <r>
    <n v="709"/>
    <s v="US-2023-160444"/>
    <x v="147"/>
    <d v="2023-07-05T00:00:00"/>
    <s v="Same Day"/>
    <s v="DC-12850"/>
    <s v="Dan Campbell"/>
    <x v="0"/>
    <s v="United States"/>
    <s v="Houston"/>
    <s v="Texas"/>
    <n v="77036"/>
    <x v="0"/>
    <s v="OFF-ST-10000563"/>
    <x v="0"/>
    <x v="3"/>
    <s v="Fellowes Bankers Box Stor/Drawer Steel Plus"/>
    <n v="281.42400000000004"/>
    <n v="11"/>
    <n v="0.2"/>
    <n v="-35.178000000000004"/>
    <x v="0"/>
    <x v="6"/>
    <n v="-3.1980000000000004"/>
    <s v="Loss"/>
    <s v="Low"/>
  </r>
  <r>
    <n v="710"/>
    <s v="US-2023-160444"/>
    <x v="147"/>
    <d v="2023-07-05T00:00:00"/>
    <s v="Same Day"/>
    <s v="DC-12850"/>
    <s v="Dan Campbell"/>
    <x v="0"/>
    <s v="United States"/>
    <s v="Houston"/>
    <s v="Texas"/>
    <n v="77036"/>
    <x v="0"/>
    <s v="OFF-ST-10001522"/>
    <x v="0"/>
    <x v="3"/>
    <s v="Gould Plastics 18-Pocket Panel Bin, 34w x 5-1/4d x 20-1/2h"/>
    <n v="220.77600000000001"/>
    <n v="3"/>
    <n v="0.2"/>
    <n v="-44.155200000000022"/>
    <x v="0"/>
    <x v="6"/>
    <n v="-14.718400000000008"/>
    <s v="Loss"/>
    <s v="Low"/>
  </r>
  <r>
    <n v="711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TEC-AC-10003911"/>
    <x v="2"/>
    <x v="9"/>
    <s v="NETGEAR AC1750 Dual Band Gigabit Smart WiFi Router"/>
    <n v="479.97"/>
    <n v="3"/>
    <n v="0"/>
    <n v="163.18979999999999"/>
    <x v="0"/>
    <x v="6"/>
    <n v="54.396599999999999"/>
    <s v="Profit"/>
    <s v="No Discount"/>
  </r>
  <r>
    <n v="712"/>
    <s v="US-2023-147543"/>
    <x v="148"/>
    <d v="2023-07-12T00:00:00"/>
    <s v="Standard Class"/>
    <s v="BC-11125"/>
    <s v="Becky Castell"/>
    <x v="1"/>
    <s v="United States"/>
    <s v="El Cajon"/>
    <s v="California"/>
    <n v="92020"/>
    <x v="3"/>
    <s v="FUR-CH-10000155"/>
    <x v="1"/>
    <x v="5"/>
    <s v="Global Comet Stacking Armless Chair"/>
    <n v="478.48"/>
    <n v="2"/>
    <n v="0.2"/>
    <n v="47.848000000000013"/>
    <x v="0"/>
    <x v="6"/>
    <n v="23.924000000000007"/>
    <s v="Profit"/>
    <s v="Low"/>
  </r>
  <r>
    <n v="713"/>
    <s v="US-2023-134278"/>
    <x v="148"/>
    <d v="2023-07-08T00:00:00"/>
    <s v="First Class"/>
    <s v="EP-13915"/>
    <s v="Emily Phan"/>
    <x v="0"/>
    <s v="United States"/>
    <s v="New York City"/>
    <s v="New York"/>
    <n v="10011"/>
    <x v="1"/>
    <s v="TEC-CO-10001046"/>
    <x v="2"/>
    <x v="16"/>
    <s v="Canon Imageclass D680 Copier / Fax"/>
    <n v="559.99200000000008"/>
    <n v="1"/>
    <n v="0.2"/>
    <n v="174.99749999999997"/>
    <x v="0"/>
    <x v="6"/>
    <n v="174.99749999999997"/>
    <s v="Profit"/>
    <s v="Low"/>
  </r>
  <r>
    <n v="714"/>
    <s v="US-2023-138758"/>
    <x v="149"/>
    <d v="2023-07-11T00:00:00"/>
    <s v="Standard Class"/>
    <s v="JL-15835"/>
    <s v="John Lee"/>
    <x v="0"/>
    <s v="United States"/>
    <s v="Philadelphia"/>
    <s v="Pennsylvania"/>
    <n v="19120"/>
    <x v="1"/>
    <s v="FUR-CH-10002880"/>
    <x v="1"/>
    <x v="5"/>
    <s v="Global High-Back Leather Tilter, Burgundy"/>
    <n v="172.18599999999998"/>
    <n v="2"/>
    <n v="0.3"/>
    <n v="-46.736200000000011"/>
    <x v="0"/>
    <x v="6"/>
    <n v="-23.368100000000005"/>
    <s v="Loss"/>
    <s v="Medium"/>
  </r>
  <r>
    <n v="715"/>
    <s v="US-2023-138758"/>
    <x v="149"/>
    <d v="2023-07-11T00:00:00"/>
    <s v="Standard Class"/>
    <s v="JL-15835"/>
    <s v="John Lee"/>
    <x v="0"/>
    <s v="United States"/>
    <s v="Philadelphia"/>
    <s v="Pennsylvania"/>
    <n v="19120"/>
    <x v="1"/>
    <s v="FUR-FU-10003039"/>
    <x v="1"/>
    <x v="8"/>
    <s v="Howard Miller 11-1/2&quot; Diameter Grantwood Wall Clock"/>
    <n v="69.00800000000001"/>
    <n v="2"/>
    <n v="0.2"/>
    <n v="12.0764"/>
    <x v="0"/>
    <x v="6"/>
    <n v="6.0381999999999998"/>
    <s v="Profit"/>
    <s v="Low"/>
  </r>
  <r>
    <n v="716"/>
    <s v="US-2023-150301"/>
    <x v="150"/>
    <d v="2023-07-10T00:00:00"/>
    <s v="First Class"/>
    <s v="MH-18025"/>
    <s v="Michelle Huthwaite"/>
    <x v="0"/>
    <s v="United States"/>
    <s v="Buffalo"/>
    <s v="New York"/>
    <n v="14215"/>
    <x v="1"/>
    <s v="FUR-CH-10002647"/>
    <x v="1"/>
    <x v="5"/>
    <s v="Situations Contoured Folding Chairs, 4/Set"/>
    <n v="63.882000000000005"/>
    <n v="1"/>
    <n v="0.1"/>
    <n v="10.647000000000004"/>
    <x v="0"/>
    <x v="6"/>
    <n v="10.647000000000004"/>
    <s v="Profit"/>
    <s v="Low"/>
  </r>
  <r>
    <n v="717"/>
    <s v="US-2023-100090"/>
    <x v="150"/>
    <d v="2023-07-12T00:00:00"/>
    <s v="Standard Class"/>
    <s v="EB-13705"/>
    <s v="Ed Braxton"/>
    <x v="2"/>
    <s v="United States"/>
    <s v="San Francisco"/>
    <s v="California"/>
    <n v="94122"/>
    <x v="3"/>
    <s v="FUR-TA-10003715"/>
    <x v="1"/>
    <x v="13"/>
    <s v="Hon 2111 Invitation Series Corner Table"/>
    <n v="502.48800000000006"/>
    <n v="3"/>
    <n v="0.2"/>
    <n v="-87.935400000000044"/>
    <x v="0"/>
    <x v="6"/>
    <n v="-29.311800000000016"/>
    <s v="Loss"/>
    <s v="Low"/>
  </r>
  <r>
    <n v="718"/>
    <s v="US-2023-100090"/>
    <x v="150"/>
    <d v="2023-07-12T00:00:00"/>
    <s v="Standard Class"/>
    <s v="EB-13705"/>
    <s v="Ed Braxton"/>
    <x v="2"/>
    <s v="United States"/>
    <s v="San Francisco"/>
    <s v="California"/>
    <n v="94122"/>
    <x v="3"/>
    <s v="OFF-BI-10001597"/>
    <x v="0"/>
    <x v="1"/>
    <s v="Wilson Jones Ledger-Size, Piano-Hinge Binder, 2&quot;, Blue"/>
    <n v="196.70400000000001"/>
    <n v="6"/>
    <n v="0.2"/>
    <n v="68.846399999999974"/>
    <x v="0"/>
    <x v="6"/>
    <n v="11.474399999999996"/>
    <s v="Profit"/>
    <s v="Low"/>
  </r>
  <r>
    <n v="719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FUR-BO-10004218"/>
    <x v="1"/>
    <x v="10"/>
    <s v="Bush Heritage Pine Collection 5-Shelf Bookcase, Albany Pine Finish, *Special Order"/>
    <n v="119.83299999999998"/>
    <n v="1"/>
    <n v="0.15"/>
    <n v="7.0489999999999995"/>
    <x v="0"/>
    <x v="6"/>
    <n v="7.0489999999999995"/>
    <s v="Profit"/>
    <s v="Low"/>
  </r>
  <r>
    <n v="720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AR-10003251"/>
    <x v="0"/>
    <x v="4"/>
    <s v="Prang Drawing Pencil Set"/>
    <n v="5.56"/>
    <n v="2"/>
    <n v="0"/>
    <n v="2.2239999999999998"/>
    <x v="0"/>
    <x v="6"/>
    <n v="1.1119999999999999"/>
    <s v="Profit"/>
    <s v="No Discount"/>
  </r>
  <r>
    <n v="721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BI-10002609"/>
    <x v="0"/>
    <x v="1"/>
    <s v="Avery Hidden Tab Dividers for Binding Systems"/>
    <n v="14.303999999999998"/>
    <n v="6"/>
    <n v="0.2"/>
    <n v="4.6487999999999987"/>
    <x v="0"/>
    <x v="6"/>
    <n v="0.77479999999999982"/>
    <s v="Profit"/>
    <s v="Low"/>
  </r>
  <r>
    <n v="722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BI-10003291"/>
    <x v="0"/>
    <x v="1"/>
    <s v="Wilson Jones Leather-Like Binders with DublLock Round Rings"/>
    <n v="41.904000000000003"/>
    <n v="6"/>
    <n v="0.2"/>
    <n v="14.142599999999996"/>
    <x v="0"/>
    <x v="6"/>
    <n v="2.3570999999999995"/>
    <s v="Profit"/>
    <s v="Low"/>
  </r>
  <r>
    <n v="723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LA-10004559"/>
    <x v="0"/>
    <x v="2"/>
    <s v="Avery 49"/>
    <n v="2.88"/>
    <n v="1"/>
    <n v="0"/>
    <n v="1.4112"/>
    <x v="0"/>
    <x v="6"/>
    <n v="1.4112"/>
    <s v="Profit"/>
    <s v="No Discount"/>
  </r>
  <r>
    <n v="724"/>
    <s v="US-2023-165379"/>
    <x v="151"/>
    <d v="2023-07-15T00:00:00"/>
    <s v="Standard Class"/>
    <s v="BM-11650"/>
    <s v="Brian Moss"/>
    <x v="2"/>
    <s v="United States"/>
    <s v="Dallas"/>
    <s v="Texas"/>
    <n v="75217"/>
    <x v="0"/>
    <s v="OFF-PA-10002245"/>
    <x v="0"/>
    <x v="0"/>
    <s v="Xerox 1895"/>
    <n v="14.352000000000002"/>
    <n v="3"/>
    <n v="0.2"/>
    <n v="4.4849999999999994"/>
    <x v="0"/>
    <x v="6"/>
    <n v="1.4949999999999999"/>
    <s v="Profit"/>
    <s v="Low"/>
  </r>
  <r>
    <n v="725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PA-10002365"/>
    <x v="0"/>
    <x v="0"/>
    <s v="Xerox 1967"/>
    <n v="32.400000000000006"/>
    <n v="5"/>
    <n v="0"/>
    <n v="15.552000000000001"/>
    <x v="0"/>
    <x v="6"/>
    <n v="3.1104000000000003"/>
    <s v="Profit"/>
    <s v="No Discount"/>
  </r>
  <r>
    <n v="726"/>
    <s v="US-2023-165379"/>
    <x v="151"/>
    <d v="2023-07-15T00:00:00"/>
    <s v="Standard Class"/>
    <s v="BM-11650"/>
    <s v="Brian Moss"/>
    <x v="2"/>
    <s v="United States"/>
    <s v="Dallas"/>
    <s v="Texas"/>
    <n v="75217"/>
    <x v="0"/>
    <s v="OFF-PA-10003072"/>
    <x v="0"/>
    <x v="0"/>
    <s v="Eureka Recycled Copy Paper 8 1/2&quot; x 11&quot;, Ream"/>
    <n v="10.368000000000002"/>
    <n v="2"/>
    <n v="0.2"/>
    <n v="3.6288"/>
    <x v="0"/>
    <x v="6"/>
    <n v="1.8144"/>
    <s v="Profit"/>
    <s v="Low"/>
  </r>
  <r>
    <n v="727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ST-10001505"/>
    <x v="0"/>
    <x v="3"/>
    <s v="Perma STOR-ALL Hanging File Box, 13 1/8&quot;W x 12 1/4&quot;D x 10 1/2&quot;H"/>
    <n v="23.92"/>
    <n v="4"/>
    <n v="0"/>
    <n v="4.066399999999998"/>
    <x v="0"/>
    <x v="6"/>
    <n v="1.0165999999999995"/>
    <s v="Profit"/>
    <s v="No Discount"/>
  </r>
  <r>
    <n v="728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FUR-CH-10003379"/>
    <x v="1"/>
    <x v="5"/>
    <s v="Global Commerce Series High-Back Swivel/Tilt Chairs"/>
    <n v="854.94"/>
    <n v="3"/>
    <n v="0"/>
    <n v="213.73500000000001"/>
    <x v="0"/>
    <x v="6"/>
    <n v="71.245000000000005"/>
    <s v="Profit"/>
    <s v="No Discount"/>
  </r>
  <r>
    <n v="729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FUR-FU-10000629"/>
    <x v="1"/>
    <x v="8"/>
    <s v="9-3/4 Diameter Round Wall Clock"/>
    <n v="124.10999999999999"/>
    <n v="9"/>
    <n v="0"/>
    <n v="52.126200000000004"/>
    <x v="0"/>
    <x v="6"/>
    <n v="5.7918000000000003"/>
    <s v="Profit"/>
    <s v="No Discount"/>
  </r>
  <r>
    <n v="730"/>
    <s v="US-2023-133305"/>
    <x v="152"/>
    <d v="2023-07-15T00:00:00"/>
    <s v="Standard Class"/>
    <s v="MH-17455"/>
    <s v="Mark Hamilton"/>
    <x v="0"/>
    <s v="United States"/>
    <s v="New York City"/>
    <s v="New York"/>
    <n v="10011"/>
    <x v="1"/>
    <s v="OFF-BI-10002954"/>
    <x v="0"/>
    <x v="1"/>
    <s v="Newell 3-Hole Punched Plastic Slotted Magazine Holders for Binders"/>
    <n v="18.28"/>
    <n v="5"/>
    <n v="0.2"/>
    <n v="6.3979999999999997"/>
    <x v="0"/>
    <x v="6"/>
    <n v="1.2795999999999998"/>
    <s v="Profit"/>
    <s v="Low"/>
  </r>
  <r>
    <n v="731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OFF-LA-10001175"/>
    <x v="0"/>
    <x v="2"/>
    <s v="Avery 514"/>
    <n v="14.399999999999999"/>
    <n v="5"/>
    <n v="0"/>
    <n v="7.056"/>
    <x v="0"/>
    <x v="6"/>
    <n v="1.4112"/>
    <s v="Profit"/>
    <s v="No Discount"/>
  </r>
  <r>
    <n v="732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OFF-PA-10000474"/>
    <x v="0"/>
    <x v="0"/>
    <s v="Easy-staple paper"/>
    <n v="177.2"/>
    <n v="5"/>
    <n v="0"/>
    <n v="83.283999999999992"/>
    <x v="0"/>
    <x v="6"/>
    <n v="16.656799999999997"/>
    <s v="Profit"/>
    <s v="No Discount"/>
  </r>
  <r>
    <n v="733"/>
    <s v="US-2023-123225"/>
    <x v="152"/>
    <d v="2023-07-14T00:00:00"/>
    <s v="First Class"/>
    <s v="MN-17935"/>
    <s v="Michael Nguyen"/>
    <x v="0"/>
    <s v="United States"/>
    <s v="El Paso"/>
    <s v="Texas"/>
    <n v="79907"/>
    <x v="0"/>
    <s v="OFF-PA-10000552"/>
    <x v="0"/>
    <x v="0"/>
    <s v="Xerox 200"/>
    <n v="10.368000000000002"/>
    <n v="2"/>
    <n v="0.2"/>
    <n v="3.6288"/>
    <x v="0"/>
    <x v="6"/>
    <n v="1.8144"/>
    <s v="Profit"/>
    <s v="Low"/>
  </r>
  <r>
    <n v="734"/>
    <s v="US-2023-133305"/>
    <x v="152"/>
    <d v="2023-07-15T00:00:00"/>
    <s v="Standard Class"/>
    <s v="MH-17455"/>
    <s v="Mark Hamilton"/>
    <x v="0"/>
    <s v="United States"/>
    <s v="New York City"/>
    <s v="New York"/>
    <n v="10011"/>
    <x v="1"/>
    <s v="OFF-PA-10001970"/>
    <x v="0"/>
    <x v="0"/>
    <s v="Xerox 1881"/>
    <n v="49.12"/>
    <n v="4"/>
    <n v="0"/>
    <n v="23.086399999999998"/>
    <x v="0"/>
    <x v="6"/>
    <n v="5.7715999999999994"/>
    <s v="Profit"/>
    <s v="No Discount"/>
  </r>
  <r>
    <n v="735"/>
    <s v="US-2023-123225"/>
    <x v="152"/>
    <d v="2023-07-14T00:00:00"/>
    <s v="First Class"/>
    <s v="MN-17935"/>
    <s v="Michael Nguyen"/>
    <x v="0"/>
    <s v="United States"/>
    <s v="El Paso"/>
    <s v="Texas"/>
    <n v="79907"/>
    <x v="0"/>
    <s v="TEC-PH-10000895"/>
    <x v="2"/>
    <x v="7"/>
    <s v="Polycom VVX 310 VoIP phone"/>
    <n v="575.96800000000007"/>
    <n v="4"/>
    <n v="0.2"/>
    <n v="43.197600000000023"/>
    <x v="0"/>
    <x v="6"/>
    <n v="10.799400000000006"/>
    <s v="Profit"/>
    <s v="Low"/>
  </r>
  <r>
    <n v="736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TEC-PH-10003885"/>
    <x v="2"/>
    <x v="7"/>
    <s v="Cisco SPA508G"/>
    <n v="197.96999999999997"/>
    <n v="3"/>
    <n v="0"/>
    <n v="57.41129999999999"/>
    <x v="0"/>
    <x v="6"/>
    <n v="19.137099999999997"/>
    <s v="Profit"/>
    <s v="No Discount"/>
  </r>
  <r>
    <n v="737"/>
    <s v="US-2023-166555"/>
    <x v="152"/>
    <d v="2023-07-14T00:00:00"/>
    <s v="First Class"/>
    <s v="JK-15205"/>
    <s v="Jamie Kunitz"/>
    <x v="0"/>
    <s v="United States"/>
    <s v="Niagara Falls"/>
    <s v="New York"/>
    <n v="14304"/>
    <x v="1"/>
    <s v="TEC-PH-10004912"/>
    <x v="2"/>
    <x v="7"/>
    <s v="Cisco SPA112 2 Port Phone Adapter"/>
    <n v="164.85000000000002"/>
    <n v="3"/>
    <n v="0"/>
    <n v="47.806499999999993"/>
    <x v="0"/>
    <x v="6"/>
    <n v="15.935499999999998"/>
    <s v="Profit"/>
    <s v="No Discount"/>
  </r>
  <r>
    <n v="738"/>
    <s v="US-2023-131310"/>
    <x v="153"/>
    <d v="2023-07-18T00:00:00"/>
    <s v="Standard Class"/>
    <s v="CL-12565"/>
    <s v="Clay Ludtke"/>
    <x v="0"/>
    <s v="United States"/>
    <s v="Seattle"/>
    <s v="Washington"/>
    <n v="98115"/>
    <x v="3"/>
    <s v="FUR-CH-10001797"/>
    <x v="1"/>
    <x v="5"/>
    <s v="Safco Chair Connectors, 6/Carton"/>
    <n v="123.136"/>
    <n v="4"/>
    <n v="0.2"/>
    <n v="13.852799999999981"/>
    <x v="0"/>
    <x v="6"/>
    <n v="3.4631999999999952"/>
    <s v="Profit"/>
    <s v="Low"/>
  </r>
  <r>
    <n v="739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FUR-CH-10002126"/>
    <x v="1"/>
    <x v="5"/>
    <s v="Hon Deluxe Fabric Upholstered Stacking Chairs"/>
    <n v="512.35799999999995"/>
    <n v="3"/>
    <n v="0.3"/>
    <n v="-14.638799999999947"/>
    <x v="0"/>
    <x v="6"/>
    <n v="-4.8795999999999822"/>
    <s v="Loss"/>
    <s v="Medium"/>
  </r>
  <r>
    <n v="740"/>
    <s v="US-2023-129924"/>
    <x v="153"/>
    <d v="2023-07-17T00:00:00"/>
    <s v="Standard Class"/>
    <s v="AC-10420"/>
    <s v="Alyssa Crouse"/>
    <x v="2"/>
    <s v="United States"/>
    <s v="San Francisco"/>
    <s v="California"/>
    <n v="94122"/>
    <x v="3"/>
    <s v="FUR-TA-10004575"/>
    <x v="1"/>
    <x v="13"/>
    <s v="Hon 5100 Series Wood Tables"/>
    <n v="698.35200000000009"/>
    <n v="3"/>
    <n v="0.2"/>
    <n v="-17.458800000000053"/>
    <x v="0"/>
    <x v="6"/>
    <n v="-5.8196000000000181"/>
    <s v="Loss"/>
    <s v="Low"/>
  </r>
  <r>
    <n v="741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AR-10003158"/>
    <x v="0"/>
    <x v="4"/>
    <s v="Fluorescent Highlighters by Dixon"/>
    <n v="22.288"/>
    <n v="7"/>
    <n v="0.2"/>
    <n v="3.9003999999999985"/>
    <x v="0"/>
    <x v="6"/>
    <n v="0.55719999999999981"/>
    <s v="Profit"/>
    <s v="Low"/>
  </r>
  <r>
    <n v="742"/>
    <s v="US-2023-131310"/>
    <x v="153"/>
    <d v="2023-07-18T00:00:00"/>
    <s v="Standard Class"/>
    <s v="CL-12565"/>
    <s v="Clay Ludtke"/>
    <x v="0"/>
    <s v="United States"/>
    <s v="Seattle"/>
    <s v="Washington"/>
    <n v="98115"/>
    <x v="3"/>
    <s v="OFF-BI-10003094"/>
    <x v="0"/>
    <x v="1"/>
    <s v="Self-Adhesive Ring Binder Labels"/>
    <n v="11.264000000000001"/>
    <n v="4"/>
    <n v="0.2"/>
    <n v="3.8015999999999992"/>
    <x v="0"/>
    <x v="6"/>
    <n v="0.9503999999999998"/>
    <s v="Profit"/>
    <s v="Low"/>
  </r>
  <r>
    <n v="743"/>
    <s v="US-2023-129924"/>
    <x v="153"/>
    <d v="2023-07-17T00:00:00"/>
    <s v="Standard Class"/>
    <s v="AC-10420"/>
    <s v="Alyssa Crouse"/>
    <x v="2"/>
    <s v="United States"/>
    <s v="San Francisco"/>
    <s v="California"/>
    <n v="94122"/>
    <x v="3"/>
    <s v="OFF-BI-10003314"/>
    <x v="0"/>
    <x v="1"/>
    <s v="Tuff Stuff Recycled Round Ring Binders"/>
    <n v="7.7120000000000006"/>
    <n v="2"/>
    <n v="0.2"/>
    <n v="2.7956000000000003"/>
    <x v="0"/>
    <x v="6"/>
    <n v="1.3978000000000002"/>
    <s v="Profit"/>
    <s v="Low"/>
  </r>
  <r>
    <n v="744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FA-10001561"/>
    <x v="0"/>
    <x v="6"/>
    <s v="Stockwell Push Pins"/>
    <n v="3.4880000000000004"/>
    <n v="2"/>
    <n v="0.2"/>
    <n v="0.56679999999999997"/>
    <x v="0"/>
    <x v="6"/>
    <n v="0.28339999999999999"/>
    <s v="Profit"/>
    <s v="Low"/>
  </r>
  <r>
    <n v="745"/>
    <s v="US-2023-124807"/>
    <x v="153"/>
    <d v="2023-07-15T00:00:00"/>
    <s v="Second Class"/>
    <s v="ME-17725"/>
    <s v="Max Engle"/>
    <x v="0"/>
    <s v="United States"/>
    <s v="Chicago"/>
    <s v="Illinois"/>
    <n v="60610"/>
    <x v="0"/>
    <s v="OFF-PA-10001526"/>
    <x v="0"/>
    <x v="0"/>
    <s v="Xerox 1949"/>
    <n v="35.856000000000002"/>
    <n v="9"/>
    <n v="0.2"/>
    <n v="12.997800000000003"/>
    <x v="0"/>
    <x v="6"/>
    <n v="1.4442000000000004"/>
    <s v="Profit"/>
    <s v="Low"/>
  </r>
  <r>
    <n v="746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PA-10001804"/>
    <x v="0"/>
    <x v="0"/>
    <s v="Xerox 195"/>
    <n v="16.032"/>
    <n v="3"/>
    <n v="0.2"/>
    <n v="5.6111999999999993"/>
    <x v="0"/>
    <x v="6"/>
    <n v="1.8703999999999998"/>
    <s v="Profit"/>
    <s v="Low"/>
  </r>
  <r>
    <n v="747"/>
    <s v="US-2023-110184"/>
    <x v="153"/>
    <d v="2023-07-16T00:00:00"/>
    <s v="Standard Class"/>
    <s v="BF-11170"/>
    <s v="Ben Ferrer"/>
    <x v="1"/>
    <s v="United States"/>
    <s v="Los Angeles"/>
    <s v="California"/>
    <n v="90036"/>
    <x v="3"/>
    <s v="OFF-ST-10000107"/>
    <x v="0"/>
    <x v="3"/>
    <s v="Fellowes Super Stor/Drawer"/>
    <n v="249.75"/>
    <n v="9"/>
    <n v="0"/>
    <n v="44.954999999999977"/>
    <x v="0"/>
    <x v="6"/>
    <n v="4.9949999999999974"/>
    <s v="Profit"/>
    <s v="No Discount"/>
  </r>
  <r>
    <n v="748"/>
    <s v="US-2023-124807"/>
    <x v="153"/>
    <d v="2023-07-15T00:00:00"/>
    <s v="Second Class"/>
    <s v="ME-17725"/>
    <s v="Max Engle"/>
    <x v="0"/>
    <s v="United States"/>
    <s v="Chicago"/>
    <s v="Illinois"/>
    <n v="60610"/>
    <x v="0"/>
    <s v="TEC-AC-10002857"/>
    <x v="2"/>
    <x v="9"/>
    <s v="Verbatim 25 GB 6x Blu-ray Single Layer Recordable Disc, 1/Pack"/>
    <n v="23.840000000000003"/>
    <n v="4"/>
    <n v="0.2"/>
    <n v="3.2779999999999987"/>
    <x v="0"/>
    <x v="6"/>
    <n v="0.81949999999999967"/>
    <s v="Profit"/>
    <s v="Low"/>
  </r>
  <r>
    <n v="749"/>
    <s v="US-2023-110184"/>
    <x v="153"/>
    <d v="2023-07-16T00:00:00"/>
    <s v="Standard Class"/>
    <s v="BF-11170"/>
    <s v="Ben Ferrer"/>
    <x v="1"/>
    <s v="United States"/>
    <s v="Los Angeles"/>
    <s v="California"/>
    <n v="90036"/>
    <x v="3"/>
    <s v="TEC-PH-10000439"/>
    <x v="2"/>
    <x v="7"/>
    <s v="GE DSL Phone Line Filter"/>
    <n v="255.93600000000004"/>
    <n v="8"/>
    <n v="0.2"/>
    <n v="28.792799999999971"/>
    <x v="0"/>
    <x v="6"/>
    <n v="3.5990999999999964"/>
    <s v="Profit"/>
    <s v="Low"/>
  </r>
  <r>
    <n v="750"/>
    <s v="US-2023-165862"/>
    <x v="154"/>
    <d v="2023-07-17T00:00:00"/>
    <s v="Standard Class"/>
    <s v="GK-14620"/>
    <s v="Grace Kelly"/>
    <x v="2"/>
    <s v="United States"/>
    <s v="Los Angeles"/>
    <s v="California"/>
    <n v="90049"/>
    <x v="3"/>
    <s v="FUR-TA-10002855"/>
    <x v="1"/>
    <x v="13"/>
    <s v="Bevis Round Conference Table Top &amp; Single Column Base"/>
    <n v="351.21600000000001"/>
    <n v="3"/>
    <n v="0.2"/>
    <n v="4.3901999999999788"/>
    <x v="0"/>
    <x v="6"/>
    <n v="1.4633999999999929"/>
    <s v="Profit"/>
    <s v="Low"/>
  </r>
  <r>
    <n v="751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FUR-FU-10001057"/>
    <x v="1"/>
    <x v="8"/>
    <s v="Tensor Track Tree Floor Lamp"/>
    <n v="31.983999999999998"/>
    <n v="2"/>
    <n v="0.2"/>
    <n v="1.1993999999999998"/>
    <x v="0"/>
    <x v="6"/>
    <n v="0.5996999999999999"/>
    <s v="Profit"/>
    <s v="Low"/>
  </r>
  <r>
    <n v="752"/>
    <s v="US-2023-124464"/>
    <x v="155"/>
    <d v="2023-07-20T00:00:00"/>
    <s v="Standard Class"/>
    <s v="SS-20515"/>
    <s v="Shirley Schmidt"/>
    <x v="1"/>
    <s v="United States"/>
    <s v="Newark"/>
    <s v="Delaware"/>
    <n v="19711"/>
    <x v="1"/>
    <s v="OFF-AP-10000576"/>
    <x v="0"/>
    <x v="12"/>
    <s v="Belkin 7 Outlet SurgeMaster II"/>
    <n v="39.479999999999997"/>
    <n v="1"/>
    <n v="0"/>
    <n v="11.054400000000001"/>
    <x v="0"/>
    <x v="6"/>
    <n v="11.054400000000001"/>
    <s v="Profit"/>
    <s v="No Discount"/>
  </r>
  <r>
    <n v="753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OFF-AR-10001044"/>
    <x v="0"/>
    <x v="4"/>
    <s v="BOSTON Ranger #55 Pencil Sharpener, Black"/>
    <n v="41.584000000000003"/>
    <n v="2"/>
    <n v="0.2"/>
    <n v="4.6781999999999968"/>
    <x v="0"/>
    <x v="6"/>
    <n v="2.3390999999999984"/>
    <s v="Profit"/>
    <s v="Low"/>
  </r>
  <r>
    <n v="754"/>
    <s v="US-2023-109904"/>
    <x v="155"/>
    <d v="2023-07-17T00:00:00"/>
    <s v="Second Class"/>
    <s v="BF-10975"/>
    <s v="Barbara Fisher"/>
    <x v="2"/>
    <s v="United States"/>
    <s v="New York City"/>
    <s v="New York"/>
    <n v="10009"/>
    <x v="1"/>
    <s v="OFF-AR-10004999"/>
    <x v="0"/>
    <x v="4"/>
    <s v="Newell 315"/>
    <n v="17.940000000000001"/>
    <n v="3"/>
    <n v="0"/>
    <n v="4.4850000000000003"/>
    <x v="0"/>
    <x v="6"/>
    <n v="1.4950000000000001"/>
    <s v="Profit"/>
    <s v="No Discount"/>
  </r>
  <r>
    <n v="755"/>
    <s v="US-2023-103905"/>
    <x v="155"/>
    <d v="2023-07-20T00:00:00"/>
    <s v="Standard Class"/>
    <s v="AW-10930"/>
    <s v="Arthur Wiediger"/>
    <x v="1"/>
    <s v="United States"/>
    <s v="Aurora"/>
    <s v="Illinois"/>
    <n v="60505"/>
    <x v="0"/>
    <s v="OFF-BI-10001098"/>
    <x v="0"/>
    <x v="1"/>
    <s v="Acco D-Ring Binder w/DublLock"/>
    <n v="29.931999999999992"/>
    <n v="7"/>
    <n v="0.8"/>
    <n v="-46.394600000000011"/>
    <x v="0"/>
    <x v="6"/>
    <n v="-6.6278000000000015"/>
    <s v="Loss"/>
    <s v="High"/>
  </r>
  <r>
    <n v="756"/>
    <s v="US-2023-150532"/>
    <x v="155"/>
    <d v="2023-07-21T00:00:00"/>
    <s v="Standard Class"/>
    <s v="PB-19150"/>
    <s v="Philip Brown"/>
    <x v="0"/>
    <s v="United States"/>
    <s v="Phoenix"/>
    <s v="Arizona"/>
    <n v="85023"/>
    <x v="3"/>
    <s v="OFF-ST-10000760"/>
    <x v="0"/>
    <x v="3"/>
    <s v="Eldon Fold 'N Roll Cart System"/>
    <n v="55.92"/>
    <n v="5"/>
    <n v="0.2"/>
    <n v="6.2910000000000004"/>
    <x v="0"/>
    <x v="6"/>
    <n v="1.2582"/>
    <s v="Profit"/>
    <s v="Low"/>
  </r>
  <r>
    <n v="757"/>
    <s v="US-2023-103905"/>
    <x v="155"/>
    <d v="2023-07-20T00:00:00"/>
    <s v="Standard Class"/>
    <s v="AW-10930"/>
    <s v="Arthur Wiediger"/>
    <x v="1"/>
    <s v="United States"/>
    <s v="Aurora"/>
    <s v="Illinois"/>
    <n v="60505"/>
    <x v="0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  <x v="0"/>
    <x v="6"/>
    <n v="0.95680000000000032"/>
    <s v="Profit"/>
    <s v="Low"/>
  </r>
  <r>
    <n v="758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TEC-PH-10002070"/>
    <x v="2"/>
    <x v="7"/>
    <s v="Griffin GC36547 PowerJolt SE Lightning Charger"/>
    <n v="13.493999999999998"/>
    <n v="1"/>
    <n v="0.4"/>
    <n v="-2.2490000000000023"/>
    <x v="0"/>
    <x v="6"/>
    <n v="-2.2490000000000023"/>
    <s v="Loss"/>
    <s v="Medium"/>
  </r>
  <r>
    <n v="759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TEC-PH-10002583"/>
    <x v="2"/>
    <x v="7"/>
    <s v="iOttie HLCRIO102 Car Mount"/>
    <n v="23.987999999999996"/>
    <n v="2"/>
    <n v="0.4"/>
    <n v="-13.993000000000004"/>
    <x v="0"/>
    <x v="6"/>
    <n v="-6.9965000000000019"/>
    <s v="Loss"/>
    <s v="Medium"/>
  </r>
  <r>
    <n v="760"/>
    <s v="US-2023-115980"/>
    <x v="156"/>
    <d v="2023-07-19T00:00:00"/>
    <s v="Standard Class"/>
    <s v="VW-21775"/>
    <s v="Victoria Wilson"/>
    <x v="2"/>
    <s v="United States"/>
    <s v="Sioux Falls"/>
    <s v="South Dakota"/>
    <n v="57103"/>
    <x v="0"/>
    <s v="OFF-FA-10000304"/>
    <x v="0"/>
    <x v="6"/>
    <s v="Advantus Push Pins"/>
    <n v="6.5400000000000009"/>
    <n v="3"/>
    <n v="0"/>
    <n v="2.6814000000000004"/>
    <x v="0"/>
    <x v="6"/>
    <n v="0.89380000000000015"/>
    <s v="Profit"/>
    <s v="No Discount"/>
  </r>
  <r>
    <n v="761"/>
    <s v="US-2023-115980"/>
    <x v="156"/>
    <d v="2023-07-19T00:00:00"/>
    <s v="Standard Class"/>
    <s v="VW-21775"/>
    <s v="Victoria Wilson"/>
    <x v="2"/>
    <s v="United States"/>
    <s v="Sioux Falls"/>
    <s v="South Dakota"/>
    <n v="57103"/>
    <x v="0"/>
    <s v="TEC-AC-10003709"/>
    <x v="2"/>
    <x v="9"/>
    <s v="Maxell 4.7GB DVD-R 5/Pack"/>
    <n v="2.9699999999999998"/>
    <n v="3"/>
    <n v="0"/>
    <n v="1.3068000000000004"/>
    <x v="0"/>
    <x v="6"/>
    <n v="0.43560000000000015"/>
    <s v="Profit"/>
    <s v="No Discount"/>
  </r>
  <r>
    <n v="762"/>
    <s v="US-2023-123295"/>
    <x v="157"/>
    <d v="2023-07-18T00:00:00"/>
    <s v="Same Day"/>
    <s v="AH-10120"/>
    <s v="Adrian Hane"/>
    <x v="1"/>
    <s v="United States"/>
    <s v="Tucson"/>
    <s v="Arizona"/>
    <n v="85705"/>
    <x v="3"/>
    <s v="FUR-CH-10002372"/>
    <x v="1"/>
    <x v="5"/>
    <s v="Office Star - Ergonomically Designed Knee Chair"/>
    <n v="259.13600000000002"/>
    <n v="4"/>
    <n v="0.2"/>
    <n v="-25.913599999999988"/>
    <x v="0"/>
    <x v="6"/>
    <n v="-6.478399999999997"/>
    <s v="Loss"/>
    <s v="Low"/>
  </r>
  <r>
    <n v="763"/>
    <s v="US-2023-138198"/>
    <x v="157"/>
    <d v="2023-07-23T00:00:00"/>
    <s v="Standard Class"/>
    <s v="JL-15130"/>
    <s v="Jack Lebron"/>
    <x v="0"/>
    <s v="United States"/>
    <s v="New Rochelle"/>
    <s v="New York"/>
    <n v="10801"/>
    <x v="1"/>
    <s v="OFF-BI-10002103"/>
    <x v="0"/>
    <x v="1"/>
    <s v="Cardinal Slant-D Ring Binder, Heavy Gauge Vinyl"/>
    <n v="13.904"/>
    <n v="2"/>
    <n v="0.2"/>
    <n v="4.5187999999999997"/>
    <x v="0"/>
    <x v="6"/>
    <n v="2.2593999999999999"/>
    <s v="Profit"/>
    <s v="Low"/>
  </r>
  <r>
    <n v="764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FUR-TA-10004152"/>
    <x v="1"/>
    <x v="13"/>
    <s v="Barricks 18&quot; x 48&quot; Non-Folding Utility Table with Bottom Storage Shelf"/>
    <n v="70.559999999999988"/>
    <n v="1"/>
    <n v="0.3"/>
    <n v="-4.032"/>
    <x v="0"/>
    <x v="6"/>
    <n v="-4.032"/>
    <s v="Loss"/>
    <s v="Medium"/>
  </r>
  <r>
    <n v="765"/>
    <s v="US-2023-168158"/>
    <x v="158"/>
    <d v="2023-07-24T00:00:00"/>
    <s v="Standard Class"/>
    <s v="EM-14140"/>
    <s v="Eugene Moren"/>
    <x v="1"/>
    <s v="United States"/>
    <s v="Great Falls"/>
    <s v="Montana"/>
    <n v="59405"/>
    <x v="3"/>
    <s v="OFF-BI-10001759"/>
    <x v="0"/>
    <x v="1"/>
    <s v="Acco Pressboard Covers with Storage Hooks, 14 7/8&quot; x 11&quot;, Dark Blue"/>
    <n v="6.0960000000000001"/>
    <n v="2"/>
    <n v="0.2"/>
    <n v="2.2098"/>
    <x v="0"/>
    <x v="6"/>
    <n v="1.1049"/>
    <s v="Profit"/>
    <s v="Low"/>
  </r>
  <r>
    <n v="766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OFF-BI-10002160"/>
    <x v="0"/>
    <x v="1"/>
    <s v="Acco Hanging Data Binders"/>
    <n v="3.81"/>
    <n v="1"/>
    <n v="0"/>
    <n v="1.8288"/>
    <x v="0"/>
    <x v="6"/>
    <n v="1.8288"/>
    <s v="Profit"/>
    <s v="No Discount"/>
  </r>
  <r>
    <n v="767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OFF-BI-10003694"/>
    <x v="0"/>
    <x v="1"/>
    <s v="Avery 3 1/2&quot; Diskette Storage Pages, 10/Pack"/>
    <n v="20.88"/>
    <n v="2"/>
    <n v="0"/>
    <n v="9.6047999999999991"/>
    <x v="0"/>
    <x v="6"/>
    <n v="4.8023999999999996"/>
    <s v="Profit"/>
    <s v="No Discount"/>
  </r>
  <r>
    <n v="768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TEC-PH-10000895"/>
    <x v="2"/>
    <x v="7"/>
    <s v="Polycom VVX 310 VoIP phone"/>
    <n v="359.98"/>
    <n v="2"/>
    <n v="0"/>
    <n v="93.594800000000021"/>
    <x v="0"/>
    <x v="6"/>
    <n v="46.79740000000001"/>
    <s v="Profit"/>
    <s v="No Discount"/>
  </r>
  <r>
    <n v="769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FUR-CH-10002024"/>
    <x v="1"/>
    <x v="5"/>
    <s v="HON 5400 Series Task Chairs for Big and Tall"/>
    <n v="981.37199999999996"/>
    <n v="2"/>
    <n v="0.3"/>
    <n v="-140.19599999999997"/>
    <x v="0"/>
    <x v="6"/>
    <n v="-70.097999999999985"/>
    <s v="Loss"/>
    <s v="Medium"/>
  </r>
  <r>
    <n v="770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FUR-FU-10003577"/>
    <x v="1"/>
    <x v="8"/>
    <s v="Nu-Dell Leatherette Frames"/>
    <n v="43.019999999999996"/>
    <n v="3"/>
    <n v="0"/>
    <n v="15.4872"/>
    <x v="0"/>
    <x v="6"/>
    <n v="5.1623999999999999"/>
    <s v="Profit"/>
    <s v="No Discount"/>
  </r>
  <r>
    <n v="771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FUR-FU-10003724"/>
    <x v="1"/>
    <x v="8"/>
    <s v="Westinghouse Clip-On Gooseneck Lamps"/>
    <n v="16.739999999999998"/>
    <n v="5"/>
    <n v="0.6"/>
    <n v="-14.228999999999997"/>
    <x v="0"/>
    <x v="6"/>
    <n v="-2.8457999999999997"/>
    <s v="Loss"/>
    <s v="High"/>
  </r>
  <r>
    <n v="772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AR-10003481"/>
    <x v="0"/>
    <x v="4"/>
    <s v="Newell 348"/>
    <n v="13.12"/>
    <n v="4"/>
    <n v="0"/>
    <n v="3.8047999999999984"/>
    <x v="0"/>
    <x v="6"/>
    <n v="0.9511999999999996"/>
    <s v="Profit"/>
    <s v="No Discount"/>
  </r>
  <r>
    <n v="773"/>
    <s v="US-2023-142965"/>
    <x v="159"/>
    <d v="2023-07-20T00:00:00"/>
    <s v="Same Day"/>
    <s v="SW-20245"/>
    <s v="Scot Wooten"/>
    <x v="0"/>
    <s v="United States"/>
    <s v="Springfield"/>
    <s v="Ohio"/>
    <n v="45503"/>
    <x v="1"/>
    <s v="OFF-BI-10000977"/>
    <x v="0"/>
    <x v="1"/>
    <s v="Ibico Plastic Spiral Binding Combs"/>
    <n v="27.360000000000003"/>
    <n v="3"/>
    <n v="0.7"/>
    <n v="-21.887999999999991"/>
    <x v="0"/>
    <x v="6"/>
    <n v="-7.2959999999999967"/>
    <s v="Loss"/>
    <s v="High"/>
  </r>
  <r>
    <n v="774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BI-10001982"/>
    <x v="0"/>
    <x v="1"/>
    <s v="Wilson Jones Custom Binder Spines &amp; Labels"/>
    <n v="8.7040000000000006"/>
    <n v="2"/>
    <n v="0.2"/>
    <n v="3.1551999999999998"/>
    <x v="0"/>
    <x v="6"/>
    <n v="1.5775999999999999"/>
    <s v="Profit"/>
    <s v="Low"/>
  </r>
  <r>
    <n v="775"/>
    <s v="US-2023-157546"/>
    <x v="159"/>
    <d v="2023-07-22T00:00:00"/>
    <s v="First Class"/>
    <s v="RD-19720"/>
    <s v="Roger Demir"/>
    <x v="0"/>
    <s v="United States"/>
    <s v="San Francisco"/>
    <s v="California"/>
    <n v="94122"/>
    <x v="3"/>
    <s v="OFF-BI-10002498"/>
    <x v="0"/>
    <x v="1"/>
    <s v="Clear Mylar Reinforcing Strips"/>
    <n v="89.712000000000018"/>
    <n v="6"/>
    <n v="0.2"/>
    <n v="30.277799999999992"/>
    <x v="0"/>
    <x v="6"/>
    <n v="5.0462999999999987"/>
    <s v="Profit"/>
    <s v="Low"/>
  </r>
  <r>
    <n v="776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PA-10000418"/>
    <x v="0"/>
    <x v="0"/>
    <s v="Xerox 189"/>
    <n v="104.85"/>
    <n v="1"/>
    <n v="0"/>
    <n v="50.327999999999996"/>
    <x v="0"/>
    <x v="6"/>
    <n v="50.327999999999996"/>
    <s v="Profit"/>
    <s v="No Discount"/>
  </r>
  <r>
    <n v="777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PA-10002230"/>
    <x v="0"/>
    <x v="0"/>
    <s v="Xerox 1897"/>
    <n v="19.920000000000002"/>
    <n v="4"/>
    <n v="0"/>
    <n v="9.7608000000000015"/>
    <x v="0"/>
    <x v="6"/>
    <n v="2.4402000000000004"/>
    <s v="Profit"/>
    <s v="No Discount"/>
  </r>
  <r>
    <n v="778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PA-10003971"/>
    <x v="0"/>
    <x v="0"/>
    <s v="Xerox 1965"/>
    <n v="11.96"/>
    <n v="2"/>
    <n v="0"/>
    <n v="5.8604000000000003"/>
    <x v="0"/>
    <x v="6"/>
    <n v="2.9302000000000001"/>
    <s v="Profit"/>
    <s v="No Discount"/>
  </r>
  <r>
    <n v="779"/>
    <s v="US-2023-157546"/>
    <x v="159"/>
    <d v="2023-07-22T00:00:00"/>
    <s v="First Class"/>
    <s v="RD-19720"/>
    <s v="Roger Demir"/>
    <x v="0"/>
    <s v="United States"/>
    <s v="San Francisco"/>
    <s v="California"/>
    <n v="94122"/>
    <x v="3"/>
    <s v="OFF-PA-10004569"/>
    <x v="0"/>
    <x v="0"/>
    <s v="Wirebound Message Books, Two 4 1/4&quot; x 5&quot; Forms per Page"/>
    <n v="22.830000000000002"/>
    <n v="3"/>
    <n v="0"/>
    <n v="10.7301"/>
    <x v="0"/>
    <x v="6"/>
    <n v="3.5767000000000002"/>
    <s v="Profit"/>
    <s v="No Discount"/>
  </r>
  <r>
    <n v="780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ST-10001490"/>
    <x v="0"/>
    <x v="3"/>
    <s v="Hot File 7-Pocket, Floor Stand"/>
    <n v="535.41"/>
    <n v="3"/>
    <n v="0"/>
    <n v="160.62299999999993"/>
    <x v="0"/>
    <x v="6"/>
    <n v="53.540999999999976"/>
    <s v="Profit"/>
    <s v="No Discount"/>
  </r>
  <r>
    <n v="781"/>
    <s v="US-2023-142965"/>
    <x v="159"/>
    <d v="2023-07-20T00:00:00"/>
    <s v="Same Day"/>
    <s v="SW-20245"/>
    <s v="Scot Wooten"/>
    <x v="0"/>
    <s v="United States"/>
    <s v="Springfield"/>
    <s v="Ohio"/>
    <n v="45503"/>
    <x v="1"/>
    <s v="OFF-ST-10002583"/>
    <x v="0"/>
    <x v="3"/>
    <s v="Fellowes Neat Ideas Storage Cubes"/>
    <n v="25.983999999999998"/>
    <n v="1"/>
    <n v="0.2"/>
    <n v="-5.1968000000000005"/>
    <x v="0"/>
    <x v="6"/>
    <n v="-5.1968000000000005"/>
    <s v="Loss"/>
    <s v="Low"/>
  </r>
  <r>
    <n v="782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OFF-ST-10003306"/>
    <x v="0"/>
    <x v="3"/>
    <s v="Letter Size Cart"/>
    <n v="342.86400000000003"/>
    <n v="3"/>
    <n v="0.2"/>
    <n v="38.572199999999953"/>
    <x v="0"/>
    <x v="6"/>
    <n v="12.857399999999984"/>
    <s v="Profit"/>
    <s v="Low"/>
  </r>
  <r>
    <n v="783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TEC-AC-10000023"/>
    <x v="2"/>
    <x v="9"/>
    <s v="Maxell 74 Minute CD-R Spindle, 50/Pack"/>
    <n v="41.94"/>
    <n v="2"/>
    <n v="0"/>
    <n v="15.098399999999998"/>
    <x v="0"/>
    <x v="6"/>
    <n v="7.549199999999999"/>
    <s v="Profit"/>
    <s v="No Discount"/>
  </r>
  <r>
    <n v="784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FUR-CH-10001215"/>
    <x v="1"/>
    <x v="5"/>
    <s v="Global Troy Executive Leather Low-Back Tilter"/>
    <n v="801.5680000000001"/>
    <n v="2"/>
    <n v="0.2"/>
    <n v="50.097999999999985"/>
    <x v="0"/>
    <x v="6"/>
    <n v="25.048999999999992"/>
    <s v="Profit"/>
    <s v="Low"/>
  </r>
  <r>
    <n v="785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FUR-CH-10004997"/>
    <x v="1"/>
    <x v="5"/>
    <s v="Hon Every-Day Series Multi-Task Chairs"/>
    <n v="657.93"/>
    <n v="5"/>
    <n v="0.3"/>
    <n v="-93.989999999999952"/>
    <x v="0"/>
    <x v="6"/>
    <n v="-18.797999999999991"/>
    <s v="Loss"/>
    <s v="Medium"/>
  </r>
  <r>
    <n v="786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FUR-TA-10004175"/>
    <x v="1"/>
    <x v="13"/>
    <s v="Hon 30&quot; x 60&quot; Table with Locking Drawer"/>
    <n v="272.84800000000001"/>
    <n v="1"/>
    <n v="0.2"/>
    <n v="27.284800000000004"/>
    <x v="0"/>
    <x v="6"/>
    <n v="27.284800000000004"/>
    <s v="Profit"/>
    <s v="Low"/>
  </r>
  <r>
    <n v="787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AP-10000124"/>
    <x v="0"/>
    <x v="12"/>
    <s v="Acco 6 Outlet Guardian Basic Surge Suppressor"/>
    <n v="4.9919999999999991"/>
    <n v="3"/>
    <n v="0.8"/>
    <n v="-12.979200000000002"/>
    <x v="0"/>
    <x v="6"/>
    <n v="-4.3264000000000005"/>
    <s v="Loss"/>
    <s v="High"/>
  </r>
  <r>
    <n v="788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OFF-AR-10002067"/>
    <x v="0"/>
    <x v="4"/>
    <s v="Newell 334"/>
    <n v="99.2"/>
    <n v="5"/>
    <n v="0"/>
    <n v="25.792000000000002"/>
    <x v="0"/>
    <x v="6"/>
    <n v="5.1584000000000003"/>
    <s v="Profit"/>
    <s v="No Discount"/>
  </r>
  <r>
    <n v="789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BI-10000494"/>
    <x v="0"/>
    <x v="1"/>
    <s v="Acco Economy Flexible Poly Round Ring Binder"/>
    <n v="1.0439999999999998"/>
    <n v="1"/>
    <n v="0.8"/>
    <n v="-1.8270000000000004"/>
    <x v="0"/>
    <x v="6"/>
    <n v="-1.8270000000000004"/>
    <s v="Loss"/>
    <s v="High"/>
  </r>
  <r>
    <n v="790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EN-10003567"/>
    <x v="0"/>
    <x v="11"/>
    <s v="Inter-Office Recycled Envelopes, Brown Kraft, Button-String,10&quot; x 13&quot; , 100/Box"/>
    <n v="87.92"/>
    <n v="5"/>
    <n v="0.2"/>
    <n v="29.673000000000005"/>
    <x v="0"/>
    <x v="6"/>
    <n v="5.9346000000000014"/>
    <s v="Profit"/>
    <s v="Low"/>
  </r>
  <r>
    <n v="791"/>
    <s v="US-2023-109890"/>
    <x v="160"/>
    <d v="2023-07-27T00:00:00"/>
    <s v="Standard Class"/>
    <s v="PG-18820"/>
    <s v="Patrick Gardner"/>
    <x v="0"/>
    <s v="United States"/>
    <s v="Omaha"/>
    <s v="Nebraska"/>
    <n v="68104"/>
    <x v="0"/>
    <s v="TEC-PH-10004100"/>
    <x v="2"/>
    <x v="7"/>
    <s v="Griffin GC17055 Auxiliary Audio Cable"/>
    <n v="35.979999999999997"/>
    <n v="2"/>
    <n v="0"/>
    <n v="10.074400000000001"/>
    <x v="0"/>
    <x v="6"/>
    <n v="5.0372000000000003"/>
    <s v="Profit"/>
    <s v="No Discount"/>
  </r>
  <r>
    <n v="792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FUR-CH-10000155"/>
    <x v="1"/>
    <x v="5"/>
    <s v="Global Comet Stacking Armless Chair"/>
    <n v="717.72"/>
    <n v="3"/>
    <n v="0.2"/>
    <n v="71.77200000000002"/>
    <x v="0"/>
    <x v="6"/>
    <n v="23.924000000000007"/>
    <s v="Profit"/>
    <s v="Low"/>
  </r>
  <r>
    <n v="793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FUR-TA-10004767"/>
    <x v="1"/>
    <x v="13"/>
    <s v="Safco Drafting Table"/>
    <n v="170.35200000000003"/>
    <n v="3"/>
    <n v="0.2"/>
    <n v="19.164599999999979"/>
    <x v="0"/>
    <x v="6"/>
    <n v="6.3881999999999932"/>
    <s v="Profit"/>
    <s v="Low"/>
  </r>
  <r>
    <n v="794"/>
    <s v="US-2023-127691"/>
    <x v="161"/>
    <d v="2023-07-27T00:00:00"/>
    <s v="Standard Class"/>
    <s v="EM-14065"/>
    <s v="Erin Mull"/>
    <x v="0"/>
    <s v="United States"/>
    <s v="New York City"/>
    <s v="New York"/>
    <n v="10024"/>
    <x v="1"/>
    <s v="OFF-AR-10002053"/>
    <x v="0"/>
    <x v="4"/>
    <s v="Premium Writing Pencils, Soft, #2 by Central Association for the Blind"/>
    <n v="5.96"/>
    <n v="2"/>
    <n v="0"/>
    <n v="1.6688000000000001"/>
    <x v="0"/>
    <x v="6"/>
    <n v="0.83440000000000003"/>
    <s v="Profit"/>
    <s v="No Discount"/>
  </r>
  <r>
    <n v="795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OFF-AR-10003190"/>
    <x v="0"/>
    <x v="4"/>
    <s v="Newell 32"/>
    <n v="11.52"/>
    <n v="4"/>
    <n v="0"/>
    <n v="3.2256"/>
    <x v="0"/>
    <x v="6"/>
    <n v="0.80640000000000001"/>
    <s v="Profit"/>
    <s v="No Discount"/>
  </r>
  <r>
    <n v="796"/>
    <s v="US-2023-122679"/>
    <x v="161"/>
    <d v="2023-07-28T00:00:00"/>
    <s v="Standard Class"/>
    <s v="AB-10255"/>
    <s v="Alejandro Ballentine"/>
    <x v="1"/>
    <s v="United States"/>
    <s v="Los Angeles"/>
    <s v="California"/>
    <n v="90008"/>
    <x v="3"/>
    <s v="OFF-AR-10004757"/>
    <x v="0"/>
    <x v="4"/>
    <s v="Crayola Colored Pencils"/>
    <n v="19.68"/>
    <n v="6"/>
    <n v="0"/>
    <n v="6.4943999999999988"/>
    <x v="0"/>
    <x v="6"/>
    <n v="1.0823999999999998"/>
    <s v="Profit"/>
    <s v="No Discount"/>
  </r>
  <r>
    <n v="797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OFF-ST-10003058"/>
    <x v="0"/>
    <x v="3"/>
    <s v="Eldon Mobile Mega Data Cart  Mega Stackable  Add-On Trays"/>
    <n v="236.5"/>
    <n v="10"/>
    <n v="0"/>
    <n v="68.584999999999994"/>
    <x v="0"/>
    <x v="6"/>
    <n v="6.8584999999999994"/>
    <s v="Profit"/>
    <s v="No Discount"/>
  </r>
  <r>
    <n v="798"/>
    <s v="US-2023-164644"/>
    <x v="161"/>
    <d v="2023-07-24T00:00:00"/>
    <s v="Second Class"/>
    <s v="JL-15850"/>
    <s v="John Lucas"/>
    <x v="0"/>
    <s v="United States"/>
    <s v="Houston"/>
    <s v="Texas"/>
    <n v="77095"/>
    <x v="0"/>
    <s v="OFF-ST-10003123"/>
    <x v="0"/>
    <x v="3"/>
    <s v="Fellowes Bases and Tops For Staxonsteel/High-Stak Systems"/>
    <n v="26.632000000000001"/>
    <n v="1"/>
    <n v="0.2"/>
    <n v="1.331599999999999"/>
    <x v="0"/>
    <x v="6"/>
    <n v="1.331599999999999"/>
    <s v="Profit"/>
    <s v="Low"/>
  </r>
  <r>
    <n v="799"/>
    <s v="US-2023-127691"/>
    <x v="161"/>
    <d v="2023-07-27T00:00:00"/>
    <s v="Standard Class"/>
    <s v="EM-14065"/>
    <s v="Erin Mull"/>
    <x v="0"/>
    <s v="United States"/>
    <s v="New York City"/>
    <s v="New York"/>
    <n v="10024"/>
    <x v="1"/>
    <s v="TEC-AC-10002567"/>
    <x v="2"/>
    <x v="9"/>
    <s v="Logitech G602 Wireless Gaming Mouse"/>
    <n v="159.97999999999999"/>
    <n v="2"/>
    <n v="0"/>
    <n v="57.592799999999997"/>
    <x v="0"/>
    <x v="6"/>
    <n v="28.796399999999998"/>
    <s v="Profit"/>
    <s v="No Discount"/>
  </r>
  <r>
    <n v="800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OFF-AR-10000658"/>
    <x v="0"/>
    <x v="4"/>
    <s v="Newell 324"/>
    <n v="9.24"/>
    <n v="1"/>
    <n v="0.2"/>
    <n v="0.92399999999999993"/>
    <x v="0"/>
    <x v="6"/>
    <n v="0.92399999999999993"/>
    <s v="Profit"/>
    <s v="Low"/>
  </r>
  <r>
    <n v="801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OFF-BI-10001982"/>
    <x v="0"/>
    <x v="1"/>
    <s v="Wilson Jones Custom Binder Spines &amp; Labels"/>
    <n v="8.1600000000000019"/>
    <n v="5"/>
    <n v="0.7"/>
    <n v="-5.7119999999999997"/>
    <x v="0"/>
    <x v="6"/>
    <n v="-1.1423999999999999"/>
    <s v="Loss"/>
    <s v="High"/>
  </r>
  <r>
    <n v="802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OFF-SU-10004664"/>
    <x v="0"/>
    <x v="14"/>
    <s v="Acme Softgrip Scissors"/>
    <n v="40.700000000000003"/>
    <n v="5"/>
    <n v="0"/>
    <n v="11.802999999999999"/>
    <x v="0"/>
    <x v="6"/>
    <n v="2.3605999999999998"/>
    <s v="Profit"/>
    <s v="No Discount"/>
  </r>
  <r>
    <n v="803"/>
    <s v="US-2023-103058"/>
    <x v="162"/>
    <d v="2023-07-24T00:00:00"/>
    <s v="First Class"/>
    <s v="AG-10270"/>
    <s v="Alejandro Grove"/>
    <x v="0"/>
    <s v="United States"/>
    <s v="New York City"/>
    <s v="New York"/>
    <n v="10011"/>
    <x v="1"/>
    <s v="TEC-AC-10001314"/>
    <x v="2"/>
    <x v="9"/>
    <s v="Case Logic 2.4GHz Wireless Keyboard"/>
    <n v="99.98"/>
    <n v="2"/>
    <n v="0"/>
    <n v="7.9983999999999895"/>
    <x v="0"/>
    <x v="6"/>
    <n v="3.9991999999999948"/>
    <s v="Profit"/>
    <s v="No Discount"/>
  </r>
  <r>
    <n v="804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TEC-AC-10002076"/>
    <x v="2"/>
    <x v="9"/>
    <s v="Microsoft Natural Keyboard Elite"/>
    <n v="479.04"/>
    <n v="10"/>
    <n v="0.2"/>
    <n v="-29.940000000000012"/>
    <x v="0"/>
    <x v="6"/>
    <n v="-2.9940000000000011"/>
    <s v="Loss"/>
    <s v="Low"/>
  </r>
  <r>
    <n v="805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AC-10002167"/>
    <x v="2"/>
    <x v="9"/>
    <s v="Imation 8gb Micro Traveldrive Usb 2.0 Flash Drive"/>
    <n v="45"/>
    <n v="3"/>
    <n v="0"/>
    <n v="4.9500000000000011"/>
    <x v="0"/>
    <x v="6"/>
    <n v="1.6500000000000004"/>
    <s v="Profit"/>
    <s v="No Discount"/>
  </r>
  <r>
    <n v="806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TEC-AC-10003911"/>
    <x v="2"/>
    <x v="9"/>
    <s v="NETGEAR AC1750 Dual Band Gigabit Smart WiFi Router"/>
    <n v="1023.9360000000001"/>
    <n v="8"/>
    <n v="0.2"/>
    <n v="179.1887999999999"/>
    <x v="0"/>
    <x v="6"/>
    <n v="22.398599999999988"/>
    <s v="Profit"/>
    <s v="Low"/>
  </r>
  <r>
    <n v="807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PH-10000441"/>
    <x v="2"/>
    <x v="7"/>
    <s v="VTech DS6151"/>
    <n v="604.75199999999995"/>
    <n v="6"/>
    <n v="0.2"/>
    <n v="60.475200000000058"/>
    <x v="0"/>
    <x v="6"/>
    <n v="10.079200000000009"/>
    <s v="Profit"/>
    <s v="Low"/>
  </r>
  <r>
    <n v="808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PH-10004531"/>
    <x v="2"/>
    <x v="7"/>
    <s v="AT&amp;T CL2909"/>
    <n v="302.37599999999998"/>
    <n v="3"/>
    <n v="0.2"/>
    <n v="37.796999999999997"/>
    <x v="0"/>
    <x v="6"/>
    <n v="12.598999999999998"/>
    <s v="Profit"/>
    <s v="Low"/>
  </r>
  <r>
    <n v="809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FUR-FU-10004351"/>
    <x v="1"/>
    <x v="8"/>
    <s v="Staple-based wall hangings"/>
    <n v="77.92"/>
    <n v="8"/>
    <n v="0"/>
    <n v="34.284800000000004"/>
    <x v="0"/>
    <x v="6"/>
    <n v="4.2856000000000005"/>
    <s v="Profit"/>
    <s v="No Discount"/>
  </r>
  <r>
    <n v="810"/>
    <s v="US-2023-146528"/>
    <x v="163"/>
    <d v="2023-07-27T00:00:00"/>
    <s v="Second Class"/>
    <s v="VF-21715"/>
    <s v="Vicky Freymann"/>
    <x v="1"/>
    <s v="United States"/>
    <s v="Los Angeles"/>
    <s v="California"/>
    <n v="90045"/>
    <x v="3"/>
    <s v="OFF-PA-10002195"/>
    <x v="0"/>
    <x v="0"/>
    <s v="Xerox 1966"/>
    <n v="6.48"/>
    <n v="1"/>
    <n v="0"/>
    <n v="3.1752000000000002"/>
    <x v="0"/>
    <x v="6"/>
    <n v="3.1752000000000002"/>
    <s v="Profit"/>
    <s v="No Discount"/>
  </r>
  <r>
    <n v="811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OFF-ST-10001228"/>
    <x v="0"/>
    <x v="3"/>
    <s v="Fellowes Personal Hanging Folder Files, Navy"/>
    <n v="53.72"/>
    <n v="4"/>
    <n v="0"/>
    <n v="15.041600000000003"/>
    <x v="0"/>
    <x v="6"/>
    <n v="3.7604000000000006"/>
    <s v="Profit"/>
    <s v="No Discount"/>
  </r>
  <r>
    <n v="812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OFF-SU-10000151"/>
    <x v="0"/>
    <x v="14"/>
    <s v="High Speed Automatic Electric Letter Opener"/>
    <n v="8187.65"/>
    <n v="5"/>
    <n v="0"/>
    <n v="327.50599999999963"/>
    <x v="0"/>
    <x v="6"/>
    <n v="65.501199999999926"/>
    <s v="Profit"/>
    <s v="No Discount"/>
  </r>
  <r>
    <n v="813"/>
    <s v="US-2023-146528"/>
    <x v="163"/>
    <d v="2023-07-27T00:00:00"/>
    <s v="Second Class"/>
    <s v="VF-21715"/>
    <s v="Vicky Freymann"/>
    <x v="1"/>
    <s v="United States"/>
    <s v="Los Angeles"/>
    <s v="California"/>
    <n v="90045"/>
    <x v="3"/>
    <s v="OFF-SU-10002522"/>
    <x v="0"/>
    <x v="14"/>
    <s v="Acme Kleen Earth Office Shears"/>
    <n v="15.52"/>
    <n v="4"/>
    <n v="0"/>
    <n v="4.5007999999999981"/>
    <x v="0"/>
    <x v="6"/>
    <n v="1.1251999999999995"/>
    <s v="Profit"/>
    <s v="No Discount"/>
  </r>
  <r>
    <n v="814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FUR-CH-10000553"/>
    <x v="1"/>
    <x v="5"/>
    <s v="Metal Folding Chairs, Beige, 4/Carton"/>
    <n v="67.88"/>
    <n v="2"/>
    <n v="0"/>
    <n v="18.327599999999997"/>
    <x v="0"/>
    <x v="6"/>
    <n v="9.1637999999999984"/>
    <s v="Profit"/>
    <s v="No Discount"/>
  </r>
  <r>
    <n v="815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FUR-CH-10003312"/>
    <x v="1"/>
    <x v="5"/>
    <s v="Hon 2090 “Pillow Soft” Series Mid Back Swivel/Tilt Chairs"/>
    <n v="674.35200000000009"/>
    <n v="3"/>
    <n v="0.2"/>
    <n v="-109.58220000000011"/>
    <x v="0"/>
    <x v="6"/>
    <n v="-36.527400000000036"/>
    <s v="Loss"/>
    <s v="Low"/>
  </r>
  <r>
    <n v="816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FUR-FU-10000719"/>
    <x v="1"/>
    <x v="8"/>
    <s v="DAX Cubicle Frames, 8-1/2 x 11"/>
    <n v="25.71"/>
    <n v="3"/>
    <n v="0"/>
    <n v="9.2556000000000012"/>
    <x v="0"/>
    <x v="6"/>
    <n v="3.0852000000000004"/>
    <s v="Profit"/>
    <s v="No Discount"/>
  </r>
  <r>
    <n v="817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FUR-FU-10004018"/>
    <x v="1"/>
    <x v="8"/>
    <s v="Tensor Computer Mounted Lamp"/>
    <n v="134.01"/>
    <n v="9"/>
    <n v="0"/>
    <n v="36.182700000000004"/>
    <x v="0"/>
    <x v="6"/>
    <n v="4.0203000000000007"/>
    <s v="Profit"/>
    <s v="No Discount"/>
  </r>
  <r>
    <n v="818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FUR-FU-10004666"/>
    <x v="1"/>
    <x v="8"/>
    <s v="DAX Clear Channel Poster Frame"/>
    <n v="17.496000000000002"/>
    <n v="3"/>
    <n v="0.6"/>
    <n v="-10.060199999999998"/>
    <x v="0"/>
    <x v="6"/>
    <n v="-3.3533999999999993"/>
    <s v="Loss"/>
    <s v="High"/>
  </r>
  <r>
    <n v="819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AP-10003281"/>
    <x v="0"/>
    <x v="12"/>
    <s v="Acco 6 Outlet Guardian Standard Surge Suppressor"/>
    <n v="4.8359999999999985"/>
    <n v="2"/>
    <n v="0.8"/>
    <n v="-12.090000000000003"/>
    <x v="0"/>
    <x v="6"/>
    <n v="-6.0450000000000017"/>
    <s v="Loss"/>
    <s v="High"/>
  </r>
  <r>
    <n v="820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1524"/>
    <x v="0"/>
    <x v="1"/>
    <s v="GBC Premium Transparent Covers with Diagonal Lined Pattern"/>
    <n v="16.783999999999995"/>
    <n v="4"/>
    <n v="0.8"/>
    <n v="-26.854400000000012"/>
    <x v="0"/>
    <x v="6"/>
    <n v="-6.7136000000000031"/>
    <s v="Loss"/>
    <s v="High"/>
  </r>
  <r>
    <n v="821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1679"/>
    <x v="0"/>
    <x v="1"/>
    <s v="GBC Instant Index System for Binding Systems"/>
    <n v="8.879999999999999"/>
    <n v="5"/>
    <n v="0.8"/>
    <n v="-13.32"/>
    <x v="0"/>
    <x v="6"/>
    <n v="-2.6640000000000001"/>
    <s v="Loss"/>
    <s v="High"/>
  </r>
  <r>
    <n v="822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4995"/>
    <x v="0"/>
    <x v="1"/>
    <s v="GBC DocuBind P400 Electric Binding System"/>
    <n v="2177.5839999999994"/>
    <n v="8"/>
    <n v="0.8"/>
    <n v="-3701.8928000000014"/>
    <x v="0"/>
    <x v="6"/>
    <n v="-462.73660000000018"/>
    <s v="Loss"/>
    <s v="High"/>
  </r>
  <r>
    <n v="823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OFF-LA-10002762"/>
    <x v="0"/>
    <x v="2"/>
    <s v="Avery 485"/>
    <n v="162.88999999999999"/>
    <n v="13"/>
    <n v="0"/>
    <n v="76.558299999999988"/>
    <x v="0"/>
    <x v="6"/>
    <n v="5.8890999999999991"/>
    <s v="Profit"/>
    <s v="No Discount"/>
  </r>
  <r>
    <n v="824"/>
    <s v="US-2023-155894"/>
    <x v="164"/>
    <d v="2023-07-30T00:00:00"/>
    <s v="Second Class"/>
    <s v="CL-11890"/>
    <s v="Carl Ludwig"/>
    <x v="0"/>
    <s v="United States"/>
    <s v="Chicago"/>
    <s v="Illinois"/>
    <n v="60623"/>
    <x v="0"/>
    <s v="OFF-ST-10004804"/>
    <x v="0"/>
    <x v="3"/>
    <s v="Belkin 19&quot; Vented Equipment Shelf, Black"/>
    <n v="123.55199999999999"/>
    <n v="3"/>
    <n v="0.2"/>
    <n v="-29.343599999999995"/>
    <x v="0"/>
    <x v="6"/>
    <n v="-9.7811999999999983"/>
    <s v="Loss"/>
    <s v="Low"/>
  </r>
  <r>
    <n v="825"/>
    <s v="US-2023-159121"/>
    <x v="164"/>
    <d v="2023-08-01T00:00:00"/>
    <s v="Standard Class"/>
    <s v="JO-15145"/>
    <s v="Jack O'Briant"/>
    <x v="2"/>
    <s v="United States"/>
    <s v="Draper"/>
    <s v="Utah"/>
    <n v="84020"/>
    <x v="3"/>
    <s v="TEC-AC-10002006"/>
    <x v="2"/>
    <x v="9"/>
    <s v="Memorex Micro Travel Drive 16 GB"/>
    <n v="111.93"/>
    <n v="7"/>
    <n v="0"/>
    <n v="34.698299999999996"/>
    <x v="0"/>
    <x v="6"/>
    <n v="4.9568999999999992"/>
    <s v="Profit"/>
    <s v="No Discount"/>
  </r>
  <r>
    <n v="826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TEC-AC-10002076"/>
    <x v="2"/>
    <x v="9"/>
    <s v="Microsoft Natural Keyboard Elite"/>
    <n v="431.13600000000002"/>
    <n v="9"/>
    <n v="0.2"/>
    <n v="-26.946000000000012"/>
    <x v="0"/>
    <x v="6"/>
    <n v="-2.9940000000000015"/>
    <s v="Loss"/>
    <s v="Low"/>
  </r>
  <r>
    <n v="827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TEC-AC-10004814"/>
    <x v="2"/>
    <x v="9"/>
    <s v="Logitech Illuminated Ultrathin Keyboard with Backlighting"/>
    <n v="170.97"/>
    <n v="3"/>
    <n v="0"/>
    <n v="70.097700000000003"/>
    <x v="0"/>
    <x v="6"/>
    <n v="23.3659"/>
    <s v="Profit"/>
    <s v="No Discount"/>
  </r>
  <r>
    <n v="828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TEC-PH-10001363"/>
    <x v="2"/>
    <x v="7"/>
    <s v="Apple iPhone 5S"/>
    <n v="911.98400000000004"/>
    <n v="2"/>
    <n v="0.2"/>
    <n v="113.99799999999991"/>
    <x v="0"/>
    <x v="6"/>
    <n v="56.998999999999953"/>
    <s v="Profit"/>
    <s v="Low"/>
  </r>
  <r>
    <n v="829"/>
    <s v="US-2023-150126"/>
    <x v="165"/>
    <d v="2023-08-02T00:00:00"/>
    <s v="Standard Class"/>
    <s v="AS-10045"/>
    <s v="Aaron Smayling"/>
    <x v="2"/>
    <s v="United States"/>
    <s v="New York City"/>
    <s v="New York"/>
    <n v="10035"/>
    <x v="1"/>
    <s v="OFF-PA-10002709"/>
    <x v="0"/>
    <x v="0"/>
    <s v="Xerox 1956"/>
    <n v="65.78"/>
    <n v="11"/>
    <n v="0"/>
    <n v="32.232199999999999"/>
    <x v="0"/>
    <x v="6"/>
    <n v="2.9301999999999997"/>
    <s v="Profit"/>
    <s v="No Discount"/>
  </r>
  <r>
    <n v="830"/>
    <s v="US-2023-169642"/>
    <x v="165"/>
    <d v="2023-07-30T00:00:00"/>
    <s v="Second Class"/>
    <s v="BB-10990"/>
    <s v="Barry Blumstein"/>
    <x v="2"/>
    <s v="United States"/>
    <s v="Los Angeles"/>
    <s v="California"/>
    <n v="90036"/>
    <x v="3"/>
    <s v="OFF-ST-10002574"/>
    <x v="0"/>
    <x v="3"/>
    <s v="SAFCO Commercial Wire Shelving, Black"/>
    <n v="276.27999999999997"/>
    <n v="2"/>
    <n v="0"/>
    <n v="0"/>
    <x v="0"/>
    <x v="6"/>
    <n v="0"/>
    <s v="Break-even"/>
    <s v="No Discount"/>
  </r>
  <r>
    <n v="831"/>
    <s v="US-2023-124709"/>
    <x v="165"/>
    <d v="2023-07-29T00:00:00"/>
    <s v="Second Class"/>
    <s v="GW-14605"/>
    <s v="Giulietta Weimer"/>
    <x v="0"/>
    <s v="United States"/>
    <s v="San Francisco"/>
    <s v="California"/>
    <n v="94122"/>
    <x v="3"/>
    <s v="TEC-AC-10002842"/>
    <x v="2"/>
    <x v="9"/>
    <s v="WD My Passport Ultra 2TB Portable External Hard Drive"/>
    <n v="238"/>
    <n v="2"/>
    <n v="0"/>
    <n v="38.080000000000013"/>
    <x v="0"/>
    <x v="6"/>
    <n v="19.040000000000006"/>
    <s v="Profit"/>
    <s v="No Discount"/>
  </r>
  <r>
    <n v="832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FUR-FU-10003623"/>
    <x v="1"/>
    <x v="8"/>
    <s v="DataProducts Ampli Magnifier Task Lamp, Black,"/>
    <n v="129.88800000000001"/>
    <n v="6"/>
    <n v="0.2"/>
    <n v="12.988799999999991"/>
    <x v="0"/>
    <x v="6"/>
    <n v="2.1647999999999983"/>
    <s v="Profit"/>
    <s v="Low"/>
  </r>
  <r>
    <n v="833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OFF-EN-10000781"/>
    <x v="0"/>
    <x v="11"/>
    <s v="#10- 4 1/8&quot; x 9 1/2&quot; Recycled Envelopes"/>
    <n v="48.944000000000003"/>
    <n v="7"/>
    <n v="0.2"/>
    <n v="16.518599999999999"/>
    <x v="0"/>
    <x v="6"/>
    <n v="2.3597999999999999"/>
    <s v="Profit"/>
    <s v="Low"/>
  </r>
  <r>
    <n v="834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OFF-FA-10000621"/>
    <x v="0"/>
    <x v="6"/>
    <s v="OIC Colored Binder Clips, Assorted Sizes"/>
    <n v="14.320000000000002"/>
    <n v="5"/>
    <n v="0.2"/>
    <n v="5.1910000000000007"/>
    <x v="0"/>
    <x v="6"/>
    <n v="1.0382000000000002"/>
    <s v="Profit"/>
    <s v="Low"/>
  </r>
  <r>
    <n v="835"/>
    <s v="US-2023-111192"/>
    <x v="167"/>
    <d v="2023-08-05T00:00:00"/>
    <s v="Standard Class"/>
    <s v="TS-21430"/>
    <s v="Tom Stivers"/>
    <x v="2"/>
    <s v="United States"/>
    <s v="Seattle"/>
    <s v="Washington"/>
    <n v="98103"/>
    <x v="3"/>
    <s v="FUR-BO-10002916"/>
    <x v="1"/>
    <x v="10"/>
    <s v="Rush Hierlooms Collection 1&quot; Thick Stackable Bookcases"/>
    <n v="1367.84"/>
    <n v="8"/>
    <n v="0"/>
    <n v="259.88959999999997"/>
    <x v="0"/>
    <x v="6"/>
    <n v="32.486199999999997"/>
    <s v="Profit"/>
    <s v="No Discount"/>
  </r>
  <r>
    <n v="836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FUR-FU-10000629"/>
    <x v="1"/>
    <x v="8"/>
    <s v="9-3/4 Diameter Round Wall Clock"/>
    <n v="44.128"/>
    <n v="4"/>
    <n v="0.2"/>
    <n v="12.135200000000001"/>
    <x v="0"/>
    <x v="7"/>
    <n v="3.0338000000000003"/>
    <s v="Profit"/>
    <s v="Low"/>
  </r>
  <r>
    <n v="837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AP-10001005"/>
    <x v="0"/>
    <x v="12"/>
    <s v="Honeywell Quietcare HEPA Air Cleaner"/>
    <n v="62.920000000000009"/>
    <n v="1"/>
    <n v="0.2"/>
    <n v="10.224499999999994"/>
    <x v="0"/>
    <x v="7"/>
    <n v="10.224499999999994"/>
    <s v="Profit"/>
    <s v="Low"/>
  </r>
  <r>
    <n v="838"/>
    <s v="US-2023-152296"/>
    <x v="168"/>
    <d v="2023-08-03T00:00:00"/>
    <s v="First Class"/>
    <s v="IL-15100"/>
    <s v="Ivan Liston"/>
    <x v="0"/>
    <s v="United States"/>
    <s v="San Francisco"/>
    <s v="California"/>
    <n v="94122"/>
    <x v="3"/>
    <s v="OFF-BI-10004506"/>
    <x v="0"/>
    <x v="1"/>
    <s v="Wilson Jones data.warehouse D-Ring Binders with DublLock"/>
    <n v="19.752000000000002"/>
    <n v="3"/>
    <n v="0.2"/>
    <n v="6.9131999999999998"/>
    <x v="0"/>
    <x v="7"/>
    <n v="2.3043999999999998"/>
    <s v="Profit"/>
    <s v="Low"/>
  </r>
  <r>
    <n v="839"/>
    <s v="US-2023-162684"/>
    <x v="168"/>
    <d v="2023-08-06T00:00:00"/>
    <s v="Standard Class"/>
    <s v="AS-10630"/>
    <s v="Ann Steele"/>
    <x v="1"/>
    <s v="United States"/>
    <s v="Philadelphia"/>
    <s v="Pennsylvania"/>
    <n v="19120"/>
    <x v="1"/>
    <s v="OFF-FA-10000992"/>
    <x v="0"/>
    <x v="6"/>
    <s v="Acco Clips to Go Binder Clips, 24 Clips in Two Sizes"/>
    <n v="5.68"/>
    <n v="2"/>
    <n v="0.2"/>
    <n v="1.9169999999999998"/>
    <x v="0"/>
    <x v="7"/>
    <n v="0.95849999999999991"/>
    <s v="Profit"/>
    <s v="Low"/>
  </r>
  <r>
    <n v="840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LA-10000240"/>
    <x v="0"/>
    <x v="2"/>
    <s v="Self-Adhesive Address Labels for Typewriters by Universal"/>
    <n v="17.544"/>
    <n v="3"/>
    <n v="0.2"/>
    <n v="5.9210999999999983"/>
    <x v="0"/>
    <x v="7"/>
    <n v="1.9736999999999993"/>
    <s v="Profit"/>
    <s v="Low"/>
  </r>
  <r>
    <n v="841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PA-10002377"/>
    <x v="0"/>
    <x v="0"/>
    <s v="Xerox 1916"/>
    <n v="78.304000000000002"/>
    <n v="2"/>
    <n v="0.2"/>
    <n v="29.363999999999997"/>
    <x v="0"/>
    <x v="7"/>
    <n v="14.681999999999999"/>
    <s v="Profit"/>
    <s v="Low"/>
  </r>
  <r>
    <n v="842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OFF-BI-10001758"/>
    <x v="0"/>
    <x v="1"/>
    <s v="Wilson Jones 14 Line Acrylic Coated Pressboard Data Binders"/>
    <n v="26.7"/>
    <n v="5"/>
    <n v="0"/>
    <n v="12.548999999999999"/>
    <x v="0"/>
    <x v="7"/>
    <n v="2.5097999999999998"/>
    <s v="Profit"/>
    <s v="No Discount"/>
  </r>
  <r>
    <n v="843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OFF-ST-10002011"/>
    <x v="0"/>
    <x v="3"/>
    <s v="Smead Adjustable Mobile File Trolley with Lockable Top"/>
    <n v="838.38"/>
    <n v="2"/>
    <n v="0"/>
    <n v="226.36260000000004"/>
    <x v="0"/>
    <x v="7"/>
    <n v="113.18130000000002"/>
    <s v="Profit"/>
    <s v="No Discount"/>
  </r>
  <r>
    <n v="844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TEC-AC-10003237"/>
    <x v="2"/>
    <x v="9"/>
    <s v="Memorex Micro Travel Drive 4 GB"/>
    <n v="21.2"/>
    <n v="2"/>
    <n v="0"/>
    <n v="9.1160000000000014"/>
    <x v="0"/>
    <x v="7"/>
    <n v="4.5580000000000007"/>
    <s v="Profit"/>
    <s v="No Discount"/>
  </r>
  <r>
    <n v="845"/>
    <s v="US-2023-133690"/>
    <x v="170"/>
    <d v="2023-08-05T00:00:00"/>
    <s v="First Class"/>
    <s v="BS-11755"/>
    <s v="Bruce Stewart"/>
    <x v="0"/>
    <s v="United States"/>
    <s v="Denver"/>
    <s v="Colorado"/>
    <n v="80219"/>
    <x v="3"/>
    <s v="FUR-TA-10004289"/>
    <x v="1"/>
    <x v="13"/>
    <s v="BoxOffice By Design Rectangular and Half-Moon Meeting Room Tables"/>
    <n v="218.75"/>
    <n v="2"/>
    <n v="0.5"/>
    <n v="-161.875"/>
    <x v="0"/>
    <x v="7"/>
    <n v="-80.9375"/>
    <s v="Loss"/>
    <s v="High"/>
  </r>
  <r>
    <n v="846"/>
    <s v="US-2023-133690"/>
    <x v="170"/>
    <d v="2023-08-05T00:00:00"/>
    <s v="First Class"/>
    <s v="BS-11755"/>
    <s v="Bruce Stewart"/>
    <x v="0"/>
    <s v="United States"/>
    <s v="Denver"/>
    <s v="Colorado"/>
    <n v="80219"/>
    <x v="3"/>
    <s v="OFF-AP-10003622"/>
    <x v="0"/>
    <x v="12"/>
    <s v="Bravo II Megaboss 12-Amp Hard Body Upright, Replacement Belts, 2 Belts per Pack"/>
    <n v="2.6"/>
    <n v="1"/>
    <n v="0.2"/>
    <n v="0.29249999999999987"/>
    <x v="0"/>
    <x v="7"/>
    <n v="0.29249999999999987"/>
    <s v="Profit"/>
    <s v="Low"/>
  </r>
  <r>
    <n v="847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PA-10001019"/>
    <x v="0"/>
    <x v="0"/>
    <s v="Xerox 1884"/>
    <n v="39.96"/>
    <n v="2"/>
    <n v="0"/>
    <n v="18.781199999999998"/>
    <x v="0"/>
    <x v="7"/>
    <n v="9.3905999999999992"/>
    <s v="Profit"/>
    <s v="No Discount"/>
  </r>
  <r>
    <n v="848"/>
    <s v="US-2023-128986"/>
    <x v="170"/>
    <d v="2023-08-05T00:00:00"/>
    <s v="Second Class"/>
    <s v="GH-14410"/>
    <s v="Gary Hansen"/>
    <x v="1"/>
    <s v="United States"/>
    <s v="Glendale"/>
    <s v="Arizona"/>
    <n v="85301"/>
    <x v="3"/>
    <s v="OFF-PA-10001289"/>
    <x v="0"/>
    <x v="0"/>
    <s v="White Computer Printout Paper by Universal"/>
    <n v="93.024000000000001"/>
    <n v="3"/>
    <n v="0.2"/>
    <n v="33.721199999999996"/>
    <x v="0"/>
    <x v="7"/>
    <n v="11.240399999999999"/>
    <s v="Profit"/>
    <s v="Low"/>
  </r>
  <r>
    <n v="849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ST-10003221"/>
    <x v="0"/>
    <x v="3"/>
    <s v="Staple magnet"/>
    <n v="21.36"/>
    <n v="2"/>
    <n v="0"/>
    <n v="5.7672000000000008"/>
    <x v="0"/>
    <x v="7"/>
    <n v="2.8836000000000004"/>
    <s v="Profit"/>
    <s v="No Discount"/>
  </r>
  <r>
    <n v="850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SU-10002537"/>
    <x v="0"/>
    <x v="14"/>
    <s v="Acme Box Cutter Scissors"/>
    <n v="102.30000000000001"/>
    <n v="10"/>
    <n v="0"/>
    <n v="26.598000000000006"/>
    <x v="0"/>
    <x v="7"/>
    <n v="2.6598000000000006"/>
    <s v="Profit"/>
    <s v="No Discount"/>
  </r>
  <r>
    <n v="851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OFF-AP-10001271"/>
    <x v="0"/>
    <x v="12"/>
    <s v="Eureka The Boss Cordless Rechargeable Stick Vac"/>
    <n v="101.96"/>
    <n v="2"/>
    <n v="0"/>
    <n v="27.529200000000003"/>
    <x v="0"/>
    <x v="7"/>
    <n v="13.764600000000002"/>
    <s v="Profit"/>
    <s v="No Discount"/>
  </r>
  <r>
    <n v="852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AP-10003590"/>
    <x v="0"/>
    <x v="12"/>
    <s v="Hoover WindTunnel Plus Canister Vacuum"/>
    <n v="1089.75"/>
    <n v="3"/>
    <n v="0"/>
    <n v="305.13000000000011"/>
    <x v="0"/>
    <x v="7"/>
    <n v="101.71000000000004"/>
    <s v="Profit"/>
    <s v="No Discount"/>
  </r>
  <r>
    <n v="853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AR-10000896"/>
    <x v="0"/>
    <x v="4"/>
    <s v="Newell 329"/>
    <n v="16.399999999999999"/>
    <n v="5"/>
    <n v="0"/>
    <n v="4.2639999999999993"/>
    <x v="0"/>
    <x v="7"/>
    <n v="0.85279999999999989"/>
    <s v="Profit"/>
    <s v="No Discount"/>
  </r>
  <r>
    <n v="854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BI-10002852"/>
    <x v="0"/>
    <x v="1"/>
    <s v="Ibico Standard Transparent Covers"/>
    <n v="13.184000000000001"/>
    <n v="1"/>
    <n v="0.2"/>
    <n v="4.7792000000000003"/>
    <x v="0"/>
    <x v="7"/>
    <n v="4.7792000000000003"/>
    <s v="Profit"/>
    <s v="Low"/>
  </r>
  <r>
    <n v="855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PA-10000806"/>
    <x v="0"/>
    <x v="0"/>
    <s v="Xerox 1934"/>
    <n v="447.84"/>
    <n v="8"/>
    <n v="0"/>
    <n v="219.44159999999999"/>
    <x v="0"/>
    <x v="7"/>
    <n v="27.430199999999999"/>
    <s v="Profit"/>
    <s v="No Discount"/>
  </r>
  <r>
    <n v="856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OFF-PA-10004353"/>
    <x v="0"/>
    <x v="0"/>
    <s v="Southworth 25% Cotton Premium Laser Paper and Envelopes"/>
    <n v="259.74"/>
    <n v="13"/>
    <n v="0"/>
    <n v="124.6752"/>
    <x v="0"/>
    <x v="7"/>
    <n v="9.5904000000000007"/>
    <s v="Profit"/>
    <s v="No Discount"/>
  </r>
  <r>
    <n v="857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ST-10002289"/>
    <x v="0"/>
    <x v="3"/>
    <s v="Safco Wire Cube Shelving System, For Use as 4 or 5 14&quot; Cubes, Black"/>
    <n v="158.9"/>
    <n v="5"/>
    <n v="0"/>
    <n v="7.9449999999999932"/>
    <x v="0"/>
    <x v="7"/>
    <n v="1.5889999999999986"/>
    <s v="Profit"/>
    <s v="No Discount"/>
  </r>
  <r>
    <n v="858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TEC-AC-10002473"/>
    <x v="2"/>
    <x v="9"/>
    <s v="Maxell 4.7GB DVD-R"/>
    <n v="255.42"/>
    <n v="9"/>
    <n v="0"/>
    <n v="104.7222"/>
    <x v="0"/>
    <x v="7"/>
    <n v="11.6358"/>
    <s v="Profit"/>
    <s v="No Discount"/>
  </r>
  <r>
    <n v="859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TEC-PH-10002310"/>
    <x v="2"/>
    <x v="7"/>
    <s v="Panasonic KX T7731-B Digital phone"/>
    <n v="399.96000000000004"/>
    <n v="5"/>
    <n v="0.2"/>
    <n v="34.996499999999969"/>
    <x v="0"/>
    <x v="7"/>
    <n v="6.9992999999999936"/>
    <s v="Profit"/>
    <s v="Low"/>
  </r>
  <r>
    <n v="860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FUR-CH-10002335"/>
    <x v="1"/>
    <x v="5"/>
    <s v="Hon GuestStacker Chair"/>
    <n v="1133.3499999999999"/>
    <n v="5"/>
    <n v="0"/>
    <n v="294.67100000000005"/>
    <x v="0"/>
    <x v="7"/>
    <n v="58.934200000000011"/>
    <s v="Profit"/>
    <s v="No Discount"/>
  </r>
  <r>
    <n v="861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FUR-CH-10003817"/>
    <x v="1"/>
    <x v="5"/>
    <s v="Global Value Steno Chair, Gray"/>
    <n v="340.14400000000006"/>
    <n v="7"/>
    <n v="0.2"/>
    <n v="21.259"/>
    <x v="0"/>
    <x v="7"/>
    <n v="3.0369999999999999"/>
    <s v="Profit"/>
    <s v="Low"/>
  </r>
  <r>
    <n v="862"/>
    <s v="US-2023-124723"/>
    <x v="172"/>
    <d v="2023-08-12T00:00:00"/>
    <s v="Standard Class"/>
    <s v="GZ-14470"/>
    <s v="Gary Zandusky"/>
    <x v="0"/>
    <s v="United States"/>
    <s v="Texas City"/>
    <s v="Texas"/>
    <n v="77590"/>
    <x v="0"/>
    <s v="FUR-TA-10001307"/>
    <x v="1"/>
    <x v="13"/>
    <s v="SAFCO PlanMaster Heigh-Adjustable Drafting Table Base, 43w x 30d x 30-37h, Black"/>
    <n v="489.22999999999996"/>
    <n v="2"/>
    <n v="0.3"/>
    <n v="41.933999999999997"/>
    <x v="0"/>
    <x v="7"/>
    <n v="20.966999999999999"/>
    <s v="Profit"/>
    <s v="Medium"/>
  </r>
  <r>
    <n v="863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OFF-AP-10002765"/>
    <x v="0"/>
    <x v="12"/>
    <s v="Fellowes Advanced Computer Series Surge Protectors"/>
    <n v="79.47"/>
    <n v="3"/>
    <n v="0"/>
    <n v="22.251600000000003"/>
    <x v="0"/>
    <x v="7"/>
    <n v="7.4172000000000011"/>
    <s v="Profit"/>
    <s v="No Discount"/>
  </r>
  <r>
    <n v="864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OFF-AR-10004165"/>
    <x v="0"/>
    <x v="4"/>
    <s v="Binney &amp; Smith inkTank Erasable Pocket Highlighter, Chisel Tip, Yellow"/>
    <n v="4.5599999999999996"/>
    <n v="2"/>
    <n v="0"/>
    <n v="2.0064000000000002"/>
    <x v="0"/>
    <x v="7"/>
    <n v="1.0032000000000001"/>
    <s v="Profit"/>
    <s v="No Discount"/>
  </r>
  <r>
    <n v="865"/>
    <s v="US-2023-110065"/>
    <x v="172"/>
    <d v="2023-08-11T00:00:00"/>
    <s v="Standard Class"/>
    <s v="SP-20650"/>
    <s v="Stephanie Phelps"/>
    <x v="2"/>
    <s v="United States"/>
    <s v="New York City"/>
    <s v="New York"/>
    <n v="10009"/>
    <x v="1"/>
    <s v="OFF-AR-10004165"/>
    <x v="0"/>
    <x v="4"/>
    <s v="Binney &amp; Smith inkTank Erasable Pocket Highlighter, Chisel Tip, Yellow"/>
    <n v="15.959999999999999"/>
    <n v="7"/>
    <n v="0"/>
    <n v="7.0224000000000011"/>
    <x v="0"/>
    <x v="7"/>
    <n v="1.0032000000000001"/>
    <s v="Profit"/>
    <s v="No Discount"/>
  </r>
  <r>
    <n v="866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OFF-AR-10004602"/>
    <x v="0"/>
    <x v="4"/>
    <s v="Boston KS Multi-Size Manual Pencil Sharpener"/>
    <n v="45.98"/>
    <n v="2"/>
    <n v="0"/>
    <n v="12.874400000000001"/>
    <x v="0"/>
    <x v="7"/>
    <n v="6.4372000000000007"/>
    <s v="Profit"/>
    <s v="No Discount"/>
  </r>
  <r>
    <n v="867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OFF-PA-10000659"/>
    <x v="0"/>
    <x v="0"/>
    <s v="Adams Phone Message Book, Professional, 400 Message Capacity, 5 3/6” x 11”"/>
    <n v="20.94"/>
    <n v="3"/>
    <n v="0"/>
    <n v="9.841800000000001"/>
    <x v="0"/>
    <x v="7"/>
    <n v="3.2806000000000002"/>
    <s v="Profit"/>
    <s v="No Discount"/>
  </r>
  <r>
    <n v="868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OFF-PA-10001144"/>
    <x v="0"/>
    <x v="0"/>
    <s v="Xerox 1913"/>
    <n v="110.96"/>
    <n v="2"/>
    <n v="0"/>
    <n v="53.260799999999996"/>
    <x v="0"/>
    <x v="7"/>
    <n v="26.630399999999998"/>
    <s v="Profit"/>
    <s v="No Discount"/>
  </r>
  <r>
    <n v="869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OFF-ST-10000321"/>
    <x v="0"/>
    <x v="3"/>
    <s v="Akro Stacking Bins"/>
    <n v="15.78"/>
    <n v="2"/>
    <n v="0"/>
    <n v="0.63119999999999798"/>
    <x v="0"/>
    <x v="7"/>
    <n v="0.31559999999999899"/>
    <s v="Profit"/>
    <s v="No Discount"/>
  </r>
  <r>
    <n v="870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TEC-AC-10004510"/>
    <x v="2"/>
    <x v="9"/>
    <s v="Logitech Desktop MK120 Mouse and keyboard Combo"/>
    <n v="16.36"/>
    <n v="1"/>
    <n v="0"/>
    <n v="1.6359999999999992"/>
    <x v="0"/>
    <x v="7"/>
    <n v="1.6359999999999992"/>
    <s v="Profit"/>
    <s v="No Discount"/>
  </r>
  <r>
    <n v="871"/>
    <s v="US-2023-110065"/>
    <x v="172"/>
    <d v="2023-08-11T00:00:00"/>
    <s v="Standard Class"/>
    <s v="SP-20650"/>
    <s v="Stephanie Phelps"/>
    <x v="2"/>
    <s v="United States"/>
    <s v="New York City"/>
    <s v="New York"/>
    <n v="10009"/>
    <x v="1"/>
    <s v="TEC-PH-10002468"/>
    <x v="2"/>
    <x v="7"/>
    <s v="Plantronics CS 50-USB - headset - Convertible, Monaural"/>
    <n v="135.99"/>
    <n v="1"/>
    <n v="0"/>
    <n v="36.717300000000009"/>
    <x v="0"/>
    <x v="7"/>
    <n v="36.717300000000009"/>
    <s v="Profit"/>
    <s v="No Discount"/>
  </r>
  <r>
    <n v="872"/>
    <s v="US-2023-115357"/>
    <x v="173"/>
    <d v="2023-08-11T00:00:00"/>
    <s v="Second Class"/>
    <s v="RF-19735"/>
    <s v="Roland Fjeld"/>
    <x v="0"/>
    <s v="United States"/>
    <s v="Columbia"/>
    <s v="South Carolina"/>
    <n v="29203"/>
    <x v="2"/>
    <s v="TEC-AC-10000023"/>
    <x v="2"/>
    <x v="9"/>
    <s v="Maxell 74 Minute CD-R Spindle, 50/Pack"/>
    <n v="62.91"/>
    <n v="3"/>
    <n v="0"/>
    <n v="22.647599999999997"/>
    <x v="0"/>
    <x v="7"/>
    <n v="7.549199999999999"/>
    <s v="Profit"/>
    <s v="No Discount"/>
  </r>
  <r>
    <n v="873"/>
    <s v="US-2023-137575"/>
    <x v="173"/>
    <d v="2023-08-11T00:00:00"/>
    <s v="Standard Class"/>
    <s v="TB-21625"/>
    <s v="Trudy Brown"/>
    <x v="0"/>
    <s v="United States"/>
    <s v="New York City"/>
    <s v="New York"/>
    <n v="10035"/>
    <x v="1"/>
    <s v="TEC-AC-10004571"/>
    <x v="2"/>
    <x v="9"/>
    <s v="Logitech G700s Rechargeable Gaming Mouse"/>
    <n v="199.98"/>
    <n v="2"/>
    <n v="0"/>
    <n v="83.991600000000005"/>
    <x v="0"/>
    <x v="7"/>
    <n v="41.995800000000003"/>
    <s v="Profit"/>
    <s v="No Discount"/>
  </r>
  <r>
    <n v="874"/>
    <s v="US-2023-156790"/>
    <x v="174"/>
    <d v="2023-08-10T00:00:00"/>
    <s v="Second Class"/>
    <s v="VG-21790"/>
    <s v="Vivek Gonzalez"/>
    <x v="0"/>
    <s v="United States"/>
    <s v="Jacksonville"/>
    <s v="Florida"/>
    <n v="32216"/>
    <x v="2"/>
    <s v="FUR-BO-10000468"/>
    <x v="1"/>
    <x v="10"/>
    <s v="O'Sullivan 2-Shelf Heavy-Duty Bookcases"/>
    <n v="155.45600000000002"/>
    <n v="4"/>
    <n v="0.2"/>
    <n v="-7.7727999999999895"/>
    <x v="0"/>
    <x v="7"/>
    <n v="-1.9431999999999974"/>
    <s v="Loss"/>
    <s v="Low"/>
  </r>
  <r>
    <n v="875"/>
    <s v="US-2023-151708"/>
    <x v="174"/>
    <d v="2023-08-14T00:00:00"/>
    <s v="Standard Class"/>
    <s v="MB-17305"/>
    <s v="Maria Bertelson"/>
    <x v="0"/>
    <s v="United States"/>
    <s v="Glendale"/>
    <s v="Arizona"/>
    <n v="85301"/>
    <x v="3"/>
    <s v="FUR-FU-10001602"/>
    <x v="1"/>
    <x v="8"/>
    <s v="Eldon Delta Triangular Chair Mat, 52&quot; x 58&quot;, Clear"/>
    <n v="121.376"/>
    <n v="4"/>
    <n v="0.2"/>
    <n v="-3.0344000000000122"/>
    <x v="0"/>
    <x v="7"/>
    <n v="-0.75860000000000305"/>
    <s v="Loss"/>
    <s v="Low"/>
  </r>
  <r>
    <n v="876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FUR-FU-10001979"/>
    <x v="1"/>
    <x v="8"/>
    <s v="Dana Halogen Swing-Arm Architect Lamp"/>
    <n v="327.76"/>
    <n v="8"/>
    <n v="0"/>
    <n v="91.772800000000018"/>
    <x v="0"/>
    <x v="7"/>
    <n v="11.471600000000002"/>
    <s v="Profit"/>
    <s v="No Discount"/>
  </r>
  <r>
    <n v="877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FUR-FU-10002088"/>
    <x v="1"/>
    <x v="8"/>
    <s v="Nu-Dell Float Frame 11 x 14 1/2"/>
    <n v="53.88"/>
    <n v="6"/>
    <n v="0"/>
    <n v="22.629600000000003"/>
    <x v="0"/>
    <x v="7"/>
    <n v="3.7716000000000007"/>
    <s v="Profit"/>
    <s v="No Discount"/>
  </r>
  <r>
    <n v="878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OFF-AP-10002495"/>
    <x v="0"/>
    <x v="12"/>
    <s v="Acco Smartsocket Table Surge Protector, 6 Color-Coded Adapter Outlets"/>
    <n v="167.535"/>
    <n v="3"/>
    <n v="0.1"/>
    <n v="37.229999999999983"/>
    <x v="0"/>
    <x v="7"/>
    <n v="12.409999999999995"/>
    <s v="Profit"/>
    <s v="Low"/>
  </r>
  <r>
    <n v="879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OFF-AP-10004708"/>
    <x v="0"/>
    <x v="12"/>
    <s v="Fellowes Superior 10 Outlet Split Surge Protector"/>
    <n v="76.12"/>
    <n v="2"/>
    <n v="0"/>
    <n v="22.074799999999996"/>
    <x v="0"/>
    <x v="7"/>
    <n v="11.037399999999998"/>
    <s v="Profit"/>
    <s v="No Discount"/>
  </r>
  <r>
    <n v="880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OFF-EN-10002500"/>
    <x v="0"/>
    <x v="11"/>
    <s v="Globe Weis Peel &amp; Seel First Class Envelopes"/>
    <n v="38.339999999999996"/>
    <n v="3"/>
    <n v="0"/>
    <n v="17.253"/>
    <x v="0"/>
    <x v="7"/>
    <n v="5.7510000000000003"/>
    <s v="Profit"/>
    <s v="No Discount"/>
  </r>
  <r>
    <n v="881"/>
    <s v="US-2023-154669"/>
    <x v="174"/>
    <d v="2023-08-11T00:00:00"/>
    <s v="Second Class"/>
    <s v="TM-21010"/>
    <s v="Tamara Manning"/>
    <x v="0"/>
    <s v="United States"/>
    <s v="Vacaville"/>
    <s v="California"/>
    <n v="95687"/>
    <x v="3"/>
    <s v="OFF-ST-10000532"/>
    <x v="0"/>
    <x v="3"/>
    <s v="Advantus Rolling Drawer Organizers"/>
    <n v="423.28"/>
    <n v="11"/>
    <n v="0"/>
    <n v="110.05279999999999"/>
    <x v="0"/>
    <x v="7"/>
    <n v="10.004799999999999"/>
    <s v="Profit"/>
    <s v="No Discount"/>
  </r>
  <r>
    <n v="882"/>
    <s v="US-2023-151708"/>
    <x v="174"/>
    <d v="2023-08-14T00:00:00"/>
    <s v="Standard Class"/>
    <s v="MB-17305"/>
    <s v="Maria Bertelson"/>
    <x v="0"/>
    <s v="United States"/>
    <s v="Glendale"/>
    <s v="Arizona"/>
    <n v="85301"/>
    <x v="3"/>
    <s v="TEC-AC-10001767"/>
    <x v="2"/>
    <x v="9"/>
    <s v="SanDisk Ultra 64 GB MicroSDHC Class 10 Memory Card"/>
    <n v="95.976000000000013"/>
    <n v="3"/>
    <n v="0.2"/>
    <n v="-10.797300000000011"/>
    <x v="0"/>
    <x v="7"/>
    <n v="-3.5991000000000035"/>
    <s v="Loss"/>
    <s v="Low"/>
  </r>
  <r>
    <n v="883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TEC-CO-10001571"/>
    <x v="2"/>
    <x v="16"/>
    <s v="Sharp 1540cs Digital Laser Copier"/>
    <n v="549.99"/>
    <n v="1"/>
    <n v="0"/>
    <n v="274.995"/>
    <x v="0"/>
    <x v="7"/>
    <n v="274.995"/>
    <s v="Profit"/>
    <s v="No Discount"/>
  </r>
  <r>
    <n v="884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TEC-CO-10004115"/>
    <x v="2"/>
    <x v="16"/>
    <s v="Sharp AL-1530CS Digital Copier"/>
    <n v="1199.9760000000001"/>
    <n v="3"/>
    <n v="0.2"/>
    <n v="434.99130000000002"/>
    <x v="0"/>
    <x v="7"/>
    <n v="144.99710000000002"/>
    <s v="Profit"/>
    <s v="Low"/>
  </r>
  <r>
    <n v="885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TEC-PH-10001128"/>
    <x v="2"/>
    <x v="7"/>
    <s v="Motorola Droid Maxx"/>
    <n v="299.98"/>
    <n v="2"/>
    <n v="0"/>
    <n v="83.994400000000013"/>
    <x v="0"/>
    <x v="7"/>
    <n v="41.997200000000007"/>
    <s v="Profit"/>
    <s v="No Discount"/>
  </r>
  <r>
    <n v="886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TEC-PH-10002398"/>
    <x v="2"/>
    <x v="7"/>
    <s v="AT&amp;T 1070 Corded Phone"/>
    <n v="445.96000000000004"/>
    <n v="5"/>
    <n v="0.2"/>
    <n v="55.744999999999948"/>
    <x v="0"/>
    <x v="7"/>
    <n v="11.14899999999999"/>
    <s v="Profit"/>
    <s v="Low"/>
  </r>
  <r>
    <n v="887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  <x v="0"/>
    <x v="7"/>
    <n v="16.52"/>
    <s v="Profit"/>
    <s v="No Discount"/>
  </r>
  <r>
    <n v="888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  <x v="0"/>
    <x v="7"/>
    <n v="5.95"/>
    <s v="Profit"/>
    <s v="No Discount"/>
  </r>
  <r>
    <n v="889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  <x v="0"/>
    <x v="7"/>
    <n v="30.07"/>
    <s v="Profit"/>
    <s v="No Discount"/>
  </r>
  <r>
    <n v="890"/>
    <s v="US-2023-161249"/>
    <x v="175"/>
    <d v="2023-08-13T00:00:00"/>
    <s v="Standard Class"/>
    <s v="RD-19720"/>
    <s v="Roger Demir"/>
    <x v="0"/>
    <s v="United States"/>
    <s v="Phoenix"/>
    <s v="Arizona"/>
    <n v="85023"/>
    <x v="3"/>
    <s v="OFF-BI-10001097"/>
    <x v="0"/>
    <x v="1"/>
    <s v="Avery Hole Reinforcements"/>
    <n v="9.3450000000000024"/>
    <n v="5"/>
    <n v="0.7"/>
    <n v="-6.5414999999999992"/>
    <x v="0"/>
    <x v="7"/>
    <n v="-1.3082999999999998"/>
    <s v="Loss"/>
    <s v="High"/>
  </r>
  <r>
    <n v="891"/>
    <s v="US-2023-169726"/>
    <x v="175"/>
    <d v="2023-08-13T00:00:00"/>
    <s v="Standard Class"/>
    <s v="JH-15985"/>
    <s v="Joseph Holt"/>
    <x v="0"/>
    <s v="United States"/>
    <s v="Seattle"/>
    <s v="Washington"/>
    <n v="98103"/>
    <x v="3"/>
    <s v="OFF-BI-10004600"/>
    <x v="0"/>
    <x v="1"/>
    <s v="Ibico Ibimaster 300 Manual Binding System"/>
    <n v="2060.7440000000001"/>
    <n v="7"/>
    <n v="0.2"/>
    <n v="643.98249999999996"/>
    <x v="0"/>
    <x v="7"/>
    <n v="91.997499999999988"/>
    <s v="Profit"/>
    <s v="Low"/>
  </r>
  <r>
    <n v="892"/>
    <s v="US-2023-161249"/>
    <x v="175"/>
    <d v="2023-08-13T00:00:00"/>
    <s v="Standard Class"/>
    <s v="RD-19720"/>
    <s v="Roger Demir"/>
    <x v="0"/>
    <s v="United States"/>
    <s v="Phoenix"/>
    <s v="Arizona"/>
    <n v="85023"/>
    <x v="3"/>
    <s v="OFF-FA-10004838"/>
    <x v="0"/>
    <x v="6"/>
    <s v="Super Bands, 12/Pack"/>
    <n v="4.4640000000000004"/>
    <n v="3"/>
    <n v="0.2"/>
    <n v="-0.94859999999999989"/>
    <x v="0"/>
    <x v="7"/>
    <n v="-0.31619999999999998"/>
    <s v="Loss"/>
    <s v="Low"/>
  </r>
  <r>
    <n v="893"/>
    <s v="US-2023-110527"/>
    <x v="175"/>
    <d v="2023-08-16T00:00:00"/>
    <s v="Standard Class"/>
    <s v="ED-13885"/>
    <s v="Emily Ducich"/>
    <x v="1"/>
    <s v="United States"/>
    <s v="San Diego"/>
    <s v="California"/>
    <n v="92037"/>
    <x v="3"/>
    <s v="OFF-LA-10000262"/>
    <x v="0"/>
    <x v="2"/>
    <s v="Avery 494"/>
    <n v="20.88"/>
    <n v="8"/>
    <n v="0"/>
    <n v="9.6047999999999991"/>
    <x v="0"/>
    <x v="7"/>
    <n v="1.2005999999999999"/>
    <s v="Profit"/>
    <s v="No Discount"/>
  </r>
  <r>
    <n v="894"/>
    <s v="US-2023-141901"/>
    <x v="175"/>
    <d v="2023-08-14T00:00:00"/>
    <s v="Standard Class"/>
    <s v="GM-14500"/>
    <s v="Gene McClure"/>
    <x v="0"/>
    <s v="United States"/>
    <s v="Fresno"/>
    <s v="California"/>
    <n v="93727"/>
    <x v="3"/>
    <s v="OFF-PA-10001667"/>
    <x v="0"/>
    <x v="0"/>
    <s v="Great White Multi-Use Recycled Paper (20Lb. and 84 Bright)"/>
    <n v="5.98"/>
    <n v="1"/>
    <n v="0"/>
    <n v="2.6909999999999998"/>
    <x v="0"/>
    <x v="7"/>
    <n v="2.6909999999999998"/>
    <s v="Profit"/>
    <s v="No Discount"/>
  </r>
  <r>
    <n v="895"/>
    <s v="US-2023-167850"/>
    <x v="175"/>
    <d v="2023-08-16T00:00:00"/>
    <s v="Standard Class"/>
    <s v="AG-10525"/>
    <s v="Andy Gerbode"/>
    <x v="2"/>
    <s v="United States"/>
    <s v="Saint Petersburg"/>
    <s v="Florida"/>
    <n v="33710"/>
    <x v="2"/>
    <s v="OFF-PA-10001937"/>
    <x v="0"/>
    <x v="0"/>
    <s v="Xerox 21"/>
    <n v="15.552000000000003"/>
    <n v="3"/>
    <n v="0.2"/>
    <n v="5.4432"/>
    <x v="0"/>
    <x v="7"/>
    <n v="1.8144"/>
    <s v="Profit"/>
    <s v="Low"/>
  </r>
  <r>
    <n v="896"/>
    <s v="US-2023-166471"/>
    <x v="175"/>
    <d v="2023-08-13T00:00:00"/>
    <s v="Standard Class"/>
    <s v="MG-17650"/>
    <s v="Matthew Grinstein"/>
    <x v="1"/>
    <s v="United States"/>
    <s v="Seattle"/>
    <s v="Washington"/>
    <n v="98103"/>
    <x v="3"/>
    <s v="TEC-PH-10000038"/>
    <x v="2"/>
    <x v="7"/>
    <s v="Jawbone MINI JAMBOX Wireless Bluetooth Speaker"/>
    <n v="219.16800000000001"/>
    <n v="2"/>
    <n v="0.2"/>
    <n v="-43.833600000000018"/>
    <x v="0"/>
    <x v="7"/>
    <n v="-21.916800000000009"/>
    <s v="Loss"/>
    <s v="Low"/>
  </r>
  <r>
    <n v="897"/>
    <s v="US-2023-166471"/>
    <x v="175"/>
    <d v="2023-08-13T00:00:00"/>
    <s v="Standard Class"/>
    <s v="MG-17650"/>
    <s v="Matthew Grinstein"/>
    <x v="1"/>
    <s v="United States"/>
    <s v="Seattle"/>
    <s v="Washington"/>
    <n v="98103"/>
    <x v="3"/>
    <s v="TEC-PH-10001530"/>
    <x v="2"/>
    <x v="7"/>
    <s v="Cisco Unified IP Phone 7945G VoIP phone"/>
    <n v="1091.1680000000001"/>
    <n v="4"/>
    <n v="0.2"/>
    <n v="68.197999999999979"/>
    <x v="0"/>
    <x v="7"/>
    <n v="17.049499999999995"/>
    <s v="Profit"/>
    <s v="Low"/>
  </r>
  <r>
    <n v="898"/>
    <s v="US-2023-167850"/>
    <x v="175"/>
    <d v="2023-08-16T00:00:00"/>
    <s v="Standard Class"/>
    <s v="AG-10525"/>
    <s v="Andy Gerbode"/>
    <x v="2"/>
    <s v="United States"/>
    <s v="Saint Petersburg"/>
    <s v="Florida"/>
    <n v="33710"/>
    <x v="2"/>
    <s v="TEC-PH-10002398"/>
    <x v="2"/>
    <x v="7"/>
    <s v="AT&amp;T 1070 Corded Phone"/>
    <n v="178.38400000000001"/>
    <n v="2"/>
    <n v="0.2"/>
    <n v="22.297999999999973"/>
    <x v="0"/>
    <x v="7"/>
    <n v="11.148999999999987"/>
    <s v="Profit"/>
    <s v="Low"/>
  </r>
  <r>
    <n v="899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FUR-FU-10003691"/>
    <x v="1"/>
    <x v="8"/>
    <s v="Eldon Image Series Desk Accessories, Ebony"/>
    <n v="12.35"/>
    <n v="1"/>
    <n v="0"/>
    <n v="5.4340000000000002"/>
    <x v="0"/>
    <x v="7"/>
    <n v="5.4340000000000002"/>
    <s v="Profit"/>
    <s v="No Discount"/>
  </r>
  <r>
    <n v="900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OFF-AR-10003903"/>
    <x v="0"/>
    <x v="4"/>
    <s v="Sanford 52201 APSCO Electric Pencil Sharpener"/>
    <n v="40.97"/>
    <n v="1"/>
    <n v="0"/>
    <n v="10.652200000000001"/>
    <x v="0"/>
    <x v="7"/>
    <n v="10.652200000000001"/>
    <s v="Profit"/>
    <s v="No Discount"/>
  </r>
  <r>
    <n v="901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OFF-FA-10004854"/>
    <x v="0"/>
    <x v="6"/>
    <s v="Vinyl Coated Wire Paper Clips in Organizer Box, 800/Box"/>
    <n v="22.96"/>
    <n v="2"/>
    <n v="0"/>
    <n v="10.7912"/>
    <x v="0"/>
    <x v="7"/>
    <n v="5.3956"/>
    <s v="Profit"/>
    <s v="No Discount"/>
  </r>
  <r>
    <n v="902"/>
    <s v="US-2023-154641"/>
    <x v="176"/>
    <d v="2023-08-16T00:00:00"/>
    <s v="Standard Class"/>
    <s v="KL-16645"/>
    <s v="Ken Lonsdale"/>
    <x v="0"/>
    <s v="United States"/>
    <s v="New York City"/>
    <s v="New York"/>
    <n v="10035"/>
    <x v="1"/>
    <s v="OFF-ST-10004459"/>
    <x v="0"/>
    <x v="3"/>
    <s v="Tennsco Single-Tier Lockers"/>
    <n v="375.34"/>
    <n v="1"/>
    <n v="0"/>
    <n v="18.766999999999996"/>
    <x v="0"/>
    <x v="7"/>
    <n v="18.766999999999996"/>
    <s v="Profit"/>
    <s v="No Discount"/>
  </r>
  <r>
    <n v="903"/>
    <s v="US-2023-109897"/>
    <x v="177"/>
    <d v="2023-08-16T00:00:00"/>
    <s v="Standard Class"/>
    <s v="BW-11200"/>
    <s v="Ben Wallace"/>
    <x v="0"/>
    <s v="United States"/>
    <s v="San Francisco"/>
    <s v="California"/>
    <n v="94122"/>
    <x v="3"/>
    <s v="FUR-FU-10002878"/>
    <x v="1"/>
    <x v="8"/>
    <s v="Seth Thomas 14&quot; Day/Date Wall Clock"/>
    <n v="85.44"/>
    <n v="3"/>
    <n v="0"/>
    <n v="31.612800000000004"/>
    <x v="0"/>
    <x v="7"/>
    <n v="10.537600000000001"/>
    <s v="Profit"/>
    <s v="No Discount"/>
  </r>
  <r>
    <n v="904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AP-10002403"/>
    <x v="0"/>
    <x v="12"/>
    <s v="Acco Smartsocket Color-Coded Six-Outlet AC Adapter Model Surge Protectors"/>
    <n v="211.24799999999999"/>
    <n v="6"/>
    <n v="0.2"/>
    <n v="15.843599999999995"/>
    <x v="0"/>
    <x v="7"/>
    <n v="2.6405999999999992"/>
    <s v="Profit"/>
    <s v="Low"/>
  </r>
  <r>
    <n v="905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499999999995"/>
    <x v="0"/>
    <x v="7"/>
    <n v="0.83929999999999905"/>
    <s v="Profit"/>
    <s v="Low"/>
  </r>
  <r>
    <n v="906"/>
    <s v="US-2023-153927"/>
    <x v="177"/>
    <d v="2023-08-13T00:00:00"/>
    <s v="First Class"/>
    <s v="LL-16840"/>
    <s v="Lauren Leatherbury"/>
    <x v="0"/>
    <s v="United States"/>
    <s v="Woodstock"/>
    <s v="Georgia"/>
    <n v="30188"/>
    <x v="2"/>
    <s v="OFF-BI-10000138"/>
    <x v="0"/>
    <x v="1"/>
    <s v="Acco Translucent Poly Ring Binders"/>
    <n v="14.04"/>
    <n v="3"/>
    <n v="0"/>
    <n v="6.7392000000000003"/>
    <x v="0"/>
    <x v="7"/>
    <n v="2.2464"/>
    <s v="Profit"/>
    <s v="No Discount"/>
  </r>
  <r>
    <n v="907"/>
    <s v="US-2023-109302"/>
    <x v="177"/>
    <d v="2023-08-16T00:00:00"/>
    <s v="Standard Class"/>
    <s v="CS-12175"/>
    <s v="Charles Sheldon"/>
    <x v="2"/>
    <s v="United States"/>
    <s v="Lakewood"/>
    <s v="New Jersey"/>
    <n v="8701"/>
    <x v="1"/>
    <s v="OFF-BI-10002854"/>
    <x v="0"/>
    <x v="1"/>
    <s v="Performers Binder/Pad Holder, Black"/>
    <n v="196.21"/>
    <n v="7"/>
    <n v="0"/>
    <n v="98.105000000000004"/>
    <x v="0"/>
    <x v="7"/>
    <n v="14.015000000000001"/>
    <s v="Profit"/>
    <s v="No Discount"/>
  </r>
  <r>
    <n v="908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LA-10000443"/>
    <x v="0"/>
    <x v="2"/>
    <s v="Avery 501"/>
    <n v="2.952"/>
    <n v="1"/>
    <n v="0.2"/>
    <n v="0.99629999999999996"/>
    <x v="0"/>
    <x v="7"/>
    <n v="0.99629999999999996"/>
    <s v="Profit"/>
    <s v="Low"/>
  </r>
  <r>
    <n v="909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PA-10000295"/>
    <x v="0"/>
    <x v="0"/>
    <s v="Xerox 229"/>
    <n v="31.104000000000006"/>
    <n v="6"/>
    <n v="0.2"/>
    <n v="10.8864"/>
    <x v="0"/>
    <x v="7"/>
    <n v="1.8144"/>
    <s v="Profit"/>
    <s v="Low"/>
  </r>
  <r>
    <n v="910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SU-10000432"/>
    <x v="0"/>
    <x v="14"/>
    <s v="Acco Side-Punched Conventional Columnar Pads"/>
    <n v="5.5520000000000005"/>
    <n v="2"/>
    <n v="0.2"/>
    <n v="-1.0410000000000006"/>
    <x v="0"/>
    <x v="7"/>
    <n v="-0.5205000000000003"/>
    <s v="Loss"/>
    <s v="Low"/>
  </r>
  <r>
    <n v="911"/>
    <s v="US-2023-153927"/>
    <x v="177"/>
    <d v="2023-08-13T00:00:00"/>
    <s v="First Class"/>
    <s v="LL-16840"/>
    <s v="Lauren Leatherbury"/>
    <x v="0"/>
    <s v="United States"/>
    <s v="Woodstock"/>
    <s v="Georgia"/>
    <n v="30188"/>
    <x v="2"/>
    <s v="TEC-AC-10000023"/>
    <x v="2"/>
    <x v="9"/>
    <s v="Maxell 74 Minute CD-R Spindle, 50/Pack"/>
    <n v="272.61"/>
    <n v="13"/>
    <n v="0"/>
    <n v="98.139599999999987"/>
    <x v="0"/>
    <x v="7"/>
    <n v="7.549199999999999"/>
    <s v="Profit"/>
    <s v="No Discount"/>
  </r>
  <r>
    <n v="912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TEC-AC-10002473"/>
    <x v="2"/>
    <x v="9"/>
    <s v="Maxell 4.7GB DVD-R"/>
    <n v="158.928"/>
    <n v="7"/>
    <n v="0.2"/>
    <n v="41.718599999999995"/>
    <x v="0"/>
    <x v="7"/>
    <n v="5.9597999999999995"/>
    <s v="Profit"/>
    <s v="Low"/>
  </r>
  <r>
    <n v="913"/>
    <s v="US-2023-109897"/>
    <x v="177"/>
    <d v="2023-08-16T00:00:00"/>
    <s v="Standard Class"/>
    <s v="BW-11200"/>
    <s v="Ben Wallace"/>
    <x v="0"/>
    <s v="United States"/>
    <s v="San Francisco"/>
    <s v="California"/>
    <n v="94122"/>
    <x v="3"/>
    <s v="TEC-PH-10003691"/>
    <x v="2"/>
    <x v="7"/>
    <s v="BlackBerry Q10"/>
    <n v="806.33600000000001"/>
    <n v="8"/>
    <n v="0.2"/>
    <n v="50.396000000000015"/>
    <x v="0"/>
    <x v="7"/>
    <n v="6.2995000000000019"/>
    <s v="Profit"/>
    <s v="Low"/>
  </r>
  <r>
    <n v="914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FUR-CH-10003833"/>
    <x v="1"/>
    <x v="5"/>
    <s v="Novimex Fabric Task Chair"/>
    <n v="195.136"/>
    <n v="4"/>
    <n v="0.2"/>
    <n v="-12.196000000000005"/>
    <x v="0"/>
    <x v="7"/>
    <n v="-3.0490000000000013"/>
    <s v="Loss"/>
    <s v="Low"/>
  </r>
  <r>
    <n v="915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AP-10003287"/>
    <x v="0"/>
    <x v="12"/>
    <s v="Tripp Lite TLP810NET Broadband Surge for Modem/Fax"/>
    <n v="152.91"/>
    <n v="3"/>
    <n v="0"/>
    <n v="42.814799999999998"/>
    <x v="0"/>
    <x v="7"/>
    <n v="14.271599999999999"/>
    <s v="Profit"/>
    <s v="No Discount"/>
  </r>
  <r>
    <n v="916"/>
    <s v="US-2023-109043"/>
    <x v="178"/>
    <d v="2023-08-17T00:00:00"/>
    <s v="First Class"/>
    <s v="CS-12355"/>
    <s v="Christine Sundaresam"/>
    <x v="0"/>
    <s v="United States"/>
    <s v="Hollywood"/>
    <s v="Florida"/>
    <n v="33021"/>
    <x v="2"/>
    <s v="OFF-AP-10004708"/>
    <x v="0"/>
    <x v="12"/>
    <s v="Fellowes Superior 10 Outlet Split Surge Protector"/>
    <n v="152.24"/>
    <n v="5"/>
    <n v="0.2"/>
    <n v="17.126999999999988"/>
    <x v="0"/>
    <x v="7"/>
    <n v="3.4253999999999976"/>
    <s v="Profit"/>
    <s v="Low"/>
  </r>
  <r>
    <n v="917"/>
    <s v="US-2023-141005"/>
    <x v="178"/>
    <d v="2023-08-18T00:00:00"/>
    <s v="First Class"/>
    <s v="CS-12355"/>
    <s v="Christine Sundaresam"/>
    <x v="0"/>
    <s v="United States"/>
    <s v="Fairfield"/>
    <s v="Connecticut"/>
    <n v="6824"/>
    <x v="1"/>
    <s v="OFF-BI-10001989"/>
    <x v="0"/>
    <x v="1"/>
    <s v="Premium Transparent Presentation Covers by GBC"/>
    <n v="62.94"/>
    <n v="3"/>
    <n v="0"/>
    <n v="30.211199999999998"/>
    <x v="0"/>
    <x v="7"/>
    <n v="10.070399999999999"/>
    <s v="Profit"/>
    <s v="No Discount"/>
  </r>
  <r>
    <n v="918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BI-10002309"/>
    <x v="0"/>
    <x v="1"/>
    <s v="Avery Heavy-Duty EZD  Binder With Locking Rings"/>
    <n v="17.856000000000002"/>
    <n v="4"/>
    <n v="0.2"/>
    <n v="6.2495999999999992"/>
    <x v="0"/>
    <x v="7"/>
    <n v="1.5623999999999998"/>
    <s v="Profit"/>
    <s v="Low"/>
  </r>
  <r>
    <n v="919"/>
    <s v="US-2023-138023"/>
    <x v="178"/>
    <d v="2023-08-18T00:00:00"/>
    <s v="First Class"/>
    <s v="KH-16510"/>
    <s v="Keith Herrera"/>
    <x v="0"/>
    <s v="United States"/>
    <s v="Dallas"/>
    <s v="Texas"/>
    <n v="75081"/>
    <x v="0"/>
    <s v="OFF-BI-10003638"/>
    <x v="0"/>
    <x v="1"/>
    <s v="GBC Durable Plastic Covers"/>
    <n v="30.959999999999994"/>
    <n v="8"/>
    <n v="0.8"/>
    <n v="-52.632000000000019"/>
    <x v="0"/>
    <x v="7"/>
    <n v="-6.5790000000000024"/>
    <s v="Loss"/>
    <s v="High"/>
  </r>
  <r>
    <n v="920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BI-10003638"/>
    <x v="0"/>
    <x v="1"/>
    <s v="GBC Durable Plastic Covers"/>
    <n v="46.440000000000005"/>
    <n v="3"/>
    <n v="0.2"/>
    <n v="15.092999999999998"/>
    <x v="0"/>
    <x v="7"/>
    <n v="5.0309999999999997"/>
    <s v="Profit"/>
    <s v="Low"/>
  </r>
  <r>
    <n v="921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PA-10000167"/>
    <x v="0"/>
    <x v="0"/>
    <s v="Xerox 1925"/>
    <n v="92.94"/>
    <n v="3"/>
    <n v="0"/>
    <n v="41.822999999999993"/>
    <x v="0"/>
    <x v="7"/>
    <n v="13.940999999999997"/>
    <s v="Profit"/>
    <s v="No Discount"/>
  </r>
  <r>
    <n v="922"/>
    <s v="US-2023-109043"/>
    <x v="178"/>
    <d v="2023-08-17T00:00:00"/>
    <s v="First Class"/>
    <s v="CS-12355"/>
    <s v="Christine Sundaresam"/>
    <x v="0"/>
    <s v="United States"/>
    <s v="Hollywood"/>
    <s v="Florida"/>
    <n v="33021"/>
    <x v="2"/>
    <s v="OFF-PA-10000312"/>
    <x v="0"/>
    <x v="0"/>
    <s v="Xerox 1955"/>
    <n v="91.360000000000014"/>
    <n v="5"/>
    <n v="0.2"/>
    <n v="29.691999999999993"/>
    <x v="0"/>
    <x v="7"/>
    <n v="5.9383999999999988"/>
    <s v="Profit"/>
    <s v="Low"/>
  </r>
  <r>
    <n v="923"/>
    <s v="US-2023-142839"/>
    <x v="179"/>
    <d v="2023-08-20T00:00:00"/>
    <s v="Standard Class"/>
    <s v="TS-21610"/>
    <s v="Troy Staebel"/>
    <x v="0"/>
    <s v="United States"/>
    <s v="Philadelphia"/>
    <s v="Pennsylvania"/>
    <n v="19143"/>
    <x v="1"/>
    <s v="FUR-TA-10001539"/>
    <x v="1"/>
    <x v="13"/>
    <s v="Chromcraft Rectangular Conference Tables"/>
    <n v="853.09199999999987"/>
    <n v="6"/>
    <n v="0.4"/>
    <n v="-227.49120000000016"/>
    <x v="0"/>
    <x v="7"/>
    <n v="-37.915200000000027"/>
    <s v="Loss"/>
    <s v="Medium"/>
  </r>
  <r>
    <n v="924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BI-10000829"/>
    <x v="0"/>
    <x v="1"/>
    <s v="Avery Non-Stick Binders"/>
    <n v="17.96"/>
    <n v="4"/>
    <n v="0"/>
    <n v="8.2615999999999996"/>
    <x v="0"/>
    <x v="7"/>
    <n v="2.0653999999999999"/>
    <s v="Profit"/>
    <s v="No Discount"/>
  </r>
  <r>
    <n v="925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FA-10002676"/>
    <x v="0"/>
    <x v="6"/>
    <s v="Colored Push Pins"/>
    <n v="12.67"/>
    <n v="7"/>
    <n v="0"/>
    <n v="4.5611999999999995"/>
    <x v="0"/>
    <x v="7"/>
    <n v="0.65159999999999996"/>
    <s v="Profit"/>
    <s v="No Discount"/>
  </r>
  <r>
    <n v="926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PA-10000595"/>
    <x v="0"/>
    <x v="0"/>
    <s v="Xerox 1929"/>
    <n v="114.2"/>
    <n v="5"/>
    <n v="0"/>
    <n v="52.531999999999996"/>
    <x v="0"/>
    <x v="7"/>
    <n v="10.506399999999999"/>
    <s v="Profit"/>
    <s v="No Discount"/>
  </r>
  <r>
    <n v="927"/>
    <s v="US-2023-129168"/>
    <x v="180"/>
    <d v="2023-08-23T00:00:00"/>
    <s v="Standard Class"/>
    <s v="KB-16585"/>
    <s v="Ken Black"/>
    <x v="2"/>
    <s v="United States"/>
    <s v="Houston"/>
    <s v="Texas"/>
    <n v="77095"/>
    <x v="0"/>
    <s v="OFF-PA-10001639"/>
    <x v="0"/>
    <x v="0"/>
    <s v="Xerox 203"/>
    <n v="15.552000000000003"/>
    <n v="3"/>
    <n v="0.2"/>
    <n v="5.4432"/>
    <x v="0"/>
    <x v="7"/>
    <n v="1.8144"/>
    <s v="Profit"/>
    <s v="Low"/>
  </r>
  <r>
    <n v="928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TEC-AC-10000844"/>
    <x v="2"/>
    <x v="9"/>
    <s v="Logitech Gaming G510s - Keyboard"/>
    <n v="339.96"/>
    <n v="4"/>
    <n v="0"/>
    <n v="122.38559999999998"/>
    <x v="0"/>
    <x v="7"/>
    <n v="30.596399999999996"/>
    <s v="Profit"/>
    <s v="No Discount"/>
  </r>
  <r>
    <n v="929"/>
    <s v="US-2023-156559"/>
    <x v="181"/>
    <d v="2023-08-26T00:00:00"/>
    <s v="Standard Class"/>
    <s v="LH-16900"/>
    <s v="Lena Hernandez"/>
    <x v="0"/>
    <s v="United States"/>
    <s v="Jonesboro"/>
    <s v="Arkansas"/>
    <n v="72401"/>
    <x v="2"/>
    <s v="FUR-BO-10000711"/>
    <x v="1"/>
    <x v="10"/>
    <s v="Hon Metal Bookcases, Gray"/>
    <n v="638.82000000000005"/>
    <n v="9"/>
    <n v="0"/>
    <n v="172.48140000000001"/>
    <x v="0"/>
    <x v="7"/>
    <n v="19.1646"/>
    <s v="Profit"/>
    <s v="No Discount"/>
  </r>
  <r>
    <n v="930"/>
    <s v="US-2023-133158"/>
    <x v="181"/>
    <d v="2023-08-21T00:00:00"/>
    <s v="Second Class"/>
    <s v="DW-13195"/>
    <s v="David Wiener"/>
    <x v="2"/>
    <s v="United States"/>
    <s v="Los Angeles"/>
    <s v="California"/>
    <n v="90045"/>
    <x v="3"/>
    <s v="FUR-FU-10000723"/>
    <x v="1"/>
    <x v="8"/>
    <s v="Deflect-o EconoMat Studded, No Bevel Mat for Low Pile Carpeting"/>
    <n v="289.24"/>
    <n v="7"/>
    <n v="0"/>
    <n v="26.031600000000012"/>
    <x v="0"/>
    <x v="7"/>
    <n v="3.7188000000000017"/>
    <s v="Profit"/>
    <s v="No Discount"/>
  </r>
  <r>
    <n v="931"/>
    <s v="US-2023-121727"/>
    <x v="181"/>
    <d v="2023-08-24T00:00:00"/>
    <s v="Standard Class"/>
    <s v="JK-15625"/>
    <s v="Jim Karlsson"/>
    <x v="0"/>
    <s v="United States"/>
    <s v="Columbus"/>
    <s v="Ohio"/>
    <n v="43229"/>
    <x v="1"/>
    <s v="OFF-AR-10004930"/>
    <x v="0"/>
    <x v="4"/>
    <s v="Turquoise Lead Holder with Pocket Clip"/>
    <n v="10.72"/>
    <n v="2"/>
    <n v="0.2"/>
    <n v="1.7419999999999987"/>
    <x v="0"/>
    <x v="7"/>
    <n v="0.87099999999999933"/>
    <s v="Profit"/>
    <s v="Low"/>
  </r>
  <r>
    <n v="932"/>
    <s v="US-2023-133158"/>
    <x v="181"/>
    <d v="2023-08-21T00:00:00"/>
    <s v="Second Class"/>
    <s v="DW-13195"/>
    <s v="David Wiener"/>
    <x v="2"/>
    <s v="United States"/>
    <s v="Los Angeles"/>
    <s v="California"/>
    <n v="90045"/>
    <x v="3"/>
    <s v="OFF-BI-10000632"/>
    <x v="0"/>
    <x v="1"/>
    <s v="Satellite Sectional Post Binders"/>
    <n v="69.456000000000003"/>
    <n v="2"/>
    <n v="0.2"/>
    <n v="22.573199999999996"/>
    <x v="0"/>
    <x v="7"/>
    <n v="11.286599999999998"/>
    <s v="Profit"/>
    <s v="Low"/>
  </r>
  <r>
    <n v="933"/>
    <s v="US-2023-164616"/>
    <x v="181"/>
    <d v="2023-08-21T00:00:00"/>
    <s v="Second Class"/>
    <s v="MS-17770"/>
    <s v="Maxwell Schwartz"/>
    <x v="0"/>
    <s v="United States"/>
    <s v="Columbus"/>
    <s v="Ohio"/>
    <n v="43229"/>
    <x v="1"/>
    <s v="OFF-BI-10001718"/>
    <x v="0"/>
    <x v="1"/>
    <s v="GBC DocuBind P50 Personal Binding Machine"/>
    <n v="76.77600000000001"/>
    <n v="4"/>
    <n v="0.7"/>
    <n v="-58.861599999999981"/>
    <x v="0"/>
    <x v="7"/>
    <n v="-14.715399999999995"/>
    <s v="Loss"/>
    <s v="High"/>
  </r>
  <r>
    <n v="934"/>
    <s v="US-2023-143581"/>
    <x v="181"/>
    <d v="2023-08-23T00:00:00"/>
    <s v="Standard Class"/>
    <s v="BS-11365"/>
    <s v="Bill Shonely"/>
    <x v="2"/>
    <s v="United States"/>
    <s v="Columbus"/>
    <s v="Georgia"/>
    <n v="31907"/>
    <x v="2"/>
    <s v="OFF-ST-10000991"/>
    <x v="0"/>
    <x v="3"/>
    <s v="Space Solutions HD Industrial Steel Shelving."/>
    <n v="344.90999999999997"/>
    <n v="3"/>
    <n v="0"/>
    <n v="10.347300000000004"/>
    <x v="0"/>
    <x v="7"/>
    <n v="3.4491000000000014"/>
    <s v="Profit"/>
    <s v="No Discount"/>
  </r>
  <r>
    <n v="935"/>
    <s v="US-2023-164616"/>
    <x v="181"/>
    <d v="2023-08-21T00:00:00"/>
    <s v="Second Class"/>
    <s v="MS-17770"/>
    <s v="Maxwell Schwartz"/>
    <x v="0"/>
    <s v="United States"/>
    <s v="Columbus"/>
    <s v="Ohio"/>
    <n v="43229"/>
    <x v="1"/>
    <s v="OFF-SU-10004768"/>
    <x v="0"/>
    <x v="14"/>
    <s v="Acme Kleencut Forged Steel Scissors"/>
    <n v="9.1840000000000011"/>
    <n v="2"/>
    <n v="0.2"/>
    <n v="1.1479999999999988"/>
    <x v="0"/>
    <x v="7"/>
    <n v="0.5739999999999994"/>
    <s v="Profit"/>
    <s v="Low"/>
  </r>
  <r>
    <n v="936"/>
    <s v="CA-2023-132339"/>
    <x v="181"/>
    <d v="2023-08-23T00:00:00"/>
    <s v="Standard Class"/>
    <s v="JB-15400"/>
    <s v="Jennifer Braxton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"/>
    <x v="0"/>
    <x v="7"/>
    <n v="3.11"/>
    <s v="Profit"/>
    <s v="No Discount"/>
  </r>
  <r>
    <n v="937"/>
    <s v="CA-2023-115777"/>
    <x v="181"/>
    <d v="2023-08-24T00:00:00"/>
    <s v="Standard Class"/>
    <s v="DO-13645"/>
    <s v="Doug O'Connell"/>
    <x v="0"/>
    <s v="Canada"/>
    <s v="Montreal"/>
    <s v="Quebec"/>
    <s v="H1B"/>
    <x v="1"/>
    <s v="OFF-PA-10000552"/>
    <x v="0"/>
    <x v="0"/>
    <s v="Xerox 200"/>
    <n v="387.99"/>
    <n v="1"/>
    <n v="0"/>
    <n v="182.36"/>
    <x v="0"/>
    <x v="7"/>
    <n v="182.36"/>
    <s v="Profit"/>
    <s v="No Discount"/>
  </r>
  <r>
    <n v="938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FUR-CH-10001797"/>
    <x v="1"/>
    <x v="5"/>
    <s v="Safco Chair Connectors, 6/Carton"/>
    <n v="500.23999999999995"/>
    <n v="13"/>
    <n v="0"/>
    <n v="145.06959999999992"/>
    <x v="0"/>
    <x v="7"/>
    <n v="11.159199999999995"/>
    <s v="Profit"/>
    <s v="No Discount"/>
  </r>
  <r>
    <n v="939"/>
    <s v="US-2023-166716"/>
    <x v="182"/>
    <d v="2023-08-25T00:00:00"/>
    <s v="Second Class"/>
    <s v="CR-12730"/>
    <s v="Craig Reiter"/>
    <x v="0"/>
    <s v="United States"/>
    <s v="Chicago"/>
    <s v="Illinois"/>
    <n v="60610"/>
    <x v="0"/>
    <s v="FUR-CH-10004495"/>
    <x v="1"/>
    <x v="5"/>
    <s v="Global Leather and Oak Executive Chair, Black"/>
    <n v="421.37200000000001"/>
    <n v="2"/>
    <n v="0.3"/>
    <n v="-6.0196000000000538"/>
    <x v="0"/>
    <x v="7"/>
    <n v="-3.0098000000000269"/>
    <s v="Loss"/>
    <s v="Medium"/>
  </r>
  <r>
    <n v="940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OFF-BI-10001359"/>
    <x v="0"/>
    <x v="1"/>
    <s v="GBC DocuBind TL300 Electric Binding System"/>
    <n v="896.99"/>
    <n v="1"/>
    <n v="0"/>
    <n v="421.58529999999996"/>
    <x v="0"/>
    <x v="7"/>
    <n v="421.58529999999996"/>
    <s v="Profit"/>
    <s v="No Discount"/>
  </r>
  <r>
    <n v="941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OFF-PA-10000246"/>
    <x v="0"/>
    <x v="0"/>
    <s v="Riverleaf Stik-Withit Designer Note Cubes"/>
    <n v="20.12"/>
    <n v="2"/>
    <n v="0"/>
    <n v="9.2552000000000003"/>
    <x v="0"/>
    <x v="7"/>
    <n v="4.6276000000000002"/>
    <s v="Profit"/>
    <s v="No Discount"/>
  </r>
  <r>
    <n v="942"/>
    <s v="US-2023-123253"/>
    <x v="183"/>
    <d v="2023-08-25T00:00:00"/>
    <s v="Second Class"/>
    <s v="DE-13255"/>
    <s v="Deanra Eno"/>
    <x v="1"/>
    <s v="United States"/>
    <s v="Lakewood"/>
    <s v="Ohio"/>
    <n v="44107"/>
    <x v="1"/>
    <s v="OFF-AR-10002804"/>
    <x v="0"/>
    <x v="4"/>
    <s v="Faber Castell Col-Erase Pencils"/>
    <n v="3.9119999999999999"/>
    <n v="1"/>
    <n v="0.2"/>
    <n v="1.0269000000000001"/>
    <x v="0"/>
    <x v="7"/>
    <n v="1.0269000000000001"/>
    <s v="Profit"/>
    <s v="Low"/>
  </r>
  <r>
    <n v="943"/>
    <s v="US-2023-166828"/>
    <x v="183"/>
    <d v="2023-08-25T00:00:00"/>
    <s v="First Class"/>
    <s v="JF-15415"/>
    <s v="Jennifer Ferguson"/>
    <x v="0"/>
    <s v="United States"/>
    <s v="Saint Charles"/>
    <s v="Missouri"/>
    <n v="63301"/>
    <x v="0"/>
    <s v="OFF-PA-10001846"/>
    <x v="0"/>
    <x v="0"/>
    <s v="Xerox 1899"/>
    <n v="11.56"/>
    <n v="2"/>
    <n v="0"/>
    <n v="5.6644000000000005"/>
    <x v="0"/>
    <x v="7"/>
    <n v="2.8322000000000003"/>
    <s v="Profit"/>
    <s v="No Discount"/>
  </r>
  <r>
    <n v="944"/>
    <s v="US-2023-130918"/>
    <x v="183"/>
    <d v="2023-08-24T00:00:00"/>
    <s v="Second Class"/>
    <s v="JP-15520"/>
    <s v="Jeremy Pistek"/>
    <x v="0"/>
    <s v="United States"/>
    <s v="North Miami"/>
    <s v="Florida"/>
    <n v="33161"/>
    <x v="2"/>
    <s v="OFF-SU-10003936"/>
    <x v="0"/>
    <x v="14"/>
    <s v="Acme Serrated Blade Letter Opener"/>
    <n v="7.6320000000000014"/>
    <n v="3"/>
    <n v="0.2"/>
    <n v="-1.8126000000000002"/>
    <x v="0"/>
    <x v="7"/>
    <n v="-0.60420000000000007"/>
    <s v="Loss"/>
    <s v="Low"/>
  </r>
  <r>
    <n v="945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FUR-FU-10003274"/>
    <x v="1"/>
    <x v="8"/>
    <s v="Regeneration Desk Collection"/>
    <n v="4.2240000000000002"/>
    <n v="3"/>
    <n v="0.2"/>
    <n v="1.2672000000000003"/>
    <x v="0"/>
    <x v="7"/>
    <n v="0.42240000000000011"/>
    <s v="Profit"/>
    <s v="Low"/>
  </r>
  <r>
    <n v="946"/>
    <s v="US-2023-154837"/>
    <x v="184"/>
    <d v="2023-08-27T00:00:00"/>
    <s v="Second Class"/>
    <s v="RB-19645"/>
    <s v="Robert Barroso"/>
    <x v="2"/>
    <s v="United States"/>
    <s v="Los Angeles"/>
    <s v="California"/>
    <n v="90032"/>
    <x v="3"/>
    <s v="OFF-BI-10001575"/>
    <x v="0"/>
    <x v="1"/>
    <s v="GBC Linen Binding Covers"/>
    <n v="49.568000000000005"/>
    <n v="2"/>
    <n v="0.2"/>
    <n v="17.348799999999997"/>
    <x v="0"/>
    <x v="7"/>
    <n v="8.6743999999999986"/>
    <s v="Profit"/>
    <s v="Low"/>
  </r>
  <r>
    <n v="947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0019"/>
    <x v="0"/>
    <x v="0"/>
    <s v="Xerox 1931"/>
    <n v="31.104000000000006"/>
    <n v="6"/>
    <n v="0.2"/>
    <n v="10.8864"/>
    <x v="0"/>
    <x v="7"/>
    <n v="1.8144"/>
    <s v="Profit"/>
    <s v="Low"/>
  </r>
  <r>
    <n v="948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1125"/>
    <x v="0"/>
    <x v="0"/>
    <s v="Xerox 1988"/>
    <n v="223.05600000000001"/>
    <n v="9"/>
    <n v="0.2"/>
    <n v="69.704999999999984"/>
    <x v="0"/>
    <x v="7"/>
    <n v="7.7449999999999983"/>
    <s v="Profit"/>
    <s v="Low"/>
  </r>
  <r>
    <n v="949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1837"/>
    <x v="0"/>
    <x v="0"/>
    <s v="Xerox 1976"/>
    <n v="15.552000000000003"/>
    <n v="3"/>
    <n v="0.2"/>
    <n v="5.4432"/>
    <x v="0"/>
    <x v="7"/>
    <n v="1.8144"/>
    <s v="Profit"/>
    <s v="Low"/>
  </r>
  <r>
    <n v="950"/>
    <s v="US-2023-112795"/>
    <x v="184"/>
    <d v="2023-08-28T00:00:00"/>
    <s v="Second Class"/>
    <s v="CR-12625"/>
    <s v="Corey Roper"/>
    <x v="1"/>
    <s v="United States"/>
    <s v="Grand Rapids"/>
    <s v="Michigan"/>
    <n v="49505"/>
    <x v="0"/>
    <s v="OFF-PA-10001934"/>
    <x v="0"/>
    <x v="0"/>
    <s v="Xerox 1993"/>
    <n v="19.440000000000001"/>
    <n v="3"/>
    <n v="0"/>
    <n v="9.5256000000000007"/>
    <x v="0"/>
    <x v="7"/>
    <n v="3.1752000000000002"/>
    <s v="Profit"/>
    <s v="No Discount"/>
  </r>
  <r>
    <n v="951"/>
    <s v="US-2023-110639"/>
    <x v="184"/>
    <d v="2023-08-23T00:00:00"/>
    <s v="Same Day"/>
    <s v="RH-19495"/>
    <s v="Rick Hansen"/>
    <x v="0"/>
    <s v="United States"/>
    <s v="New York City"/>
    <s v="New York"/>
    <n v="10009"/>
    <x v="1"/>
    <s v="OFF-PA-10003936"/>
    <x v="0"/>
    <x v="0"/>
    <s v="Xerox 1994"/>
    <n v="25.92"/>
    <n v="4"/>
    <n v="0"/>
    <n v="12.441600000000001"/>
    <x v="0"/>
    <x v="7"/>
    <n v="3.1104000000000003"/>
    <s v="Profit"/>
    <s v="No Discount"/>
  </r>
  <r>
    <n v="952"/>
    <s v="US-2023-110639"/>
    <x v="184"/>
    <d v="2023-08-23T00:00:00"/>
    <s v="Same Day"/>
    <s v="RH-19495"/>
    <s v="Rick Hansen"/>
    <x v="0"/>
    <s v="United States"/>
    <s v="New York City"/>
    <s v="New York"/>
    <n v="10009"/>
    <x v="1"/>
    <s v="OFF-PA-10004530"/>
    <x v="0"/>
    <x v="0"/>
    <s v="Personal Creations Ink Jet Cards and Labels"/>
    <n v="45.92"/>
    <n v="4"/>
    <n v="0"/>
    <n v="22.500800000000002"/>
    <x v="0"/>
    <x v="7"/>
    <n v="5.6252000000000004"/>
    <s v="Profit"/>
    <s v="No Discount"/>
  </r>
  <r>
    <n v="953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SU-10004661"/>
    <x v="0"/>
    <x v="14"/>
    <s v="Acme Titanium Bonded Scissors"/>
    <n v="6.8000000000000007"/>
    <n v="1"/>
    <n v="0.2"/>
    <n v="0.50999999999999979"/>
    <x v="0"/>
    <x v="7"/>
    <n v="0.50999999999999979"/>
    <s v="Profit"/>
    <s v="Low"/>
  </r>
  <r>
    <n v="954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TEC-PH-10000149"/>
    <x v="2"/>
    <x v="7"/>
    <s v="Cisco SPA525G2 IP Phone - Wireless"/>
    <n v="143.64000000000001"/>
    <n v="9"/>
    <n v="0.2"/>
    <n v="10.772999999999989"/>
    <x v="0"/>
    <x v="7"/>
    <n v="1.1969999999999987"/>
    <s v="Profit"/>
    <s v="Low"/>
  </r>
  <r>
    <n v="955"/>
    <s v="US-2023-107916"/>
    <x v="185"/>
    <d v="2023-08-26T00:00:00"/>
    <s v="First Class"/>
    <s v="JP-15460"/>
    <s v="Jennifer Patt"/>
    <x v="2"/>
    <s v="United States"/>
    <s v="Oceanside"/>
    <s v="New York"/>
    <n v="11572"/>
    <x v="1"/>
    <s v="FUR-FU-10004586"/>
    <x v="1"/>
    <x v="8"/>
    <s v="G.E. Longer-Life Indoor Recessed Floodlight Bulbs"/>
    <n v="13.28"/>
    <n v="2"/>
    <n v="0"/>
    <n v="6.3743999999999996"/>
    <x v="0"/>
    <x v="7"/>
    <n v="3.1871999999999998"/>
    <s v="Profit"/>
    <s v="No Discount"/>
  </r>
  <r>
    <n v="956"/>
    <s v="US-2023-107916"/>
    <x v="185"/>
    <d v="2023-08-26T00:00:00"/>
    <s v="First Class"/>
    <s v="JP-15460"/>
    <s v="Jennifer Patt"/>
    <x v="2"/>
    <s v="United States"/>
    <s v="Oceanside"/>
    <s v="New York"/>
    <n v="11572"/>
    <x v="1"/>
    <s v="OFF-BI-10001116"/>
    <x v="0"/>
    <x v="1"/>
    <s v="Wilson Jones 1&quot; Hanging DublLock Ring Binders"/>
    <n v="12.672000000000001"/>
    <n v="3"/>
    <n v="0.2"/>
    <n v="4.4352000000000009"/>
    <x v="0"/>
    <x v="7"/>
    <n v="1.4784000000000004"/>
    <s v="Profit"/>
    <s v="Low"/>
  </r>
  <r>
    <n v="957"/>
    <s v="US-2023-106719"/>
    <x v="185"/>
    <d v="2023-08-24T00:00:00"/>
    <s v="Same Day"/>
    <s v="RB-19645"/>
    <s v="Robert Barroso"/>
    <x v="2"/>
    <s v="United States"/>
    <s v="Billings"/>
    <s v="Montana"/>
    <n v="59102"/>
    <x v="3"/>
    <s v="OFF-BI-10002799"/>
    <x v="0"/>
    <x v="1"/>
    <s v="SlimView Poly Binder, 3/8&quot;"/>
    <n v="8.2880000000000003"/>
    <n v="2"/>
    <n v="0.2"/>
    <n v="2.6935999999999991"/>
    <x v="0"/>
    <x v="7"/>
    <n v="1.3467999999999996"/>
    <s v="Profit"/>
    <s v="Low"/>
  </r>
  <r>
    <n v="958"/>
    <s v="US-2023-120432"/>
    <x v="185"/>
    <d v="2023-08-26T00:00:00"/>
    <s v="Second Class"/>
    <s v="DW-13585"/>
    <s v="Dorothy Wardle"/>
    <x v="2"/>
    <s v="United States"/>
    <s v="Owensboro"/>
    <s v="Kentucky"/>
    <n v="42301"/>
    <x v="2"/>
    <s v="OFF-SU-10004661"/>
    <x v="0"/>
    <x v="14"/>
    <s v="Acme Titanium Bonded Scissors"/>
    <n v="25.5"/>
    <n v="3"/>
    <n v="0"/>
    <n v="6.63"/>
    <x v="0"/>
    <x v="7"/>
    <n v="2.21"/>
    <s v="Profit"/>
    <s v="No Discount"/>
  </r>
  <r>
    <n v="959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FUR-FU-10000771"/>
    <x v="1"/>
    <x v="8"/>
    <s v="Eldon 200 Class Desk Accessories, Smoke"/>
    <n v="6.28"/>
    <n v="1"/>
    <n v="0"/>
    <n v="2.6376000000000004"/>
    <x v="0"/>
    <x v="7"/>
    <n v="2.6376000000000004"/>
    <s v="Profit"/>
    <s v="No Discount"/>
  </r>
  <r>
    <n v="960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1982"/>
    <x v="0"/>
    <x v="1"/>
    <s v="Wilson Jones Custom Binder Spines &amp; Labels"/>
    <n v="6.5280000000000014"/>
    <n v="4"/>
    <n v="0.7"/>
    <n v="-4.5695999999999994"/>
    <x v="0"/>
    <x v="7"/>
    <n v="-1.1423999999999999"/>
    <s v="Loss"/>
    <s v="High"/>
  </r>
  <r>
    <n v="961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2103"/>
    <x v="0"/>
    <x v="1"/>
    <s v="Cardinal Slant-D Ring Binder, Heavy Gauge Vinyl"/>
    <n v="20.856000000000002"/>
    <n v="8"/>
    <n v="0.7"/>
    <n v="-16.684799999999996"/>
    <x v="0"/>
    <x v="7"/>
    <n v="-2.0855999999999995"/>
    <s v="Loss"/>
    <s v="High"/>
  </r>
  <r>
    <n v="962"/>
    <s v="US-2023-126200"/>
    <x v="186"/>
    <d v="2023-08-29T00:00:00"/>
    <s v="Standard Class"/>
    <s v="JE-15715"/>
    <s v="Joe Elijah"/>
    <x v="0"/>
    <s v="United States"/>
    <s v="Houston"/>
    <s v="Texas"/>
    <n v="77070"/>
    <x v="0"/>
    <s v="OFF-BI-10002133"/>
    <x v="0"/>
    <x v="1"/>
    <s v="Wilson Jones Elliptical Ring 3 1/2&quot; Capacity Binders, 800 sheets"/>
    <n v="25.679999999999993"/>
    <n v="3"/>
    <n v="0.8"/>
    <n v="-39.804000000000002"/>
    <x v="0"/>
    <x v="7"/>
    <n v="-13.268000000000001"/>
    <s v="Loss"/>
    <s v="High"/>
  </r>
  <r>
    <n v="963"/>
    <s v="US-2023-126200"/>
    <x v="186"/>
    <d v="2023-08-29T00:00:00"/>
    <s v="Standard Class"/>
    <s v="JE-15715"/>
    <s v="Joe Elijah"/>
    <x v="0"/>
    <s v="United States"/>
    <s v="Houston"/>
    <s v="Texas"/>
    <n v="77070"/>
    <x v="0"/>
    <s v="OFF-BI-10002225"/>
    <x v="0"/>
    <x v="1"/>
    <s v="Square Ring Data Binders, Rigid 75 Pt. Covers, 11&quot; x 14-7/8&quot;"/>
    <n v="12.383999999999997"/>
    <n v="3"/>
    <n v="0.8"/>
    <n v="-19.814400000000003"/>
    <x v="0"/>
    <x v="7"/>
    <n v="-6.6048000000000009"/>
    <s v="Loss"/>
    <s v="High"/>
  </r>
  <r>
    <n v="964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4141"/>
    <x v="0"/>
    <x v="1"/>
    <s v="Insertable Tab Indexes For Data Binders"/>
    <n v="2.8620000000000005"/>
    <n v="3"/>
    <n v="0.7"/>
    <n v="-2.2896000000000001"/>
    <x v="0"/>
    <x v="7"/>
    <n v="-0.76319999999999999"/>
    <s v="Loss"/>
    <s v="High"/>
  </r>
  <r>
    <n v="965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EN-10002504"/>
    <x v="0"/>
    <x v="11"/>
    <s v="Tyvek  Top-Opening Peel &amp; Seel Envelopes, Plain White"/>
    <n v="130.464"/>
    <n v="6"/>
    <n v="0.2"/>
    <n v="44.031599999999997"/>
    <x v="0"/>
    <x v="7"/>
    <n v="7.3385999999999996"/>
    <s v="Profit"/>
    <s v="Low"/>
  </r>
  <r>
    <n v="966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EN-10002600"/>
    <x v="0"/>
    <x v="11"/>
    <s v="Redi-Strip #10 Envelopes, 4 1/8 x 9 1/2"/>
    <n v="4.7200000000000006"/>
    <n v="2"/>
    <n v="0.2"/>
    <n v="1.6519999999999997"/>
    <x v="0"/>
    <x v="7"/>
    <n v="0.82599999999999985"/>
    <s v="Profit"/>
    <s v="Low"/>
  </r>
  <r>
    <n v="967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FA-10000621"/>
    <x v="0"/>
    <x v="6"/>
    <s v="OIC Colored Binder Clips, Assorted Sizes"/>
    <n v="40.096000000000004"/>
    <n v="14"/>
    <n v="0.2"/>
    <n v="14.534799999999997"/>
    <x v="0"/>
    <x v="7"/>
    <n v="1.0381999999999998"/>
    <s v="Profit"/>
    <s v="Low"/>
  </r>
  <r>
    <n v="968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PA-10004965"/>
    <x v="0"/>
    <x v="0"/>
    <s v="Xerox 1921"/>
    <n v="23.976000000000003"/>
    <n v="3"/>
    <n v="0.2"/>
    <n v="7.4924999999999988"/>
    <x v="0"/>
    <x v="7"/>
    <n v="2.4974999999999996"/>
    <s v="Profit"/>
    <s v="Low"/>
  </r>
  <r>
    <n v="969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OFF-PA-10004983"/>
    <x v="0"/>
    <x v="0"/>
    <s v="Xerox 23"/>
    <n v="25.92"/>
    <n v="4"/>
    <n v="0"/>
    <n v="12.441600000000001"/>
    <x v="0"/>
    <x v="7"/>
    <n v="3.1104000000000003"/>
    <s v="Profit"/>
    <s v="No Discount"/>
  </r>
  <r>
    <n v="970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OFF-ST-10004258"/>
    <x v="0"/>
    <x v="3"/>
    <s v="Portable Personal File Box"/>
    <n v="48.84"/>
    <n v="4"/>
    <n v="0"/>
    <n v="13.186800000000005"/>
    <x v="0"/>
    <x v="7"/>
    <n v="3.2967000000000013"/>
    <s v="Profit"/>
    <s v="No Discount"/>
  </r>
  <r>
    <n v="971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TEC-AC-10002399"/>
    <x v="2"/>
    <x v="9"/>
    <s v="SanDisk Cruzer 32 GB USB Flash Drive"/>
    <n v="95.1"/>
    <n v="5"/>
    <n v="0"/>
    <n v="30.431999999999995"/>
    <x v="0"/>
    <x v="7"/>
    <n v="6.0863999999999994"/>
    <s v="Profit"/>
    <s v="No Discount"/>
  </r>
  <r>
    <n v="972"/>
    <s v="US-2023-103660"/>
    <x v="186"/>
    <d v="2023-08-30T00:00:00"/>
    <s v="Standard Class"/>
    <s v="MW-18220"/>
    <s v="Mitch Webber"/>
    <x v="0"/>
    <s v="United States"/>
    <s v="Seattle"/>
    <s v="Washington"/>
    <n v="98103"/>
    <x v="3"/>
    <s v="TEC-PH-10000895"/>
    <x v="2"/>
    <x v="7"/>
    <s v="Polycom VVX 310 VoIP phone"/>
    <n v="1007.9440000000002"/>
    <n v="7"/>
    <n v="0.2"/>
    <n v="75.595799999999997"/>
    <x v="0"/>
    <x v="7"/>
    <n v="10.7994"/>
    <s v="Profit"/>
    <s v="Low"/>
  </r>
  <r>
    <n v="973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FUR-FU-10001731"/>
    <x v="1"/>
    <x v="8"/>
    <s v="Acrylic Self-Standing Desk Frames"/>
    <n v="10.68"/>
    <n v="4"/>
    <n v="0"/>
    <n v="4.0583999999999998"/>
    <x v="0"/>
    <x v="7"/>
    <n v="1.0145999999999999"/>
    <s v="Profit"/>
    <s v="No Discount"/>
  </r>
  <r>
    <n v="974"/>
    <s v="US-2023-115413"/>
    <x v="187"/>
    <d v="2023-09-01T00:00:00"/>
    <s v="Standard Class"/>
    <s v="PP-18955"/>
    <s v="Paul Prost"/>
    <x v="1"/>
    <s v="United States"/>
    <s v="Newark"/>
    <s v="Delaware"/>
    <n v="19711"/>
    <x v="1"/>
    <s v="OFF-AR-10003770"/>
    <x v="0"/>
    <x v="4"/>
    <s v="Newell 340"/>
    <n v="8.64"/>
    <n v="3"/>
    <n v="0"/>
    <n v="2.5055999999999998"/>
    <x v="0"/>
    <x v="7"/>
    <n v="0.83519999999999994"/>
    <s v="Profit"/>
    <s v="No Discount"/>
  </r>
  <r>
    <n v="975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OFF-PA-10002160"/>
    <x v="0"/>
    <x v="0"/>
    <s v="Xerox 1978"/>
    <n v="17.34"/>
    <n v="3"/>
    <n v="0"/>
    <n v="8.4966000000000008"/>
    <x v="0"/>
    <x v="7"/>
    <n v="2.8322000000000003"/>
    <s v="Profit"/>
    <s v="No Discount"/>
  </r>
  <r>
    <n v="976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OFF-PA-10002659"/>
    <x v="0"/>
    <x v="0"/>
    <s v="Avoid Verbal Orders Carbonless Minifold Book"/>
    <n v="3.38"/>
    <n v="1"/>
    <n v="0"/>
    <n v="1.5547999999999997"/>
    <x v="0"/>
    <x v="7"/>
    <n v="1.5547999999999997"/>
    <s v="Profit"/>
    <s v="No Discount"/>
  </r>
  <r>
    <n v="977"/>
    <s v="US-2023-123260"/>
    <x v="187"/>
    <d v="2023-08-30T00:00:00"/>
    <s v="Standard Class"/>
    <s v="FM-14290"/>
    <s v="Frank Merwin"/>
    <x v="1"/>
    <s v="United States"/>
    <s v="Los Angeles"/>
    <s v="California"/>
    <n v="90032"/>
    <x v="3"/>
    <s v="TEC-AC-10002323"/>
    <x v="2"/>
    <x v="9"/>
    <s v="SanDisk Ultra 32 GB MicroSDHC Class 10 Memory Card"/>
    <n v="176.8"/>
    <n v="8"/>
    <n v="0"/>
    <n v="22.984000000000009"/>
    <x v="0"/>
    <x v="7"/>
    <n v="2.8730000000000011"/>
    <s v="Profit"/>
    <s v="No Discount"/>
  </r>
  <r>
    <n v="978"/>
    <s v="US-2023-115413"/>
    <x v="187"/>
    <d v="2023-09-01T00:00:00"/>
    <s v="Standard Class"/>
    <s v="PP-18955"/>
    <s v="Paul Prost"/>
    <x v="1"/>
    <s v="United States"/>
    <s v="Newark"/>
    <s v="Delaware"/>
    <n v="19711"/>
    <x v="1"/>
    <s v="TEC-AC-10002800"/>
    <x v="2"/>
    <x v="9"/>
    <s v="Plantronics Audio 478 Stereo USB Headset"/>
    <n v="149.97"/>
    <n v="3"/>
    <n v="0"/>
    <n v="52.489499999999992"/>
    <x v="0"/>
    <x v="7"/>
    <n v="17.496499999999997"/>
    <s v="Profit"/>
    <s v="No Discount"/>
  </r>
  <r>
    <n v="979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FUR-FU-10002456"/>
    <x v="1"/>
    <x v="8"/>
    <s v="Master Caster Door Stop, Large Neon Orange"/>
    <n v="29.12"/>
    <n v="4"/>
    <n v="0"/>
    <n v="12.521600000000003"/>
    <x v="0"/>
    <x v="7"/>
    <n v="3.1304000000000007"/>
    <s v="Profit"/>
    <s v="No Discount"/>
  </r>
  <r>
    <n v="980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FUR-TA-10003569"/>
    <x v="1"/>
    <x v="13"/>
    <s v="Bretford CR8500 Series Meeting Room Furniture"/>
    <n v="1202.94"/>
    <n v="3"/>
    <n v="0"/>
    <n v="300.73500000000001"/>
    <x v="0"/>
    <x v="7"/>
    <n v="100.245"/>
    <s v="Profit"/>
    <s v="No Discount"/>
  </r>
  <r>
    <n v="981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OFF-AR-10003056"/>
    <x v="0"/>
    <x v="4"/>
    <s v="Newell 341"/>
    <n v="8.56"/>
    <n v="2"/>
    <n v="0"/>
    <n v="2.4823999999999993"/>
    <x v="0"/>
    <x v="7"/>
    <n v="1.2411999999999996"/>
    <s v="Profit"/>
    <s v="No Discount"/>
  </r>
  <r>
    <n v="982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OFF-BI-10002215"/>
    <x v="0"/>
    <x v="1"/>
    <s v="Wilson Jones Hanging View Binder, White, 1&quot;"/>
    <n v="22.72"/>
    <n v="4"/>
    <n v="0.2"/>
    <n v="7.3839999999999986"/>
    <x v="0"/>
    <x v="7"/>
    <n v="1.8459999999999996"/>
    <s v="Profit"/>
    <s v="Low"/>
  </r>
  <r>
    <n v="983"/>
    <s v="US-2023-101266"/>
    <x v="188"/>
    <d v="2023-08-30T00:00:00"/>
    <s v="Second Class"/>
    <s v="MM-17920"/>
    <s v="Michael Moore"/>
    <x v="0"/>
    <s v="United States"/>
    <s v="Springfield"/>
    <s v="Virginia"/>
    <n v="22153"/>
    <x v="2"/>
    <s v="OFF-PA-10002986"/>
    <x v="0"/>
    <x v="0"/>
    <s v="Xerox 1898"/>
    <n v="13.36"/>
    <n v="2"/>
    <n v="0"/>
    <n v="6.4127999999999998"/>
    <x v="0"/>
    <x v="7"/>
    <n v="3.2063999999999999"/>
    <s v="Profit"/>
    <s v="No Discount"/>
  </r>
  <r>
    <n v="984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TEC-PH-10000455"/>
    <x v="2"/>
    <x v="7"/>
    <s v="GE 30522EE2"/>
    <n v="579.94999999999993"/>
    <n v="5"/>
    <n v="0"/>
    <n v="168.18549999999993"/>
    <x v="0"/>
    <x v="7"/>
    <n v="33.63709999999999"/>
    <s v="Profit"/>
    <s v="No Discount"/>
  </r>
  <r>
    <n v="985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TEC-PH-10001949"/>
    <x v="2"/>
    <x v="7"/>
    <s v="Cisco SPA 501G IP Phone"/>
    <n v="213.48000000000002"/>
    <n v="3"/>
    <n v="0.2"/>
    <n v="16.010999999999981"/>
    <x v="0"/>
    <x v="7"/>
    <n v="5.3369999999999935"/>
    <s v="Profit"/>
    <s v="Low"/>
  </r>
  <r>
    <n v="986"/>
    <s v="US-2023-169775"/>
    <x v="189"/>
    <d v="2023-09-02T00:00:00"/>
    <s v="Second Class"/>
    <s v="RA-19945"/>
    <s v="Ryan Akin"/>
    <x v="0"/>
    <s v="United States"/>
    <s v="Miami"/>
    <s v="Florida"/>
    <n v="33178"/>
    <x v="2"/>
    <s v="FUR-TA-10001857"/>
    <x v="1"/>
    <x v="13"/>
    <s v="Balt Solid Wood Rectangular Table"/>
    <n v="174.05850000000001"/>
    <n v="3"/>
    <n v="0.45"/>
    <n v="-110.76450000000001"/>
    <x v="0"/>
    <x v="7"/>
    <n v="-36.921500000000002"/>
    <s v="Loss"/>
    <s v="High"/>
  </r>
  <r>
    <n v="987"/>
    <s v="US-2023-169775"/>
    <x v="189"/>
    <d v="2023-09-02T00:00:00"/>
    <s v="Second Class"/>
    <s v="RA-19945"/>
    <s v="Ryan Akin"/>
    <x v="0"/>
    <s v="United States"/>
    <s v="Miami"/>
    <s v="Florida"/>
    <n v="33178"/>
    <x v="2"/>
    <s v="OFF-BI-10004390"/>
    <x v="0"/>
    <x v="1"/>
    <s v="GBC DocuBind 200 Manual Binding Machine"/>
    <n v="505.1760000000001"/>
    <n v="4"/>
    <n v="0.7"/>
    <n v="-336.78399999999988"/>
    <x v="0"/>
    <x v="7"/>
    <n v="-84.19599999999997"/>
    <s v="Loss"/>
    <s v="High"/>
  </r>
  <r>
    <n v="988"/>
    <s v="US-2023-169775"/>
    <x v="189"/>
    <d v="2023-09-02T00:00:00"/>
    <s v="Second Class"/>
    <s v="RA-19945"/>
    <s v="Ryan Akin"/>
    <x v="0"/>
    <s v="United States"/>
    <s v="Miami"/>
    <s v="Florida"/>
    <n v="33178"/>
    <x v="2"/>
    <s v="OFF-EN-10001749"/>
    <x v="0"/>
    <x v="11"/>
    <s v="Jiffy Padded Mailers with Self-Seal Closure"/>
    <n v="29.808"/>
    <n v="2"/>
    <n v="0.2"/>
    <n v="10.805399999999997"/>
    <x v="0"/>
    <x v="7"/>
    <n v="5.4026999999999985"/>
    <s v="Profit"/>
    <s v="Low"/>
  </r>
  <r>
    <n v="989"/>
    <s v="US-2023-135699"/>
    <x v="189"/>
    <d v="2023-08-29T00:00:00"/>
    <s v="Same Day"/>
    <s v="HH-15010"/>
    <s v="Hilary Holden"/>
    <x v="2"/>
    <s v="United States"/>
    <s v="San Francisco"/>
    <s v="California"/>
    <n v="94110"/>
    <x v="3"/>
    <s v="OFF-PA-10003001"/>
    <x v="0"/>
    <x v="0"/>
    <s v="Xerox 1986"/>
    <n v="13.36"/>
    <n v="2"/>
    <n v="0"/>
    <n v="6.4127999999999998"/>
    <x v="0"/>
    <x v="7"/>
    <n v="3.2063999999999999"/>
    <s v="Profit"/>
    <s v="No Discount"/>
  </r>
  <r>
    <n v="990"/>
    <s v="US-2023-135699"/>
    <x v="189"/>
    <d v="2023-08-29T00:00:00"/>
    <s v="Same Day"/>
    <s v="HH-15010"/>
    <s v="Hilary Holden"/>
    <x v="2"/>
    <s v="United States"/>
    <s v="San Francisco"/>
    <s v="California"/>
    <n v="94110"/>
    <x v="3"/>
    <s v="OFF-PA-10004475"/>
    <x v="0"/>
    <x v="0"/>
    <s v="Xerox 1940"/>
    <n v="109.92"/>
    <n v="2"/>
    <n v="0"/>
    <n v="53.860799999999998"/>
    <x v="0"/>
    <x v="7"/>
    <n v="26.930399999999999"/>
    <s v="Profit"/>
    <s v="No Discount"/>
  </r>
  <r>
    <n v="991"/>
    <s v="US-2023-146500"/>
    <x v="190"/>
    <d v="2023-09-04T00:00:00"/>
    <s v="Standard Class"/>
    <s v="AT-10735"/>
    <s v="Annie Thurman"/>
    <x v="0"/>
    <s v="United States"/>
    <s v="Bristol"/>
    <s v="Connecticut"/>
    <n v="6010"/>
    <x v="1"/>
    <s v="OFF-BI-10002432"/>
    <x v="0"/>
    <x v="1"/>
    <s v="Wilson Jones Standard D-Ring Binders"/>
    <n v="25.299999999999997"/>
    <n v="5"/>
    <n v="0"/>
    <n v="11.890999999999998"/>
    <x v="0"/>
    <x v="7"/>
    <n v="2.3781999999999996"/>
    <s v="Profit"/>
    <s v="No Discount"/>
  </r>
  <r>
    <n v="992"/>
    <s v="US-2023-146500"/>
    <x v="190"/>
    <d v="2023-09-04T00:00:00"/>
    <s v="Standard Class"/>
    <s v="AT-10735"/>
    <s v="Annie Thurman"/>
    <x v="0"/>
    <s v="United States"/>
    <s v="Bristol"/>
    <s v="Connecticut"/>
    <n v="6010"/>
    <x v="1"/>
    <s v="OFF-ST-10000563"/>
    <x v="0"/>
    <x v="3"/>
    <s v="Fellowes Bankers Box Stor/Drawer Steel Plus"/>
    <n v="95.94"/>
    <n v="3"/>
    <n v="0"/>
    <n v="9.5940000000000012"/>
    <x v="0"/>
    <x v="7"/>
    <n v="3.1980000000000004"/>
    <s v="Profit"/>
    <s v="No Discount"/>
  </r>
  <r>
    <n v="993"/>
    <s v="US-2023-143385"/>
    <x v="191"/>
    <d v="2023-09-05T00:00:00"/>
    <s v="Standard Class"/>
    <s v="SJ-20500"/>
    <s v="Shirley Jackson"/>
    <x v="0"/>
    <s v="United States"/>
    <s v="Santa Fe"/>
    <s v="New Mexico"/>
    <n v="87505"/>
    <x v="3"/>
    <s v="TEC-AC-10001635"/>
    <x v="2"/>
    <x v="9"/>
    <s v="KeyTronic KT400U2 - Keyboard - Black"/>
    <n v="92.52"/>
    <n v="9"/>
    <n v="0"/>
    <n v="18.503999999999991"/>
    <x v="0"/>
    <x v="7"/>
    <n v="2.0559999999999992"/>
    <s v="Profit"/>
    <s v="No Discount"/>
  </r>
  <r>
    <n v="994"/>
    <s v="US-2023-126522"/>
    <x v="192"/>
    <d v="2023-09-05T00:00:00"/>
    <s v="Second Class"/>
    <s v="LT-16765"/>
    <s v="Larry Tron"/>
    <x v="0"/>
    <s v="United States"/>
    <s v="Escondido"/>
    <s v="California"/>
    <n v="92025"/>
    <x v="3"/>
    <s v="OFF-AR-10004042"/>
    <x v="0"/>
    <x v="4"/>
    <s v="BOSTON Model 1800 Electric Pencil Sharpeners, Putty/Woodgrain"/>
    <n v="53.94"/>
    <n v="3"/>
    <n v="0"/>
    <n v="15.642599999999995"/>
    <x v="0"/>
    <x v="8"/>
    <n v="5.2141999999999982"/>
    <s v="Profit"/>
    <s v="No Discount"/>
  </r>
  <r>
    <n v="995"/>
    <s v="US-2023-165428"/>
    <x v="192"/>
    <d v="2023-09-04T00:00:00"/>
    <s v="First Class"/>
    <s v="JL-15130"/>
    <s v="Jack Lebron"/>
    <x v="0"/>
    <s v="United States"/>
    <s v="Houston"/>
    <s v="Texas"/>
    <n v="77036"/>
    <x v="0"/>
    <s v="OFF-BI-10002949"/>
    <x v="0"/>
    <x v="1"/>
    <s v="Prestige Round Ring Binders"/>
    <n v="3.6479999999999992"/>
    <n v="3"/>
    <n v="0.8"/>
    <n v="-6.0192000000000032"/>
    <x v="0"/>
    <x v="8"/>
    <n v="-2.0064000000000011"/>
    <s v="Loss"/>
    <s v="High"/>
  </r>
  <r>
    <n v="996"/>
    <s v="US-2023-109855"/>
    <x v="192"/>
    <d v="2023-09-05T00:00:00"/>
    <s v="Standard Class"/>
    <s v="LH-16900"/>
    <s v="Lena Hernandez"/>
    <x v="0"/>
    <s v="United States"/>
    <s v="New York City"/>
    <s v="New York"/>
    <n v="10009"/>
    <x v="1"/>
    <s v="OFF-BI-10004716"/>
    <x v="0"/>
    <x v="1"/>
    <s v="Wilson Jones Hanging Recycled Pressboard Data Binders"/>
    <n v="23.744"/>
    <n v="2"/>
    <n v="0.2"/>
    <n v="8.3103999999999996"/>
    <x v="0"/>
    <x v="8"/>
    <n v="4.1551999999999998"/>
    <s v="Profit"/>
    <s v="Low"/>
  </r>
  <r>
    <n v="997"/>
    <s v="US-2023-165428"/>
    <x v="192"/>
    <d v="2023-09-04T00:00:00"/>
    <s v="First Class"/>
    <s v="JL-15130"/>
    <s v="Jack Lebron"/>
    <x v="0"/>
    <s v="United States"/>
    <s v="Houston"/>
    <s v="Texas"/>
    <n v="77036"/>
    <x v="0"/>
    <s v="OFF-PA-10004100"/>
    <x v="0"/>
    <x v="0"/>
    <s v="Xerox 216"/>
    <n v="31.104000000000006"/>
    <n v="6"/>
    <n v="0.2"/>
    <n v="10.8864"/>
    <x v="0"/>
    <x v="8"/>
    <n v="1.8144"/>
    <s v="Profit"/>
    <s v="Low"/>
  </r>
  <r>
    <n v="998"/>
    <s v="US-2023-109855"/>
    <x v="192"/>
    <d v="2023-09-05T00:00:00"/>
    <s v="Standard Class"/>
    <s v="LH-16900"/>
    <s v="Lena Hernandez"/>
    <x v="0"/>
    <s v="United States"/>
    <s v="New York City"/>
    <s v="New York"/>
    <n v="10009"/>
    <x v="1"/>
    <s v="TEC-AC-10002842"/>
    <x v="2"/>
    <x v="9"/>
    <s v="WD My Passport Ultra 2TB Portable External Hard Drive"/>
    <n v="357"/>
    <n v="3"/>
    <n v="0"/>
    <n v="57.120000000000019"/>
    <x v="0"/>
    <x v="8"/>
    <n v="19.040000000000006"/>
    <s v="Profit"/>
    <s v="No Discount"/>
  </r>
  <r>
    <n v="999"/>
    <s v="US-2023-157721"/>
    <x v="193"/>
    <d v="2023-09-05T00:00:00"/>
    <s v="First Class"/>
    <s v="JM-16195"/>
    <s v="Justin MacKendrick"/>
    <x v="0"/>
    <s v="United States"/>
    <s v="Watertown"/>
    <s v="New York"/>
    <n v="13601"/>
    <x v="1"/>
    <s v="FUR-FU-10002116"/>
    <x v="1"/>
    <x v="8"/>
    <s v="Tenex Carpeted, Granite-Look or Clear Contemporary Contour Shape Chair Mats"/>
    <n v="70.709999999999994"/>
    <n v="1"/>
    <n v="0"/>
    <n v="4.9496999999999929"/>
    <x v="0"/>
    <x v="8"/>
    <n v="4.9496999999999929"/>
    <s v="Profit"/>
    <s v="No Discount"/>
  </r>
  <r>
    <n v="1000"/>
    <s v="US-2023-157721"/>
    <x v="193"/>
    <d v="2023-09-05T00:00:00"/>
    <s v="First Class"/>
    <s v="JM-16195"/>
    <s v="Justin MacKendrick"/>
    <x v="0"/>
    <s v="United States"/>
    <s v="Watertown"/>
    <s v="New York"/>
    <n v="13601"/>
    <x v="1"/>
    <s v="OFF-AP-10001303"/>
    <x v="0"/>
    <x v="12"/>
    <s v="Holmes Cool Mist Humidifier for the Whole House with 8-Gallon Output per Day, Extended Life Filter"/>
    <n v="19.899999999999999"/>
    <n v="1"/>
    <n v="0"/>
    <n v="8.9549999999999983"/>
    <x v="0"/>
    <x v="8"/>
    <n v="8.9549999999999983"/>
    <s v="Profit"/>
    <s v="No Discount"/>
  </r>
  <r>
    <n v="1001"/>
    <s v="US-2023-138828"/>
    <x v="193"/>
    <d v="2023-09-03T00:00:00"/>
    <s v="First Class"/>
    <s v="KD-16345"/>
    <s v="Katherine Ducich"/>
    <x v="0"/>
    <s v="United States"/>
    <s v="New York City"/>
    <s v="New York"/>
    <n v="10009"/>
    <x v="1"/>
    <s v="OFF-AR-10000658"/>
    <x v="0"/>
    <x v="4"/>
    <s v="Newell 324"/>
    <n v="57.75"/>
    <n v="5"/>
    <n v="0"/>
    <n v="16.170000000000002"/>
    <x v="0"/>
    <x v="8"/>
    <n v="3.2340000000000004"/>
    <s v="Profit"/>
    <s v="No Discount"/>
  </r>
  <r>
    <n v="1002"/>
    <s v="US-2023-127936"/>
    <x v="193"/>
    <d v="2023-09-04T00:00:00"/>
    <s v="First Class"/>
    <s v="CL-12565"/>
    <s v="Clay Ludtke"/>
    <x v="0"/>
    <s v="United States"/>
    <s v="New York City"/>
    <s v="New York"/>
    <n v="10009"/>
    <x v="1"/>
    <s v="OFF-AR-10002445"/>
    <x v="0"/>
    <x v="4"/>
    <s v="SANFORD Major Accent Highlighters"/>
    <n v="21.240000000000002"/>
    <n v="3"/>
    <n v="0"/>
    <n v="8.071200000000001"/>
    <x v="0"/>
    <x v="8"/>
    <n v="2.6904000000000003"/>
    <s v="Profit"/>
    <s v="No Discount"/>
  </r>
  <r>
    <n v="1003"/>
    <s v="US-2023-152268"/>
    <x v="193"/>
    <d v="2023-09-07T00:00:00"/>
    <s v="Standard Class"/>
    <s v="SC-20095"/>
    <s v="Sanjit Chand"/>
    <x v="0"/>
    <s v="United States"/>
    <s v="Fayetteville"/>
    <s v="Arkansas"/>
    <n v="72701"/>
    <x v="2"/>
    <s v="OFF-BI-10001359"/>
    <x v="0"/>
    <x v="1"/>
    <s v="GBC DocuBind TL300 Electric Binding System"/>
    <n v="1793.98"/>
    <n v="2"/>
    <n v="0"/>
    <n v="843.17059999999992"/>
    <x v="0"/>
    <x v="8"/>
    <n v="421.58529999999996"/>
    <s v="Profit"/>
    <s v="No Discount"/>
  </r>
  <r>
    <n v="1004"/>
    <s v="US-2023-138828"/>
    <x v="193"/>
    <d v="2023-09-03T00:00:00"/>
    <s v="First Class"/>
    <s v="KD-16345"/>
    <s v="Katherine Ducich"/>
    <x v="0"/>
    <s v="United States"/>
    <s v="New York City"/>
    <s v="New York"/>
    <n v="10009"/>
    <x v="1"/>
    <s v="OFF-PA-10000349"/>
    <x v="0"/>
    <x v="0"/>
    <s v="Easy-staple paper"/>
    <n v="14.940000000000001"/>
    <n v="3"/>
    <n v="0"/>
    <n v="7.0218000000000007"/>
    <x v="0"/>
    <x v="8"/>
    <n v="2.3406000000000002"/>
    <s v="Profit"/>
    <s v="No Discount"/>
  </r>
  <r>
    <n v="1005"/>
    <s v="US-2023-106971"/>
    <x v="193"/>
    <d v="2023-09-08T00:00:00"/>
    <s v="Standard Class"/>
    <s v="BM-11785"/>
    <s v="Bryan Mills"/>
    <x v="0"/>
    <s v="United States"/>
    <s v="Buffalo Grove"/>
    <s v="Illinois"/>
    <n v="60089"/>
    <x v="0"/>
    <s v="TEC-AC-10000844"/>
    <x v="2"/>
    <x v="9"/>
    <s v="Logitech Gaming G510s - Keyboard"/>
    <n v="475.94400000000002"/>
    <n v="7"/>
    <n v="0.2"/>
    <n v="95.188799999999972"/>
    <x v="0"/>
    <x v="8"/>
    <n v="13.598399999999996"/>
    <s v="Profit"/>
    <s v="Low"/>
  </r>
  <r>
    <n v="1006"/>
    <s v="US-2023-151792"/>
    <x v="193"/>
    <d v="2023-09-07T00:00:00"/>
    <s v="Second Class"/>
    <s v="CV-12295"/>
    <s v="Christina VanderZanden"/>
    <x v="0"/>
    <s v="United States"/>
    <s v="Chicago"/>
    <s v="Illinois"/>
    <n v="60653"/>
    <x v="0"/>
    <s v="TEC-AC-10001606"/>
    <x v="2"/>
    <x v="9"/>
    <s v="Logitech Wireless Performance Mouse MX for PC and Mac"/>
    <n v="239.976"/>
    <n v="3"/>
    <n v="0.2"/>
    <n v="53.994600000000005"/>
    <x v="0"/>
    <x v="8"/>
    <n v="17.998200000000001"/>
    <s v="Profit"/>
    <s v="Low"/>
  </r>
  <r>
    <n v="1007"/>
    <s v="US-2023-158281"/>
    <x v="193"/>
    <d v="2023-09-07T00:00:00"/>
    <s v="Standard Class"/>
    <s v="AG-10525"/>
    <s v="Andy Gerbode"/>
    <x v="2"/>
    <s v="United States"/>
    <s v="Houston"/>
    <s v="Texas"/>
    <n v="77095"/>
    <x v="0"/>
    <s v="TEC-MA-10002210"/>
    <x v="2"/>
    <x v="15"/>
    <s v="Epson TM-T88V Direct Thermal Printer - Monochrome - Desktop"/>
    <n v="559.71"/>
    <n v="3"/>
    <n v="0.4"/>
    <n v="-121.27049999999997"/>
    <x v="0"/>
    <x v="8"/>
    <n v="-40.42349999999999"/>
    <s v="Loss"/>
    <s v="Medium"/>
  </r>
  <r>
    <n v="1008"/>
    <s v="US-2023-120236"/>
    <x v="194"/>
    <d v="2023-09-04T00:00:00"/>
    <s v="First Class"/>
    <s v="MR-17545"/>
    <s v="Mathew Reese"/>
    <x v="1"/>
    <s v="United States"/>
    <s v="Houston"/>
    <s v="Texas"/>
    <n v="77095"/>
    <x v="0"/>
    <s v="OFF-BI-10004099"/>
    <x v="0"/>
    <x v="1"/>
    <s v="GBC VeloBinder Strips"/>
    <n v="7.6799999999999979"/>
    <n v="5"/>
    <n v="0.8"/>
    <n v="-11.52"/>
    <x v="0"/>
    <x v="8"/>
    <n v="-2.3039999999999998"/>
    <s v="Loss"/>
    <s v="High"/>
  </r>
  <r>
    <n v="1009"/>
    <s v="US-2023-125171"/>
    <x v="194"/>
    <d v="2023-09-03T00:00:00"/>
    <s v="Same Day"/>
    <s v="AG-10390"/>
    <s v="Allen Goldenen"/>
    <x v="0"/>
    <s v="United States"/>
    <s v="New York City"/>
    <s v="New York"/>
    <n v="10009"/>
    <x v="1"/>
    <s v="OFF-LA-10001175"/>
    <x v="0"/>
    <x v="2"/>
    <s v="Avery 514"/>
    <n v="14.399999999999999"/>
    <n v="5"/>
    <n v="0"/>
    <n v="7.056"/>
    <x v="0"/>
    <x v="8"/>
    <n v="1.4112"/>
    <s v="Profit"/>
    <s v="No Discount"/>
  </r>
  <r>
    <n v="1010"/>
    <s v="US-2023-136861"/>
    <x v="195"/>
    <d v="2023-09-07T00:00:00"/>
    <s v="First Class"/>
    <s v="PR-18880"/>
    <s v="Patrick Ryan"/>
    <x v="0"/>
    <s v="United States"/>
    <s v="Saint Petersburg"/>
    <s v="Florida"/>
    <n v="33710"/>
    <x v="2"/>
    <s v="FUR-FU-10001967"/>
    <x v="1"/>
    <x v="8"/>
    <s v="Telescoping Adjustable Floor Lamp"/>
    <n v="31.983999999999998"/>
    <n v="2"/>
    <n v="0.2"/>
    <n v="1.9989999999999979"/>
    <x v="0"/>
    <x v="8"/>
    <n v="0.99949999999999894"/>
    <s v="Profit"/>
    <s v="Low"/>
  </r>
  <r>
    <n v="1011"/>
    <s v="US-2023-106572"/>
    <x v="195"/>
    <d v="2023-09-10T00:00:00"/>
    <s v="Standard Class"/>
    <s v="NP-18700"/>
    <s v="Nora Preis"/>
    <x v="0"/>
    <s v="United States"/>
    <s v="Bowling Green"/>
    <s v="Ohio"/>
    <n v="43402"/>
    <x v="1"/>
    <s v="OFF-ST-10000585"/>
    <x v="0"/>
    <x v="3"/>
    <s v="Economy Rollaway Files"/>
    <n v="264.32"/>
    <n v="2"/>
    <n v="0.2"/>
    <n v="19.823999999999998"/>
    <x v="0"/>
    <x v="8"/>
    <n v="9.911999999999999"/>
    <s v="Profit"/>
    <s v="Low"/>
  </r>
  <r>
    <n v="1012"/>
    <s v="US-2023-130449"/>
    <x v="196"/>
    <d v="2023-09-09T00:00:00"/>
    <s v="First Class"/>
    <s v="VP-21760"/>
    <s v="Victoria Pisteka"/>
    <x v="2"/>
    <s v="United States"/>
    <s v="San Francisco"/>
    <s v="California"/>
    <n v="94109"/>
    <x v="3"/>
    <s v="FUR-FU-10001487"/>
    <x v="1"/>
    <x v="8"/>
    <s v="Eldon Expressions Wood and Plastic Desk Accessories, Cherry Wood"/>
    <n v="41.88"/>
    <n v="6"/>
    <n v="0"/>
    <n v="12.145199999999997"/>
    <x v="0"/>
    <x v="8"/>
    <n v="2.0241999999999996"/>
    <s v="Profit"/>
    <s v="No Discount"/>
  </r>
  <r>
    <n v="1013"/>
    <s v="US-2023-130449"/>
    <x v="196"/>
    <d v="2023-09-09T00:00:00"/>
    <s v="First Class"/>
    <s v="VP-21760"/>
    <s v="Victoria Pisteka"/>
    <x v="2"/>
    <s v="United States"/>
    <s v="San Francisco"/>
    <s v="California"/>
    <n v="94109"/>
    <x v="3"/>
    <s v="OFF-LA-10001934"/>
    <x v="0"/>
    <x v="2"/>
    <s v="Avery 516"/>
    <n v="58.48"/>
    <n v="8"/>
    <n v="0"/>
    <n v="27.485599999999998"/>
    <x v="0"/>
    <x v="8"/>
    <n v="3.4356999999999998"/>
    <s v="Profit"/>
    <s v="No Discount"/>
  </r>
  <r>
    <n v="1014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FUR-CH-10004698"/>
    <x v="1"/>
    <x v="5"/>
    <s v="Padded Folding Chairs, Black, 4/Carton"/>
    <n v="161.96"/>
    <n v="2"/>
    <n v="0"/>
    <n v="45.348800000000011"/>
    <x v="0"/>
    <x v="8"/>
    <n v="22.674400000000006"/>
    <s v="Profit"/>
    <s v="No Discount"/>
  </r>
  <r>
    <n v="1015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FUR-FU-10000758"/>
    <x v="1"/>
    <x v="8"/>
    <s v="DAX Natural Wood-Tone Poster Frame"/>
    <n v="42.368000000000002"/>
    <n v="2"/>
    <n v="0.2"/>
    <n v="8.4735999999999958"/>
    <x v="0"/>
    <x v="8"/>
    <n v="4.2367999999999979"/>
    <s v="Profit"/>
    <s v="Low"/>
  </r>
  <r>
    <n v="1016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FUR-FU-10004270"/>
    <x v="1"/>
    <x v="8"/>
    <s v="Executive Impressions 13&quot; Clairmont Wall Clock"/>
    <n v="57.69"/>
    <n v="3"/>
    <n v="0"/>
    <n v="23.652900000000002"/>
    <x v="0"/>
    <x v="8"/>
    <n v="7.8843000000000005"/>
    <s v="Profit"/>
    <s v="No Discount"/>
  </r>
  <r>
    <n v="1017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FUR-FU-10004665"/>
    <x v="1"/>
    <x v="8"/>
    <s v="3M Polarizing Task Lamp with Clamp Arm, Light Gray"/>
    <n v="821.87999999999988"/>
    <n v="6"/>
    <n v="0"/>
    <n v="213.68880000000001"/>
    <x v="0"/>
    <x v="8"/>
    <n v="35.614800000000002"/>
    <s v="Profit"/>
    <s v="No Discount"/>
  </r>
  <r>
    <n v="1018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FUR-TA-10001039"/>
    <x v="1"/>
    <x v="13"/>
    <s v="KI Adjustable-Height Table"/>
    <n v="429.90000000000003"/>
    <n v="5"/>
    <n v="0"/>
    <n v="111.77400000000003"/>
    <x v="0"/>
    <x v="8"/>
    <n v="22.354800000000004"/>
    <s v="Profit"/>
    <s v="No Discount"/>
  </r>
  <r>
    <n v="1019"/>
    <s v="US-2023-105165"/>
    <x v="197"/>
    <d v="2023-09-10T00:00:00"/>
    <s v="First Class"/>
    <s v="SZ-20035"/>
    <s v="Sam Zeldin"/>
    <x v="1"/>
    <s v="United States"/>
    <s v="Houston"/>
    <s v="Texas"/>
    <n v="77036"/>
    <x v="0"/>
    <s v="FUR-TA-10004154"/>
    <x v="1"/>
    <x v="13"/>
    <s v="Riverside Furniture Oval Coffee Table, Oval End Table, End Table with Drawer"/>
    <n v="200.79500000000002"/>
    <n v="1"/>
    <n v="0.3"/>
    <n v="-22.948000000000008"/>
    <x v="0"/>
    <x v="8"/>
    <n v="-22.948000000000008"/>
    <s v="Loss"/>
    <s v="Medium"/>
  </r>
  <r>
    <n v="1020"/>
    <s v="US-2023-105165"/>
    <x v="197"/>
    <d v="2023-09-10T00:00:00"/>
    <s v="First Class"/>
    <s v="SZ-20035"/>
    <s v="Sam Zeldin"/>
    <x v="1"/>
    <s v="United States"/>
    <s v="Houston"/>
    <s v="Texas"/>
    <n v="77036"/>
    <x v="0"/>
    <s v="OFF-AR-10003179"/>
    <x v="0"/>
    <x v="4"/>
    <s v="Dixon Ticonderoga Core-Lock Colored Pencils"/>
    <n v="21.864000000000001"/>
    <n v="3"/>
    <n v="0.2"/>
    <n v="3.5528999999999984"/>
    <x v="0"/>
    <x v="8"/>
    <n v="1.1842999999999995"/>
    <s v="Profit"/>
    <s v="Low"/>
  </r>
  <r>
    <n v="1021"/>
    <s v="US-2023-105165"/>
    <x v="197"/>
    <d v="2023-09-10T00:00:00"/>
    <s v="First Class"/>
    <s v="SZ-20035"/>
    <s v="Sam Zeldin"/>
    <x v="1"/>
    <s v="United States"/>
    <s v="Houston"/>
    <s v="Texas"/>
    <n v="77036"/>
    <x v="0"/>
    <s v="OFF-BI-10000050"/>
    <x v="0"/>
    <x v="1"/>
    <s v="Angle-D Binders with Locking Rings, Label Holders"/>
    <n v="2.9199999999999995"/>
    <n v="2"/>
    <n v="0.8"/>
    <n v="-4.8180000000000005"/>
    <x v="0"/>
    <x v="8"/>
    <n v="-2.4090000000000003"/>
    <s v="Loss"/>
    <s v="High"/>
  </r>
  <r>
    <n v="1022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OFF-BI-10000474"/>
    <x v="0"/>
    <x v="1"/>
    <s v="Avery Recycled Flexi-View Covers for Binding Systems"/>
    <n v="32.06"/>
    <n v="2"/>
    <n v="0"/>
    <n v="15.3888"/>
    <x v="0"/>
    <x v="8"/>
    <n v="7.6943999999999999"/>
    <s v="Profit"/>
    <s v="No Discount"/>
  </r>
  <r>
    <n v="1023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OFF-BI-10000948"/>
    <x v="0"/>
    <x v="1"/>
    <s v="GBC Laser Imprintable Binding System Covers, Desert Sand"/>
    <n v="42.81"/>
    <n v="3"/>
    <n v="0"/>
    <n v="20.120699999999999"/>
    <x v="0"/>
    <x v="8"/>
    <n v="6.7069000000000001"/>
    <s v="Profit"/>
    <s v="No Discount"/>
  </r>
  <r>
    <n v="1024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BI-10001249"/>
    <x v="0"/>
    <x v="1"/>
    <s v="Avery Heavy-Duty EZD View Binder with Locking Rings"/>
    <n v="3.8279999999999994"/>
    <n v="3"/>
    <n v="0.8"/>
    <n v="-6.5076000000000018"/>
    <x v="0"/>
    <x v="8"/>
    <n v="-2.1692000000000005"/>
    <s v="Loss"/>
    <s v="High"/>
  </r>
  <r>
    <n v="1025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BI-10004308"/>
    <x v="0"/>
    <x v="1"/>
    <s v="Avery Legal 4-Ring Binder"/>
    <n v="83.920000000000016"/>
    <n v="5"/>
    <n v="0.2"/>
    <n v="31.47"/>
    <x v="0"/>
    <x v="8"/>
    <n v="6.2939999999999996"/>
    <s v="Profit"/>
    <s v="Low"/>
  </r>
  <r>
    <n v="1026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BI-10004632"/>
    <x v="0"/>
    <x v="1"/>
    <s v="Ibico Hi-Tech Manual Binding System"/>
    <n v="304.98999999999995"/>
    <n v="5"/>
    <n v="0.8"/>
    <n v="-533.73250000000007"/>
    <x v="0"/>
    <x v="8"/>
    <n v="-106.74650000000001"/>
    <s v="Loss"/>
    <s v="High"/>
  </r>
  <r>
    <n v="1027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FA-10000936"/>
    <x v="0"/>
    <x v="6"/>
    <s v="Acco Hot Clips Clips to Go"/>
    <n v="13.16"/>
    <n v="5"/>
    <n v="0.2"/>
    <n v="4.1124999999999998"/>
    <x v="0"/>
    <x v="8"/>
    <n v="0.82250000000000001"/>
    <s v="Profit"/>
    <s v="Low"/>
  </r>
  <r>
    <n v="1028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PA-10000174"/>
    <x v="0"/>
    <x v="0"/>
    <s v="Message Book, Wirebound, Four 5 1/2&quot; X 4&quot; Forms/Pg., 200 Dupl. Sets/Book"/>
    <n v="20.56"/>
    <n v="2"/>
    <n v="0"/>
    <n v="9.663199999999998"/>
    <x v="0"/>
    <x v="8"/>
    <n v="4.831599999999999"/>
    <s v="Profit"/>
    <s v="No Discount"/>
  </r>
  <r>
    <n v="1029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OFF-PA-10000223"/>
    <x v="0"/>
    <x v="0"/>
    <s v="Xerox 2000"/>
    <n v="12.96"/>
    <n v="2"/>
    <n v="0"/>
    <n v="6.2208000000000006"/>
    <x v="0"/>
    <x v="8"/>
    <n v="3.1104000000000003"/>
    <s v="Profit"/>
    <s v="No Discount"/>
  </r>
  <r>
    <n v="1030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OFF-ST-10002344"/>
    <x v="0"/>
    <x v="3"/>
    <s v="Carina 42&quot;Hx23 3/4&quot;W Media Storage Unit"/>
    <n v="64.784000000000006"/>
    <n v="1"/>
    <n v="0.2"/>
    <n v="-14.576399999999996"/>
    <x v="0"/>
    <x v="8"/>
    <n v="-14.576399999999996"/>
    <s v="Loss"/>
    <s v="Low"/>
  </r>
  <r>
    <n v="1031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OFF-ST-10003327"/>
    <x v="0"/>
    <x v="3"/>
    <s v="Akro-Mils 12-Gallon Tote"/>
    <n v="19.86"/>
    <n v="2"/>
    <n v="0"/>
    <n v="5.7593999999999976"/>
    <x v="0"/>
    <x v="8"/>
    <n v="2.8796999999999988"/>
    <s v="Profit"/>
    <s v="No Discount"/>
  </r>
  <r>
    <n v="1032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SU-10004290"/>
    <x v="0"/>
    <x v="14"/>
    <s v="Acme Design Line 8&quot; Stainless Steel Bent Scissors w/Champagne Handles, 3-1/8&quot; Cut"/>
    <n v="27.36"/>
    <n v="4"/>
    <n v="0"/>
    <n v="7.3872"/>
    <x v="0"/>
    <x v="8"/>
    <n v="1.8468"/>
    <s v="Profit"/>
    <s v="No Discount"/>
  </r>
  <r>
    <n v="1033"/>
    <s v="US-2023-105165"/>
    <x v="197"/>
    <d v="2023-09-10T00:00:00"/>
    <s v="First Class"/>
    <s v="SZ-20035"/>
    <s v="Sam Zeldin"/>
    <x v="1"/>
    <s v="United States"/>
    <s v="Houston"/>
    <s v="Texas"/>
    <n v="77036"/>
    <x v="0"/>
    <s v="TEC-AC-10002718"/>
    <x v="2"/>
    <x v="9"/>
    <s v="Belkin Standard 104 key USB Keyboard"/>
    <n v="46.688000000000002"/>
    <n v="4"/>
    <n v="0.2"/>
    <n v="-2.9180000000000028"/>
    <x v="0"/>
    <x v="8"/>
    <n v="-0.7295000000000007"/>
    <s v="Loss"/>
    <s v="Low"/>
  </r>
  <r>
    <n v="1034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TEC-MA-10004679"/>
    <x v="2"/>
    <x v="15"/>
    <s v="StarTech.com 10/100 VDSL2 Ethernet Extender Kit"/>
    <n v="399.54"/>
    <n v="4"/>
    <n v="0.7"/>
    <n v="-559.35599999999988"/>
    <x v="0"/>
    <x v="8"/>
    <n v="-139.83899999999997"/>
    <s v="Loss"/>
    <s v="High"/>
  </r>
  <r>
    <n v="1035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TEC-PH-10000215"/>
    <x v="2"/>
    <x v="7"/>
    <s v="Plantronics Cordless Phone Headset with In-line Volume - M214C"/>
    <n v="104.85000000000001"/>
    <n v="3"/>
    <n v="0"/>
    <n v="28.309500000000007"/>
    <x v="0"/>
    <x v="8"/>
    <n v="9.4365000000000023"/>
    <s v="Profit"/>
    <s v="No Discount"/>
  </r>
  <r>
    <n v="1036"/>
    <s v="US-2023-105165"/>
    <x v="197"/>
    <d v="2023-09-10T00:00:00"/>
    <s v="First Class"/>
    <s v="SZ-20035"/>
    <s v="Sam Zeldin"/>
    <x v="1"/>
    <s v="United States"/>
    <s v="Houston"/>
    <s v="Texas"/>
    <n v="77036"/>
    <x v="0"/>
    <s v="TEC-PH-10000675"/>
    <x v="2"/>
    <x v="7"/>
    <s v="Panasonic KX TS3282B Corded phone"/>
    <n v="196.77600000000001"/>
    <n v="3"/>
    <n v="0.2"/>
    <n v="14.758199999999995"/>
    <x v="0"/>
    <x v="8"/>
    <n v="4.9193999999999987"/>
    <s v="Profit"/>
    <s v="Low"/>
  </r>
  <r>
    <n v="1037"/>
    <s v="US-2023-100006"/>
    <x v="197"/>
    <d v="2023-09-13T00:00:00"/>
    <s v="Standard Class"/>
    <s v="DK-13375"/>
    <s v="Dennis Kane"/>
    <x v="0"/>
    <s v="United States"/>
    <s v="New York City"/>
    <s v="New York"/>
    <n v="10024"/>
    <x v="1"/>
    <s v="TEC-PH-10002075"/>
    <x v="2"/>
    <x v="7"/>
    <s v="AT&amp;T EL51110 DECT"/>
    <n v="377.96999999999997"/>
    <n v="3"/>
    <n v="0"/>
    <n v="109.61129999999999"/>
    <x v="0"/>
    <x v="8"/>
    <n v="36.537099999999995"/>
    <s v="Profit"/>
    <s v="No Discount"/>
  </r>
  <r>
    <n v="1038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TEC-PH-10003589"/>
    <x v="2"/>
    <x v="7"/>
    <s v="invisibleSHIELD by ZAGG Smudge-Free Screen Protector"/>
    <n v="32.381999999999998"/>
    <n v="3"/>
    <n v="0.4"/>
    <n v="4.3175999999999988"/>
    <x v="0"/>
    <x v="8"/>
    <n v="1.4391999999999996"/>
    <s v="Profit"/>
    <s v="Medium"/>
  </r>
  <r>
    <n v="1039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FUR-CH-10000454"/>
    <x v="1"/>
    <x v="5"/>
    <s v="Hon Deluxe Fabric Upholstered Stacking Chairs, Rounded Back"/>
    <n v="975.92"/>
    <n v="5"/>
    <n v="0.2"/>
    <n v="121.98999999999992"/>
    <x v="0"/>
    <x v="8"/>
    <n v="24.397999999999985"/>
    <s v="Profit"/>
    <s v="Low"/>
  </r>
  <r>
    <n v="1040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FUR-CH-10004287"/>
    <x v="1"/>
    <x v="5"/>
    <s v="SAFCO Arco Folding Chair"/>
    <n v="1740.0599999999997"/>
    <n v="9"/>
    <n v="0.3"/>
    <n v="-24.858000000000175"/>
    <x v="0"/>
    <x v="8"/>
    <n v="-2.7620000000000196"/>
    <s v="Loss"/>
    <s v="Medium"/>
  </r>
  <r>
    <n v="1041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FUR-CH-10004287"/>
    <x v="1"/>
    <x v="5"/>
    <s v="SAFCO Arco Folding Chair"/>
    <n v="966.69999999999982"/>
    <n v="5"/>
    <n v="0.3"/>
    <n v="-13.810000000000116"/>
    <x v="0"/>
    <x v="8"/>
    <n v="-2.7620000000000231"/>
    <s v="Loss"/>
    <s v="Medium"/>
  </r>
  <r>
    <n v="1042"/>
    <s v="US-2023-146815"/>
    <x v="198"/>
    <d v="2023-09-13T00:00:00"/>
    <s v="Standard Class"/>
    <s v="PP-18955"/>
    <s v="Paul Prost"/>
    <x v="1"/>
    <s v="United States"/>
    <s v="New York City"/>
    <s v="New York"/>
    <n v="10009"/>
    <x v="1"/>
    <s v="FUR-CH-10004289"/>
    <x v="1"/>
    <x v="5"/>
    <s v="Global Super Steno Chair"/>
    <n v="172.76400000000001"/>
    <n v="2"/>
    <n v="0.1"/>
    <n v="13.437199999999986"/>
    <x v="0"/>
    <x v="8"/>
    <n v="6.7185999999999932"/>
    <s v="Profit"/>
    <s v="Low"/>
  </r>
  <r>
    <n v="1043"/>
    <s v="US-2023-123127"/>
    <x v="198"/>
    <d v="2023-09-12T00:00:00"/>
    <s v="Standard Class"/>
    <s v="SP-20620"/>
    <s v="Stefania Perrino"/>
    <x v="2"/>
    <s v="United States"/>
    <s v="Long Beach"/>
    <s v="New York"/>
    <n v="11561"/>
    <x v="1"/>
    <s v="OFF-AP-10001962"/>
    <x v="0"/>
    <x v="12"/>
    <s v="Black &amp; Decker Filter for Double Action Dustbuster Cordless Vac BLDV7210"/>
    <n v="16.78"/>
    <n v="2"/>
    <n v="0"/>
    <n v="4.1950000000000003"/>
    <x v="0"/>
    <x v="8"/>
    <n v="2.0975000000000001"/>
    <s v="Profit"/>
    <s v="No Discount"/>
  </r>
  <r>
    <n v="1044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P-10002518"/>
    <x v="0"/>
    <x v="12"/>
    <s v="Kensington 7 Outlet MasterPiece Power Center"/>
    <n v="177.97999999999996"/>
    <n v="5"/>
    <n v="0.8"/>
    <n v="-453.84900000000005"/>
    <x v="0"/>
    <x v="8"/>
    <n v="-90.769800000000004"/>
    <s v="Loss"/>
    <s v="High"/>
  </r>
  <r>
    <n v="1045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AP-10004785"/>
    <x v="0"/>
    <x v="12"/>
    <s v="Holmes Replacement Filter for HEPA Air Cleaner, Medium Room"/>
    <n v="56.65"/>
    <n v="5"/>
    <n v="0"/>
    <n v="24.359500000000004"/>
    <x v="0"/>
    <x v="8"/>
    <n v="4.871900000000001"/>
    <s v="Profit"/>
    <s v="No Discount"/>
  </r>
  <r>
    <n v="1046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AR-10000380"/>
    <x v="0"/>
    <x v="4"/>
    <s v="Hunt PowerHouse Electric Pencil Sharpener, Blue"/>
    <n v="303.83999999999997"/>
    <n v="8"/>
    <n v="0"/>
    <n v="91.151999999999958"/>
    <x v="0"/>
    <x v="8"/>
    <n v="11.393999999999995"/>
    <s v="Profit"/>
    <s v="No Discount"/>
  </r>
  <r>
    <n v="1047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R-10002656"/>
    <x v="0"/>
    <x v="4"/>
    <s v="Sanford Liquid Accent Highlighters"/>
    <n v="32.064"/>
    <n v="6"/>
    <n v="0.2"/>
    <n v="6.8135999999999974"/>
    <x v="0"/>
    <x v="8"/>
    <n v="1.1355999999999995"/>
    <s v="Profit"/>
    <s v="Low"/>
  </r>
  <r>
    <n v="1048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AR-10003045"/>
    <x v="0"/>
    <x v="4"/>
    <s v="Prang Colored Pencils"/>
    <n v="5.88"/>
    <n v="2"/>
    <n v="0"/>
    <n v="2.6459999999999999"/>
    <x v="0"/>
    <x v="8"/>
    <n v="1.323"/>
    <s v="Profit"/>
    <s v="No Discount"/>
  </r>
  <r>
    <n v="1049"/>
    <s v="US-2023-146815"/>
    <x v="198"/>
    <d v="2023-09-13T00:00:00"/>
    <s v="Standard Class"/>
    <s v="PP-18955"/>
    <s v="Paul Prost"/>
    <x v="1"/>
    <s v="United States"/>
    <s v="New York City"/>
    <s v="New York"/>
    <n v="10009"/>
    <x v="1"/>
    <s v="OFF-AR-10003469"/>
    <x v="0"/>
    <x v="4"/>
    <s v="Nontoxic Chalk"/>
    <n v="3.52"/>
    <n v="2"/>
    <n v="0"/>
    <n v="1.6896"/>
    <x v="0"/>
    <x v="8"/>
    <n v="0.8448"/>
    <s v="Profit"/>
    <s v="No Discount"/>
  </r>
  <r>
    <n v="1050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R-10004441"/>
    <x v="0"/>
    <x v="4"/>
    <s v="BIC Brite Liner Highlighters"/>
    <n v="9.9359999999999999"/>
    <n v="3"/>
    <n v="0.2"/>
    <n v="2.7324000000000002"/>
    <x v="0"/>
    <x v="8"/>
    <n v="0.91080000000000005"/>
    <s v="Profit"/>
    <s v="Low"/>
  </r>
  <r>
    <n v="1051"/>
    <s v="US-2023-140032"/>
    <x v="198"/>
    <d v="2023-09-13T00:00:00"/>
    <s v="Standard Class"/>
    <s v="TS-21340"/>
    <s v="Toby Swindell"/>
    <x v="0"/>
    <s v="United States"/>
    <s v="San Francisco"/>
    <s v="California"/>
    <n v="94109"/>
    <x v="3"/>
    <s v="OFF-BI-10000822"/>
    <x v="0"/>
    <x v="1"/>
    <s v="Acco PRESSTEX Data Binder with Storage Hooks, Light Blue, 9 1/2&quot; X 11&quot;"/>
    <n v="8.6080000000000005"/>
    <n v="2"/>
    <n v="0.2"/>
    <n v="3.0127999999999995"/>
    <x v="0"/>
    <x v="8"/>
    <n v="1.5063999999999997"/>
    <s v="Profit"/>
    <s v="Low"/>
  </r>
  <r>
    <n v="1052"/>
    <s v="US-2023-115987"/>
    <x v="198"/>
    <d v="2023-09-13T00:00:00"/>
    <s v="Second Class"/>
    <s v="LH-17020"/>
    <s v="Lisa Hazard"/>
    <x v="0"/>
    <s v="United States"/>
    <s v="Tyler"/>
    <s v="Texas"/>
    <n v="75701"/>
    <x v="0"/>
    <s v="OFF-BI-10001071"/>
    <x v="0"/>
    <x v="1"/>
    <s v="GBC ProClick Punch Binding System"/>
    <n v="51.183999999999983"/>
    <n v="4"/>
    <n v="0.8"/>
    <n v="-79.335199999999986"/>
    <x v="0"/>
    <x v="8"/>
    <n v="-19.833799999999997"/>
    <s v="Loss"/>
    <s v="High"/>
  </r>
  <r>
    <n v="1053"/>
    <s v="US-2023-128839"/>
    <x v="198"/>
    <d v="2023-09-13T00:00:00"/>
    <s v="Standard Class"/>
    <s v="TT-21070"/>
    <s v="Ted Trevino"/>
    <x v="0"/>
    <s v="United States"/>
    <s v="Chesapeake"/>
    <s v="Virginia"/>
    <n v="23320"/>
    <x v="2"/>
    <s v="OFF-FA-10002280"/>
    <x v="0"/>
    <x v="6"/>
    <s v="Advantus Plastic Paper Clips"/>
    <n v="45"/>
    <n v="9"/>
    <n v="0"/>
    <n v="21.599999999999998"/>
    <x v="0"/>
    <x v="8"/>
    <n v="2.4"/>
    <s v="Profit"/>
    <s v="No Discount"/>
  </r>
  <r>
    <n v="1054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FA-10002988"/>
    <x v="0"/>
    <x v="6"/>
    <s v="Ideal Clamps"/>
    <n v="4.0199999999999996"/>
    <n v="2"/>
    <n v="0"/>
    <n v="1.9697999999999998"/>
    <x v="0"/>
    <x v="8"/>
    <n v="0.98489999999999989"/>
    <s v="Profit"/>
    <s v="No Discount"/>
  </r>
  <r>
    <n v="1055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OFF-PA-10000482"/>
    <x v="0"/>
    <x v="0"/>
    <s v="Snap-A-Way Black Print Carbonless Ruled Speed Letter, Triplicate"/>
    <n v="182.11199999999999"/>
    <n v="6"/>
    <n v="0.2"/>
    <n v="61.46279999999998"/>
    <x v="0"/>
    <x v="8"/>
    <n v="10.243799999999997"/>
    <s v="Profit"/>
    <s v="Low"/>
  </r>
  <r>
    <n v="1056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OFF-PA-10002259"/>
    <x v="0"/>
    <x v="0"/>
    <s v="Geographics Note Cards, Blank, White, 8 1/2&quot; x 11&quot;"/>
    <n v="17.904"/>
    <n v="2"/>
    <n v="0.2"/>
    <n v="6.2664"/>
    <x v="0"/>
    <x v="8"/>
    <n v="3.1332"/>
    <s v="Profit"/>
    <s v="Low"/>
  </r>
  <r>
    <n v="1057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ST-10000736"/>
    <x v="0"/>
    <x v="3"/>
    <s v="Carina Double Wide Media Storage Towers in Natural &amp; Black"/>
    <n v="485.88"/>
    <n v="6"/>
    <n v="0"/>
    <n v="19.43519999999998"/>
    <x v="0"/>
    <x v="8"/>
    <n v="3.2391999999999967"/>
    <s v="Profit"/>
    <s v="No Discount"/>
  </r>
  <r>
    <n v="1058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ST-10000991"/>
    <x v="0"/>
    <x v="3"/>
    <s v="Space Solutions HD Industrial Steel Shelving."/>
    <n v="275.928"/>
    <n v="3"/>
    <n v="0.2"/>
    <n v="-58.634699999999995"/>
    <x v="0"/>
    <x v="8"/>
    <n v="-19.544899999999998"/>
    <s v="Loss"/>
    <s v="Low"/>
  </r>
  <r>
    <n v="1059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ST-10002406"/>
    <x v="0"/>
    <x v="3"/>
    <s v="Pizazz Global Quick File"/>
    <n v="14.97"/>
    <n v="1"/>
    <n v="0"/>
    <n v="4.1916000000000011"/>
    <x v="0"/>
    <x v="8"/>
    <n v="4.1916000000000011"/>
    <s v="Profit"/>
    <s v="No Discount"/>
  </r>
  <r>
    <n v="1060"/>
    <s v="US-2023-163293"/>
    <x v="198"/>
    <d v="2023-09-11T00:00:00"/>
    <s v="First Class"/>
    <s v="KC-16255"/>
    <s v="Karen Carlisle"/>
    <x v="2"/>
    <s v="United States"/>
    <s v="Macon"/>
    <s v="Georgia"/>
    <n v="31204"/>
    <x v="2"/>
    <s v="TEC-AC-10000023"/>
    <x v="2"/>
    <x v="9"/>
    <s v="Maxell 74 Minute CD-R Spindle, 50/Pack"/>
    <n v="83.88"/>
    <n v="4"/>
    <n v="0"/>
    <n v="30.196799999999996"/>
    <x v="0"/>
    <x v="8"/>
    <n v="7.549199999999999"/>
    <s v="Profit"/>
    <s v="No Discount"/>
  </r>
  <r>
    <n v="1061"/>
    <s v="US-2023-132500"/>
    <x v="198"/>
    <d v="2023-09-12T00:00:00"/>
    <s v="Standard Class"/>
    <s v="GZ-14470"/>
    <s v="Gary Zandusky"/>
    <x v="0"/>
    <s v="United States"/>
    <s v="San Francisco"/>
    <s v="California"/>
    <n v="94110"/>
    <x v="3"/>
    <s v="TEC-AC-10001383"/>
    <x v="2"/>
    <x v="9"/>
    <s v="Logitech Wireless Touch Keyboard K400"/>
    <n v="49.98"/>
    <n v="2"/>
    <n v="0"/>
    <n v="8.4965999999999937"/>
    <x v="0"/>
    <x v="8"/>
    <n v="4.2482999999999969"/>
    <s v="Profit"/>
    <s v="No Discount"/>
  </r>
  <r>
    <n v="1062"/>
    <s v="US-2023-163293"/>
    <x v="198"/>
    <d v="2023-09-11T00:00:00"/>
    <s v="First Class"/>
    <s v="KC-16255"/>
    <s v="Karen Carlisle"/>
    <x v="2"/>
    <s v="United States"/>
    <s v="Macon"/>
    <s v="Georgia"/>
    <n v="31204"/>
    <x v="2"/>
    <s v="TEC-AC-10004209"/>
    <x v="2"/>
    <x v="9"/>
    <s v="Memorex Froggy Flash Drive 4 GB"/>
    <n v="32.97"/>
    <n v="3"/>
    <n v="0"/>
    <n v="12.8583"/>
    <x v="0"/>
    <x v="8"/>
    <n v="4.2861000000000002"/>
    <s v="Profit"/>
    <s v="No Discount"/>
  </r>
  <r>
    <n v="1063"/>
    <s v="US-2023-128839"/>
    <x v="198"/>
    <d v="2023-09-13T00:00:00"/>
    <s v="Standard Class"/>
    <s v="TT-21070"/>
    <s v="Ted Trevino"/>
    <x v="0"/>
    <s v="United States"/>
    <s v="Chesapeake"/>
    <s v="Virginia"/>
    <n v="23320"/>
    <x v="2"/>
    <s v="TEC-MA-10000029"/>
    <x v="2"/>
    <x v="15"/>
    <s v="Epson WorkForce WF-2530 All-in-One Printer, Copier Scanner"/>
    <n v="209.96999999999997"/>
    <n v="3"/>
    <n v="0"/>
    <n v="90.287100000000009"/>
    <x v="0"/>
    <x v="8"/>
    <n v="30.095700000000004"/>
    <s v="Profit"/>
    <s v="No Discount"/>
  </r>
  <r>
    <n v="1064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TEC-MA-10000822"/>
    <x v="2"/>
    <x v="15"/>
    <s v="Lexmark MX611dhe Monochrome Laser Printer"/>
    <n v="8159.9519999999993"/>
    <n v="8"/>
    <n v="0.4"/>
    <n v="-1359.992000000002"/>
    <x v="0"/>
    <x v="8"/>
    <n v="-169.99900000000025"/>
    <s v="Loss"/>
    <s v="Medium"/>
  </r>
  <r>
    <n v="1065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TEC-PH-10003931"/>
    <x v="2"/>
    <x v="7"/>
    <s v="JBL Micro Wireless Portable Bluetooth Speaker"/>
    <n v="143.976"/>
    <n v="3"/>
    <n v="0.2"/>
    <n v="8.998500000000007"/>
    <x v="0"/>
    <x v="8"/>
    <n v="2.9995000000000025"/>
    <s v="Profit"/>
    <s v="Low"/>
  </r>
  <r>
    <n v="1066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FUR-CH-10003761"/>
    <x v="1"/>
    <x v="5"/>
    <s v="Global Italian Leather Office Chair"/>
    <n v="785.87999999999988"/>
    <n v="6"/>
    <n v="0"/>
    <n v="212.18759999999997"/>
    <x v="0"/>
    <x v="8"/>
    <n v="35.364599999999996"/>
    <s v="Profit"/>
    <s v="No Discount"/>
  </r>
  <r>
    <n v="1067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FUR-FU-10002456"/>
    <x v="1"/>
    <x v="8"/>
    <s v="Master Caster Door Stop, Large Neon Orange"/>
    <n v="17.472000000000001"/>
    <n v="3"/>
    <n v="0.2"/>
    <n v="5.023200000000001"/>
    <x v="0"/>
    <x v="8"/>
    <n v="1.6744000000000003"/>
    <s v="Profit"/>
    <s v="Low"/>
  </r>
  <r>
    <n v="1068"/>
    <s v="US-2023-131870"/>
    <x v="199"/>
    <d v="2023-09-11T00:00:00"/>
    <s v="First Class"/>
    <s v="NF-18595"/>
    <s v="Nicole Fjeld"/>
    <x v="1"/>
    <s v="United States"/>
    <s v="Lancaster"/>
    <s v="Ohio"/>
    <n v="43130"/>
    <x v="1"/>
    <s v="FUR-FU-10002501"/>
    <x v="1"/>
    <x v="8"/>
    <s v="Nu-Dell Executive Frame"/>
    <n v="60.672000000000011"/>
    <n v="6"/>
    <n v="0.2"/>
    <n v="12.892799999999998"/>
    <x v="0"/>
    <x v="8"/>
    <n v="2.1487999999999996"/>
    <s v="Profit"/>
    <s v="Low"/>
  </r>
  <r>
    <n v="1069"/>
    <s v="US-2023-131870"/>
    <x v="199"/>
    <d v="2023-09-11T00:00:00"/>
    <s v="First Class"/>
    <s v="NF-18595"/>
    <s v="Nicole Fjeld"/>
    <x v="1"/>
    <s v="United States"/>
    <s v="Lancaster"/>
    <s v="Ohio"/>
    <n v="43130"/>
    <x v="1"/>
    <s v="OFF-AR-10000634"/>
    <x v="0"/>
    <x v="4"/>
    <s v="Newell 320"/>
    <n v="30.816000000000003"/>
    <n v="9"/>
    <n v="0.2"/>
    <n v="2.6964000000000006"/>
    <x v="0"/>
    <x v="8"/>
    <n v="0.29960000000000009"/>
    <s v="Profit"/>
    <s v="Low"/>
  </r>
  <r>
    <n v="1070"/>
    <s v="US-2023-144407"/>
    <x v="199"/>
    <d v="2023-09-15T00:00:00"/>
    <s v="Standard Class"/>
    <s v="MS-17365"/>
    <s v="Maribeth Schnelling"/>
    <x v="0"/>
    <s v="United States"/>
    <s v="Detroit"/>
    <s v="Michigan"/>
    <n v="48227"/>
    <x v="0"/>
    <s v="OFF-LA-10003923"/>
    <x v="0"/>
    <x v="2"/>
    <s v="Alphabetical Labels for Top Tab Filing"/>
    <n v="103.60000000000001"/>
    <n v="7"/>
    <n v="0"/>
    <n v="51.800000000000004"/>
    <x v="0"/>
    <x v="8"/>
    <n v="7.4"/>
    <s v="Profit"/>
    <s v="No Discount"/>
  </r>
  <r>
    <n v="1071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OFF-PA-10000788"/>
    <x v="0"/>
    <x v="0"/>
    <s v="Xerox 210"/>
    <n v="15.552000000000003"/>
    <n v="3"/>
    <n v="0.2"/>
    <n v="5.4432"/>
    <x v="0"/>
    <x v="8"/>
    <n v="1.8144"/>
    <s v="Profit"/>
    <s v="Low"/>
  </r>
  <r>
    <n v="1072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PA-10001144"/>
    <x v="0"/>
    <x v="0"/>
    <s v="Xerox 1913"/>
    <n v="166.44"/>
    <n v="3"/>
    <n v="0"/>
    <n v="79.891199999999998"/>
    <x v="0"/>
    <x v="8"/>
    <n v="26.630399999999998"/>
    <s v="Profit"/>
    <s v="No Discount"/>
  </r>
  <r>
    <n v="1073"/>
    <s v="US-2023-103527"/>
    <x v="199"/>
    <d v="2023-09-14T00:00:00"/>
    <s v="Second Class"/>
    <s v="CC-12220"/>
    <s v="Chris Cortes"/>
    <x v="0"/>
    <s v="United States"/>
    <s v="Chicago"/>
    <s v="Illinois"/>
    <n v="60653"/>
    <x v="0"/>
    <s v="OFF-PA-10001622"/>
    <x v="0"/>
    <x v="0"/>
    <s v="Ampad Poly Cover Wirebound Steno Book, 6&quot; x 9&quot; Assorted Colors, Gregg Ruled"/>
    <n v="10.896000000000001"/>
    <n v="3"/>
    <n v="0.2"/>
    <n v="3.4049999999999994"/>
    <x v="0"/>
    <x v="8"/>
    <n v="1.1349999999999998"/>
    <s v="Profit"/>
    <s v="Low"/>
  </r>
  <r>
    <n v="1074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PA-10004665"/>
    <x v="0"/>
    <x v="0"/>
    <s v="Advantus Motivational Note Cards"/>
    <n v="26.2"/>
    <n v="2"/>
    <n v="0"/>
    <n v="12.837999999999999"/>
    <x v="0"/>
    <x v="8"/>
    <n v="6.4189999999999996"/>
    <s v="Profit"/>
    <s v="No Discount"/>
  </r>
  <r>
    <n v="1075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ST-10000078"/>
    <x v="0"/>
    <x v="3"/>
    <s v="Tennsco 6- and 18-Compartment Lockers"/>
    <n v="1325.8500000000001"/>
    <n v="5"/>
    <n v="0"/>
    <n v="238.65299999999991"/>
    <x v="0"/>
    <x v="8"/>
    <n v="47.730599999999981"/>
    <s v="Profit"/>
    <s v="No Discount"/>
  </r>
  <r>
    <n v="1076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TEC-AC-10002134"/>
    <x v="2"/>
    <x v="9"/>
    <s v="Rosewill 107 Normal Keys USB Wired Standard Keyboard"/>
    <n v="64.704000000000008"/>
    <n v="6"/>
    <n v="0.2"/>
    <n v="-4.852800000000002"/>
    <x v="0"/>
    <x v="8"/>
    <n v="-0.8088000000000003"/>
    <s v="Loss"/>
    <s v="Low"/>
  </r>
  <r>
    <n v="1077"/>
    <s v="US-2023-115196"/>
    <x v="199"/>
    <d v="2023-09-13T00:00:00"/>
    <s v="Standard Class"/>
    <s v="DL-12925"/>
    <s v="Daniel Lacy"/>
    <x v="0"/>
    <s v="United States"/>
    <s v="Greenville"/>
    <s v="North Carolina"/>
    <n v="27834"/>
    <x v="2"/>
    <s v="TEC-MA-10002073"/>
    <x v="2"/>
    <x v="15"/>
    <s v="3D Systems Cube Printer, 2nd Generation, White"/>
    <n v="1299.99"/>
    <n v="2"/>
    <n v="0.5"/>
    <n v="-571.99559999999997"/>
    <x v="0"/>
    <x v="8"/>
    <n v="-285.99779999999998"/>
    <s v="Loss"/>
    <s v="High"/>
  </r>
  <r>
    <n v="1078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TEC-PH-10002549"/>
    <x v="2"/>
    <x v="7"/>
    <s v="Polycom SoundPoint IP 450 VoIP phone"/>
    <n v="135.51599999999999"/>
    <n v="1"/>
    <n v="0.4"/>
    <n v="-31.620400000000004"/>
    <x v="0"/>
    <x v="8"/>
    <n v="-31.620400000000004"/>
    <s v="Loss"/>
    <s v="Medium"/>
  </r>
  <r>
    <n v="1079"/>
    <s v="US-2023-125731"/>
    <x v="200"/>
    <d v="2023-09-16T00:00:00"/>
    <s v="Standard Class"/>
    <s v="CL-12565"/>
    <s v="Clay Ludtke"/>
    <x v="0"/>
    <s v="United States"/>
    <s v="Gresham"/>
    <s v="Oregon"/>
    <n v="97030"/>
    <x v="3"/>
    <s v="FUR-CH-10003973"/>
    <x v="1"/>
    <x v="5"/>
    <s v="GuestStacker Chair with Chrome Finish Legs"/>
    <n v="1487.04"/>
    <n v="5"/>
    <n v="0.2"/>
    <n v="148.70400000000006"/>
    <x v="0"/>
    <x v="8"/>
    <n v="29.740800000000014"/>
    <s v="Profit"/>
    <s v="Low"/>
  </r>
  <r>
    <n v="1080"/>
    <s v="US-2023-113383"/>
    <x v="200"/>
    <d v="2023-09-13T00:00:00"/>
    <s v="First Class"/>
    <s v="SF-20065"/>
    <s v="Sandra Flanagan"/>
    <x v="0"/>
    <s v="United States"/>
    <s v="Clifton"/>
    <s v="New Jersey"/>
    <n v="7011"/>
    <x v="1"/>
    <s v="FUR-FU-10001986"/>
    <x v="1"/>
    <x v="8"/>
    <s v="Dana Fluorescent Magnifying Lamp, White, 36&quot;"/>
    <n v="254.89999999999998"/>
    <n v="5"/>
    <n v="0"/>
    <n v="76.469999999999985"/>
    <x v="0"/>
    <x v="8"/>
    <n v="15.293999999999997"/>
    <s v="Profit"/>
    <s v="No Discount"/>
  </r>
  <r>
    <n v="1081"/>
    <s v="US-2023-113383"/>
    <x v="200"/>
    <d v="2023-09-13T00:00:00"/>
    <s v="First Class"/>
    <s v="SF-20065"/>
    <s v="Sandra Flanagan"/>
    <x v="0"/>
    <s v="United States"/>
    <s v="Clifton"/>
    <s v="New Jersey"/>
    <n v="7011"/>
    <x v="1"/>
    <s v="OFF-AP-10004532"/>
    <x v="0"/>
    <x v="12"/>
    <s v="Kensington 6 Outlet Guardian Standard Surge Protector"/>
    <n v="81.92"/>
    <n v="4"/>
    <n v="0"/>
    <n v="22.118400000000001"/>
    <x v="0"/>
    <x v="8"/>
    <n v="5.5296000000000003"/>
    <s v="Profit"/>
    <s v="No Discount"/>
  </r>
  <r>
    <n v="1082"/>
    <s v="US-2023-138835"/>
    <x v="200"/>
    <d v="2023-09-14T00:00:00"/>
    <s v="Standard Class"/>
    <s v="DA-13450"/>
    <s v="Dianna Arnett"/>
    <x v="1"/>
    <s v="United States"/>
    <s v="Virginia Beach"/>
    <s v="Virginia"/>
    <n v="23464"/>
    <x v="2"/>
    <s v="OFF-BI-10003314"/>
    <x v="0"/>
    <x v="1"/>
    <s v="Tuff Stuff Recycled Round Ring Binders"/>
    <n v="9.64"/>
    <n v="2"/>
    <n v="0"/>
    <n v="4.7236000000000002"/>
    <x v="0"/>
    <x v="8"/>
    <n v="2.3618000000000001"/>
    <s v="Profit"/>
    <s v="No Discount"/>
  </r>
  <r>
    <n v="1083"/>
    <s v="US-2023-125731"/>
    <x v="200"/>
    <d v="2023-09-16T00:00:00"/>
    <s v="Standard Class"/>
    <s v="CL-12565"/>
    <s v="Clay Ludtke"/>
    <x v="0"/>
    <s v="United States"/>
    <s v="Gresham"/>
    <s v="Oregon"/>
    <n v="97030"/>
    <x v="3"/>
    <s v="OFF-EN-10003072"/>
    <x v="0"/>
    <x v="11"/>
    <s v="Peel &amp; Seel Envelopes"/>
    <n v="21.728000000000002"/>
    <n v="7"/>
    <n v="0.2"/>
    <n v="7.6047999999999991"/>
    <x v="0"/>
    <x v="8"/>
    <n v="1.0863999999999998"/>
    <s v="Profit"/>
    <s v="Low"/>
  </r>
  <r>
    <n v="1084"/>
    <s v="CA-2023-126438"/>
    <x v="200"/>
    <d v="2023-09-13T00:00:00"/>
    <s v="First Class"/>
    <s v="AR-10345"/>
    <s v="Alex Russell"/>
    <x v="2"/>
    <s v="Canada"/>
    <s v="Montreal"/>
    <s v="Quebec"/>
    <s v="H1C"/>
    <x v="1"/>
    <s v="OFF-AR-10003338"/>
    <x v="0"/>
    <x v="4"/>
    <s v="Eberhard Faber 3 1/2&quot; Golf Pencils"/>
    <n v="14.88"/>
    <n v="2"/>
    <n v="0"/>
    <n v="3.72"/>
    <x v="0"/>
    <x v="8"/>
    <n v="1.86"/>
    <s v="Profit"/>
    <s v="No Discount"/>
  </r>
  <r>
    <n v="1085"/>
    <s v="US-2023-112837"/>
    <x v="201"/>
    <d v="2023-09-16T00:00:00"/>
    <s v="Standard Class"/>
    <s v="LW-17125"/>
    <s v="Liz Willingham"/>
    <x v="0"/>
    <s v="United States"/>
    <s v="Oxnard"/>
    <s v="California"/>
    <n v="93030"/>
    <x v="3"/>
    <s v="FUR-FU-10004006"/>
    <x v="1"/>
    <x v="8"/>
    <s v="Deflect-o DuraMat Lighweight, Studded, Beveled Mat for Low Pile Carpeting"/>
    <n v="127.94999999999999"/>
    <n v="3"/>
    <n v="0"/>
    <n v="21.751499999999986"/>
    <x v="0"/>
    <x v="8"/>
    <n v="7.2504999999999953"/>
    <s v="Profit"/>
    <s v="No Discount"/>
  </r>
  <r>
    <n v="1086"/>
    <s v="US-2023-116246"/>
    <x v="202"/>
    <d v="2023-09-17T00:00:00"/>
    <s v="Second Class"/>
    <s v="LW-17215"/>
    <s v="Luke Weiss"/>
    <x v="0"/>
    <s v="United States"/>
    <s v="New York City"/>
    <s v="New York"/>
    <n v="10035"/>
    <x v="1"/>
    <s v="FUR-CH-10002024"/>
    <x v="1"/>
    <x v="5"/>
    <s v="HON 5400 Series Task Chairs for Big and Tall"/>
    <n v="3785.2920000000004"/>
    <n v="6"/>
    <n v="0.1"/>
    <n v="420.58800000000019"/>
    <x v="0"/>
    <x v="8"/>
    <n v="70.098000000000027"/>
    <s v="Profit"/>
    <s v="Low"/>
  </r>
  <r>
    <n v="1087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FUR-FU-10003464"/>
    <x v="1"/>
    <x v="8"/>
    <s v="Seth Thomas 8 1/2&quot; Cubicle Clock"/>
    <n v="40.56"/>
    <n v="2"/>
    <n v="0"/>
    <n v="12.979199999999999"/>
    <x v="0"/>
    <x v="8"/>
    <n v="6.4895999999999994"/>
    <s v="Profit"/>
    <s v="No Discount"/>
  </r>
  <r>
    <n v="1088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OFF-AP-10001469"/>
    <x v="0"/>
    <x v="12"/>
    <s v="Fellowes 8 Outlet Superior Workstation Surge Protector"/>
    <n v="166.84"/>
    <n v="5"/>
    <n v="0.2"/>
    <n v="18.769499999999987"/>
    <x v="0"/>
    <x v="8"/>
    <n v="3.7538999999999971"/>
    <s v="Profit"/>
    <s v="Low"/>
  </r>
  <r>
    <n v="1089"/>
    <s v="US-2023-103702"/>
    <x v="202"/>
    <d v="2023-09-17T00:00:00"/>
    <s v="Standard Class"/>
    <s v="AF-10885"/>
    <s v="Art Foster"/>
    <x v="0"/>
    <s v="United States"/>
    <s v="Fairfield"/>
    <s v="Ohio"/>
    <n v="45014"/>
    <x v="1"/>
    <s v="OFF-BI-10002429"/>
    <x v="0"/>
    <x v="1"/>
    <s v="Premier Elliptical Ring Binder, Black"/>
    <n v="63.924000000000007"/>
    <n v="7"/>
    <n v="0.7"/>
    <n v="-46.877600000000001"/>
    <x v="0"/>
    <x v="8"/>
    <n v="-6.6968000000000005"/>
    <s v="Loss"/>
    <s v="High"/>
  </r>
  <r>
    <n v="1090"/>
    <s v="US-2023-150924"/>
    <x v="202"/>
    <d v="2023-09-16T00:00:00"/>
    <s v="Second Class"/>
    <s v="PT-19090"/>
    <s v="Pete Takahito"/>
    <x v="0"/>
    <s v="United States"/>
    <s v="Houston"/>
    <s v="Texas"/>
    <n v="77070"/>
    <x v="0"/>
    <s v="OFF-BI-10004040"/>
    <x v="0"/>
    <x v="1"/>
    <s v="Wilson Jones Impact Binders"/>
    <n v="5.1799999999999988"/>
    <n v="5"/>
    <n v="0.8"/>
    <n v="-8.0289999999999999"/>
    <x v="0"/>
    <x v="8"/>
    <n v="-1.6057999999999999"/>
    <s v="Loss"/>
    <s v="High"/>
  </r>
  <r>
    <n v="1091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OFF-BI-10004519"/>
    <x v="0"/>
    <x v="1"/>
    <s v="GBC DocuBind P100 Manual Binding Machine"/>
    <n v="331.96"/>
    <n v="2"/>
    <n v="0"/>
    <n v="149.38199999999998"/>
    <x v="0"/>
    <x v="8"/>
    <n v="74.690999999999988"/>
    <s v="Profit"/>
    <s v="No Discount"/>
  </r>
  <r>
    <n v="1092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OFF-PA-10001800"/>
    <x v="0"/>
    <x v="0"/>
    <s v="Xerox 220"/>
    <n v="10.368000000000002"/>
    <n v="2"/>
    <n v="0.2"/>
    <n v="3.6288"/>
    <x v="0"/>
    <x v="8"/>
    <n v="1.8144"/>
    <s v="Profit"/>
    <s v="Low"/>
  </r>
  <r>
    <n v="1093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OFF-SU-10000157"/>
    <x v="0"/>
    <x v="14"/>
    <s v="Compact Automatic Electric Letter Opener"/>
    <n v="357.93"/>
    <n v="3"/>
    <n v="0"/>
    <n v="7.158600000000007"/>
    <x v="0"/>
    <x v="8"/>
    <n v="2.3862000000000023"/>
    <s v="Profit"/>
    <s v="No Discount"/>
  </r>
  <r>
    <n v="1094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TEC-AC-10001542"/>
    <x v="2"/>
    <x v="9"/>
    <s v="SanDisk Cruzer 16 GB USB Flash Drive"/>
    <n v="57.400000000000006"/>
    <n v="5"/>
    <n v="0"/>
    <n v="10.905999999999993"/>
    <x v="0"/>
    <x v="8"/>
    <n v="2.1811999999999987"/>
    <s v="Profit"/>
    <s v="No Discount"/>
  </r>
  <r>
    <n v="1095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TEC-AC-10002399"/>
    <x v="2"/>
    <x v="9"/>
    <s v="SanDisk Cruzer 32 GB USB Flash Drive"/>
    <n v="15.216000000000001"/>
    <n v="1"/>
    <n v="0.2"/>
    <n v="2.2823999999999991"/>
    <x v="0"/>
    <x v="8"/>
    <n v="2.2823999999999991"/>
    <s v="Profit"/>
    <s v="Low"/>
  </r>
  <r>
    <n v="1096"/>
    <s v="US-2023-101476"/>
    <x v="202"/>
    <d v="2023-09-13T00:00:00"/>
    <s v="First Class"/>
    <s v="SD-20485"/>
    <s v="Shirley Daniels"/>
    <x v="1"/>
    <s v="United States"/>
    <s v="New Rochelle"/>
    <s v="New York"/>
    <n v="10801"/>
    <x v="1"/>
    <s v="TEC-MA-10000029"/>
    <x v="2"/>
    <x v="15"/>
    <s v="Epson WorkForce WF-2530 All-in-One Printer, Copier Scanner"/>
    <n v="69.989999999999995"/>
    <n v="1"/>
    <n v="0"/>
    <n v="30.095700000000001"/>
    <x v="0"/>
    <x v="8"/>
    <n v="30.095700000000001"/>
    <s v="Profit"/>
    <s v="No Discount"/>
  </r>
  <r>
    <n v="1097"/>
    <s v="US-2023-113859"/>
    <x v="203"/>
    <d v="2023-09-17T00:00:00"/>
    <s v="Standard Class"/>
    <s v="BC-11125"/>
    <s v="Becky Castell"/>
    <x v="1"/>
    <s v="United States"/>
    <s v="Odessa"/>
    <s v="Texas"/>
    <n v="79762"/>
    <x v="0"/>
    <s v="FUR-CH-10004698"/>
    <x v="1"/>
    <x v="5"/>
    <s v="Padded Folding Chairs, Black, 4/Carton"/>
    <n v="340.11599999999999"/>
    <n v="6"/>
    <n v="0.3"/>
    <n v="-9.717599999999976"/>
    <x v="0"/>
    <x v="8"/>
    <n v="-1.6195999999999959"/>
    <s v="Loss"/>
    <s v="Medium"/>
  </r>
  <r>
    <n v="1098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FUR-FU-10001918"/>
    <x v="1"/>
    <x v="8"/>
    <s v="C-Line Cubicle Keepers Polyproplyene Holder With Velcro Backings"/>
    <n v="14.190000000000001"/>
    <n v="3"/>
    <n v="0"/>
    <n v="5.5341000000000014"/>
    <x v="0"/>
    <x v="8"/>
    <n v="1.8447000000000005"/>
    <s v="Profit"/>
    <s v="No Discount"/>
  </r>
  <r>
    <n v="1099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AP-10004785"/>
    <x v="0"/>
    <x v="12"/>
    <s v="Holmes Replacement Filter for HEPA Air Cleaner, Medium Room"/>
    <n v="22.66"/>
    <n v="2"/>
    <n v="0"/>
    <n v="9.743800000000002"/>
    <x v="0"/>
    <x v="8"/>
    <n v="4.871900000000001"/>
    <s v="Profit"/>
    <s v="No Discount"/>
  </r>
  <r>
    <n v="1100"/>
    <s v="US-2023-145212"/>
    <x v="203"/>
    <d v="2023-09-19T00:00:00"/>
    <s v="Standard Class"/>
    <s v="DC-12850"/>
    <s v="Dan Campbell"/>
    <x v="0"/>
    <s v="United States"/>
    <s v="New York City"/>
    <s v="New York"/>
    <n v="10011"/>
    <x v="1"/>
    <s v="OFF-AR-10002833"/>
    <x v="0"/>
    <x v="4"/>
    <s v="Newell 322"/>
    <n v="5.46"/>
    <n v="3"/>
    <n v="0"/>
    <n v="1.4742000000000002"/>
    <x v="0"/>
    <x v="8"/>
    <n v="0.49140000000000006"/>
    <s v="Profit"/>
    <s v="No Discount"/>
  </r>
  <r>
    <n v="1101"/>
    <s v="US-2023-156216"/>
    <x v="203"/>
    <d v="2023-09-17T00:00:00"/>
    <s v="Standard Class"/>
    <s v="EA-14035"/>
    <s v="Erin Ashbrook"/>
    <x v="2"/>
    <s v="United States"/>
    <s v="Charlotte"/>
    <s v="North Carolina"/>
    <n v="28205"/>
    <x v="2"/>
    <s v="OFF-BI-10001679"/>
    <x v="0"/>
    <x v="1"/>
    <s v="GBC Instant Index System for Binding Systems"/>
    <n v="18.648000000000003"/>
    <n v="7"/>
    <n v="0.7"/>
    <n v="-12.431999999999999"/>
    <x v="0"/>
    <x v="8"/>
    <n v="-1.7759999999999998"/>
    <s v="Loss"/>
    <s v="High"/>
  </r>
  <r>
    <n v="1102"/>
    <s v="US-2023-126277"/>
    <x v="203"/>
    <d v="2023-09-18T00:00:00"/>
    <s v="Second Class"/>
    <s v="LH-16900"/>
    <s v="Lena Hernandez"/>
    <x v="0"/>
    <s v="United States"/>
    <s v="Columbus"/>
    <s v="Ohio"/>
    <n v="43229"/>
    <x v="1"/>
    <s v="OFF-BI-10004022"/>
    <x v="0"/>
    <x v="1"/>
    <s v="Acco Suede Grain Vinyl Round Ring Binder"/>
    <n v="2.5020000000000002"/>
    <n v="3"/>
    <n v="0.7"/>
    <n v="-2.0015999999999998"/>
    <x v="0"/>
    <x v="8"/>
    <n v="-0.6671999999999999"/>
    <s v="Loss"/>
    <s v="High"/>
  </r>
  <r>
    <n v="1103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FA-10000840"/>
    <x v="0"/>
    <x v="6"/>
    <s v="OIC Thumb-Tacks"/>
    <n v="5.6999999999999993"/>
    <n v="5"/>
    <n v="0"/>
    <n v="2.6789999999999998"/>
    <x v="0"/>
    <x v="8"/>
    <n v="0.53579999999999994"/>
    <s v="Profit"/>
    <s v="No Discount"/>
  </r>
  <r>
    <n v="1104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PA-10002923"/>
    <x v="0"/>
    <x v="0"/>
    <s v="Xerox 1942"/>
    <n v="48.94"/>
    <n v="1"/>
    <n v="0"/>
    <n v="24.47"/>
    <x v="0"/>
    <x v="8"/>
    <n v="24.47"/>
    <s v="Profit"/>
    <s v="No Discount"/>
  </r>
  <r>
    <n v="1105"/>
    <s v="US-2023-132962"/>
    <x v="203"/>
    <d v="2023-09-16T00:00:00"/>
    <s v="First Class"/>
    <s v="JM-15535"/>
    <s v="Jessica Myrick"/>
    <x v="0"/>
    <s v="United States"/>
    <s v="Philadelphia"/>
    <s v="Pennsylvania"/>
    <n v="19143"/>
    <x v="1"/>
    <s v="OFF-PA-10003543"/>
    <x v="0"/>
    <x v="0"/>
    <s v="Xerox 1985"/>
    <n v="15.552000000000003"/>
    <n v="3"/>
    <n v="0.2"/>
    <n v="5.4432"/>
    <x v="0"/>
    <x v="8"/>
    <n v="1.8144"/>
    <s v="Profit"/>
    <s v="Low"/>
  </r>
  <r>
    <n v="1106"/>
    <s v="US-2023-140039"/>
    <x v="203"/>
    <d v="2023-09-17T00:00:00"/>
    <s v="Standard Class"/>
    <s v="ON-18715"/>
    <s v="Odella Nelson"/>
    <x v="2"/>
    <s v="United States"/>
    <s v="Tempe"/>
    <s v="Arizona"/>
    <n v="85281"/>
    <x v="3"/>
    <s v="OFF-ST-10001034"/>
    <x v="0"/>
    <x v="3"/>
    <s v="Eldon File Chest Portable File"/>
    <n v="79.400000000000006"/>
    <n v="5"/>
    <n v="0.2"/>
    <n v="5.9550000000000054"/>
    <x v="0"/>
    <x v="8"/>
    <n v="1.1910000000000012"/>
    <s v="Profit"/>
    <s v="Low"/>
  </r>
  <r>
    <n v="1107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SU-10001574"/>
    <x v="0"/>
    <x v="14"/>
    <s v="Acme Value Line Scissors"/>
    <n v="7.3"/>
    <n v="2"/>
    <n v="0"/>
    <n v="2.1899999999999995"/>
    <x v="0"/>
    <x v="8"/>
    <n v="1.0949999999999998"/>
    <s v="Profit"/>
    <s v="No Discount"/>
  </r>
  <r>
    <n v="1108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0865"/>
    <x v="2"/>
    <x v="9"/>
    <s v="WD My Passport Ultra 500GB Portable External Hard Drive"/>
    <n v="118"/>
    <n v="2"/>
    <n v="0"/>
    <n v="20.059999999999988"/>
    <x v="0"/>
    <x v="8"/>
    <n v="10.029999999999994"/>
    <s v="Profit"/>
    <s v="No Discount"/>
  </r>
  <r>
    <n v="1109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1606"/>
    <x v="2"/>
    <x v="9"/>
    <s v="Logitech Wireless Performance Mouse MX for PC and Mac"/>
    <n v="199.98"/>
    <n v="2"/>
    <n v="0"/>
    <n v="75.992400000000004"/>
    <x v="0"/>
    <x v="8"/>
    <n v="37.996200000000002"/>
    <s v="Profit"/>
    <s v="No Discount"/>
  </r>
  <r>
    <n v="1110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3399"/>
    <x v="2"/>
    <x v="9"/>
    <s v="Memorex Mini Travel Drive 64 GB USB 2.0 Flash Drive"/>
    <n v="144.96"/>
    <n v="4"/>
    <n v="0"/>
    <n v="60.883200000000002"/>
    <x v="0"/>
    <x v="8"/>
    <n v="15.220800000000001"/>
    <s v="Profit"/>
    <s v="No Discount"/>
  </r>
  <r>
    <n v="1111"/>
    <s v="US-2023-132962"/>
    <x v="203"/>
    <d v="2023-09-16T00:00:00"/>
    <s v="First Class"/>
    <s v="JM-15535"/>
    <s v="Jessica Myrick"/>
    <x v="0"/>
    <s v="United States"/>
    <s v="Philadelphia"/>
    <s v="Pennsylvania"/>
    <n v="19143"/>
    <x v="1"/>
    <s v="TEC-AC-10004353"/>
    <x v="2"/>
    <x v="9"/>
    <s v="Hypercom P1300 Pinpad"/>
    <n v="252.00000000000003"/>
    <n v="5"/>
    <n v="0.2"/>
    <n v="53.550000000000004"/>
    <x v="0"/>
    <x v="8"/>
    <n v="10.71"/>
    <s v="Profit"/>
    <s v="Low"/>
  </r>
  <r>
    <n v="1112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FUR-FU-10000550"/>
    <x v="1"/>
    <x v="8"/>
    <s v="Stacking Trays by OIC"/>
    <n v="9.9600000000000009"/>
    <n v="5"/>
    <n v="0.6"/>
    <n v="-6.7230000000000008"/>
    <x v="0"/>
    <x v="8"/>
    <n v="-1.3446000000000002"/>
    <s v="Loss"/>
    <s v="High"/>
  </r>
  <r>
    <n v="1113"/>
    <s v="US-2023-159184"/>
    <x v="204"/>
    <d v="2023-09-19T00:00:00"/>
    <s v="Standard Class"/>
    <s v="JC-15775"/>
    <s v="John Castell"/>
    <x v="0"/>
    <s v="United States"/>
    <s v="Macon"/>
    <s v="Georgia"/>
    <n v="31204"/>
    <x v="2"/>
    <s v="FUR-FU-10002878"/>
    <x v="1"/>
    <x v="8"/>
    <s v="Seth Thomas 14&quot; Day/Date Wall Clock"/>
    <n v="142.4"/>
    <n v="5"/>
    <n v="0"/>
    <n v="52.688000000000002"/>
    <x v="0"/>
    <x v="8"/>
    <n v="10.537600000000001"/>
    <s v="Profit"/>
    <s v="No Discount"/>
  </r>
  <r>
    <n v="1114"/>
    <s v="US-2023-145576"/>
    <x v="204"/>
    <d v="2023-09-18T00:00:00"/>
    <s v="Second Class"/>
    <s v="CA-12775"/>
    <s v="Cynthia Arntzen"/>
    <x v="0"/>
    <s v="United States"/>
    <s v="Tampa"/>
    <s v="Florida"/>
    <n v="33614"/>
    <x v="2"/>
    <s v="FUR-FU-10004020"/>
    <x v="1"/>
    <x v="8"/>
    <s v="Advantus Panel Wall Acrylic Frame"/>
    <n v="13.128"/>
    <n v="3"/>
    <n v="0.2"/>
    <n v="3.7743000000000002"/>
    <x v="0"/>
    <x v="8"/>
    <n v="1.2581"/>
    <s v="Profit"/>
    <s v="Low"/>
  </r>
  <r>
    <n v="1115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FUR-TA-10001039"/>
    <x v="1"/>
    <x v="13"/>
    <s v="KI Adjustable-Height Table"/>
    <n v="464.29200000000003"/>
    <n v="9"/>
    <n v="0.4"/>
    <n v="-108.33479999999997"/>
    <x v="0"/>
    <x v="8"/>
    <n v="-12.037199999999997"/>
    <s v="Loss"/>
    <s v="Medium"/>
  </r>
  <r>
    <n v="1116"/>
    <s v="US-2023-100853"/>
    <x v="204"/>
    <d v="2023-09-19T00:00:00"/>
    <s v="Standard Class"/>
    <s v="JB-15400"/>
    <s v="Jennifer Braxton"/>
    <x v="2"/>
    <s v="United States"/>
    <s v="Chicago"/>
    <s v="Illinois"/>
    <n v="60623"/>
    <x v="0"/>
    <s v="OFF-AP-10000891"/>
    <x v="0"/>
    <x v="12"/>
    <s v="Kensington 7 Outlet MasterPiece HOMEOFFICE Power Control Center"/>
    <n v="52.447999999999993"/>
    <n v="2"/>
    <n v="0.8"/>
    <n v="-131.12000000000003"/>
    <x v="0"/>
    <x v="8"/>
    <n v="-65.560000000000016"/>
    <s v="Loss"/>
    <s v="High"/>
  </r>
  <r>
    <n v="1117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AP-10002945"/>
    <x v="0"/>
    <x v="12"/>
    <s v="Honeywell Enviracaire Portable HEPA Air Cleaner for 17' x 22' Room"/>
    <n v="601.29999999999995"/>
    <n v="2"/>
    <n v="0"/>
    <n v="198.42899999999997"/>
    <x v="0"/>
    <x v="8"/>
    <n v="99.214499999999987"/>
    <s v="Profit"/>
    <s v="No Discount"/>
  </r>
  <r>
    <n v="1118"/>
    <s v="US-2023-145576"/>
    <x v="204"/>
    <d v="2023-09-18T00:00:00"/>
    <s v="Second Class"/>
    <s v="CA-12775"/>
    <s v="Cynthia Arntzen"/>
    <x v="0"/>
    <s v="United States"/>
    <s v="Tampa"/>
    <s v="Florida"/>
    <n v="33614"/>
    <x v="2"/>
    <s v="OFF-AP-10003914"/>
    <x v="0"/>
    <x v="12"/>
    <s v="Sanitaire Vibra Groomer IR Commercial Upright Vacuum, Replacement Belts"/>
    <n v="13"/>
    <n v="5"/>
    <n v="0.2"/>
    <n v="1.3000000000000007"/>
    <x v="0"/>
    <x v="8"/>
    <n v="0.26000000000000012"/>
    <s v="Profit"/>
    <s v="Low"/>
  </r>
  <r>
    <n v="1119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BI-10001721"/>
    <x v="0"/>
    <x v="1"/>
    <s v="Trimflex Flexible Post Binders"/>
    <n v="8.5519999999999978"/>
    <n v="2"/>
    <n v="0.8"/>
    <n v="-13.683199999999999"/>
    <x v="0"/>
    <x v="8"/>
    <n v="-6.8415999999999997"/>
    <s v="Loss"/>
    <s v="High"/>
  </r>
  <r>
    <n v="1120"/>
    <s v="US-2023-159184"/>
    <x v="204"/>
    <d v="2023-09-19T00:00:00"/>
    <s v="Standard Class"/>
    <s v="JC-15775"/>
    <s v="John Castell"/>
    <x v="0"/>
    <s v="United States"/>
    <s v="Macon"/>
    <s v="Georgia"/>
    <n v="31204"/>
    <x v="2"/>
    <s v="OFF-BI-10001890"/>
    <x v="0"/>
    <x v="1"/>
    <s v="Avery Poly Binder Pockets"/>
    <n v="7.16"/>
    <n v="2"/>
    <n v="0"/>
    <n v="3.4367999999999999"/>
    <x v="0"/>
    <x v="8"/>
    <n v="1.7183999999999999"/>
    <s v="Profit"/>
    <s v="No Discount"/>
  </r>
  <r>
    <n v="1121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EN-10001099"/>
    <x v="0"/>
    <x v="11"/>
    <s v="Staple envelope"/>
    <n v="68.459999999999994"/>
    <n v="7"/>
    <n v="0"/>
    <n v="31.491599999999995"/>
    <x v="0"/>
    <x v="8"/>
    <n v="4.4987999999999992"/>
    <s v="Profit"/>
    <s v="No Discount"/>
  </r>
  <r>
    <n v="1122"/>
    <s v="US-2023-113362"/>
    <x v="204"/>
    <d v="2023-09-19T00:00:00"/>
    <s v="Standard Class"/>
    <s v="AJ-10960"/>
    <s v="Astrea Jones"/>
    <x v="0"/>
    <s v="United States"/>
    <s v="Rochester"/>
    <s v="New York"/>
    <n v="14609"/>
    <x v="1"/>
    <s v="OFF-EN-10003845"/>
    <x v="0"/>
    <x v="11"/>
    <s v="Colored Envelopes"/>
    <n v="11.07"/>
    <n v="3"/>
    <n v="0"/>
    <n v="5.0921999999999992"/>
    <x v="0"/>
    <x v="8"/>
    <n v="1.6973999999999998"/>
    <s v="Profit"/>
    <s v="No Discount"/>
  </r>
  <r>
    <n v="1123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FA-10000053"/>
    <x v="0"/>
    <x v="6"/>
    <s v="Revere Boxed Rubber Bands by Revere"/>
    <n v="6.048"/>
    <n v="4"/>
    <n v="0.2"/>
    <n v="-1.3607999999999998"/>
    <x v="0"/>
    <x v="8"/>
    <n v="-0.34019999999999995"/>
    <s v="Loss"/>
    <s v="Low"/>
  </r>
  <r>
    <n v="1124"/>
    <s v="US-2023-100853"/>
    <x v="204"/>
    <d v="2023-09-19T00:00:00"/>
    <s v="Standard Class"/>
    <s v="JB-15400"/>
    <s v="Jennifer Braxton"/>
    <x v="2"/>
    <s v="United States"/>
    <s v="Chicago"/>
    <s v="Illinois"/>
    <n v="60623"/>
    <x v="0"/>
    <s v="OFF-LA-10003148"/>
    <x v="0"/>
    <x v="2"/>
    <s v="Avery 51"/>
    <n v="20.16"/>
    <n v="4"/>
    <n v="0.2"/>
    <n v="6.5519999999999987"/>
    <x v="0"/>
    <x v="8"/>
    <n v="1.6379999999999997"/>
    <s v="Profit"/>
    <s v="Low"/>
  </r>
  <r>
    <n v="1125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PA-10000213"/>
    <x v="0"/>
    <x v="0"/>
    <s v="Xerox 198"/>
    <n v="44.820000000000007"/>
    <n v="9"/>
    <n v="0"/>
    <n v="21.065400000000004"/>
    <x v="0"/>
    <x v="8"/>
    <n v="2.3406000000000002"/>
    <s v="Profit"/>
    <s v="No Discount"/>
  </r>
  <r>
    <n v="1126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PA-10004610"/>
    <x v="0"/>
    <x v="0"/>
    <s v="Xerox 1900"/>
    <n v="6.8480000000000008"/>
    <n v="2"/>
    <n v="0.2"/>
    <n v="2.1399999999999992"/>
    <x v="0"/>
    <x v="8"/>
    <n v="1.0699999999999996"/>
    <s v="Profit"/>
    <s v="Low"/>
  </r>
  <r>
    <n v="1127"/>
    <s v="US-2023-113362"/>
    <x v="204"/>
    <d v="2023-09-19T00:00:00"/>
    <s v="Standard Class"/>
    <s v="AJ-10960"/>
    <s v="Astrea Jones"/>
    <x v="0"/>
    <s v="United States"/>
    <s v="Rochester"/>
    <s v="New York"/>
    <n v="14609"/>
    <x v="1"/>
    <s v="OFF-ST-10001809"/>
    <x v="0"/>
    <x v="3"/>
    <s v="Fellowes Officeware Wire Shelving"/>
    <n v="449.15"/>
    <n v="5"/>
    <n v="0"/>
    <n v="8.9829999999999899"/>
    <x v="0"/>
    <x v="8"/>
    <n v="1.796599999999998"/>
    <s v="Profit"/>
    <s v="No Discount"/>
  </r>
  <r>
    <n v="1128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MA-10003979"/>
    <x v="2"/>
    <x v="15"/>
    <s v="Ativa V4110MDD Micro-Cut Shredder"/>
    <n v="2799.96"/>
    <n v="4"/>
    <n v="0"/>
    <n v="1371.9803999999999"/>
    <x v="0"/>
    <x v="8"/>
    <n v="342.99509999999998"/>
    <s v="Profit"/>
    <s v="No Discount"/>
  </r>
  <r>
    <n v="1129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PH-10000526"/>
    <x v="2"/>
    <x v="7"/>
    <s v="Vtech CS6719"/>
    <n v="287.96999999999997"/>
    <n v="3"/>
    <n v="0"/>
    <n v="80.631600000000006"/>
    <x v="0"/>
    <x v="8"/>
    <n v="26.877200000000002"/>
    <s v="Profit"/>
    <s v="No Discount"/>
  </r>
  <r>
    <n v="1130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PH-10001536"/>
    <x v="2"/>
    <x v="7"/>
    <s v="Spigen Samsung Galaxy S5 Case Wallet"/>
    <n v="16.989999999999998"/>
    <n v="1"/>
    <n v="0"/>
    <n v="4.4173999999999989"/>
    <x v="0"/>
    <x v="8"/>
    <n v="4.4173999999999989"/>
    <s v="Profit"/>
    <s v="No Discount"/>
  </r>
  <r>
    <n v="1131"/>
    <s v="US-2023-149594"/>
    <x v="205"/>
    <d v="2023-09-19T00:00:00"/>
    <s v="Standard Class"/>
    <s v="MF-18250"/>
    <s v="Monica Federle"/>
    <x v="2"/>
    <s v="United States"/>
    <s v="Philadelphia"/>
    <s v="Pennsylvania"/>
    <n v="19120"/>
    <x v="1"/>
    <s v="FUR-FU-10000222"/>
    <x v="1"/>
    <x v="8"/>
    <s v="Seth Thomas 16&quot; Steel Case Clock"/>
    <n v="103.93599999999999"/>
    <n v="4"/>
    <n v="0.2"/>
    <n v="16.889599999999998"/>
    <x v="0"/>
    <x v="8"/>
    <n v="4.2223999999999995"/>
    <s v="Profit"/>
    <s v="Low"/>
  </r>
  <r>
    <n v="1132"/>
    <s v="US-2023-138100"/>
    <x v="205"/>
    <d v="2023-09-20T00:00:00"/>
    <s v="Standard Class"/>
    <s v="AA-10315"/>
    <s v="Alex Avila"/>
    <x v="0"/>
    <s v="United States"/>
    <s v="New York City"/>
    <s v="New York"/>
    <n v="10011"/>
    <x v="1"/>
    <s v="FUR-FU-10002456"/>
    <x v="1"/>
    <x v="8"/>
    <s v="Master Caster Door Stop, Large Neon Orange"/>
    <n v="14.56"/>
    <n v="2"/>
    <n v="0"/>
    <n v="6.2608000000000015"/>
    <x v="0"/>
    <x v="8"/>
    <n v="3.1304000000000007"/>
    <s v="Profit"/>
    <s v="No Discount"/>
  </r>
  <r>
    <n v="1133"/>
    <s v="US-2023-138100"/>
    <x v="205"/>
    <d v="2023-09-20T00:00:00"/>
    <s v="Standard Class"/>
    <s v="AA-10315"/>
    <s v="Alex Avila"/>
    <x v="0"/>
    <s v="United States"/>
    <s v="New York City"/>
    <s v="New York"/>
    <n v="10011"/>
    <x v="1"/>
    <s v="OFF-PA-10000349"/>
    <x v="0"/>
    <x v="0"/>
    <s v="Easy-staple paper"/>
    <n v="14.940000000000001"/>
    <n v="3"/>
    <n v="0"/>
    <n v="7.0218000000000007"/>
    <x v="0"/>
    <x v="8"/>
    <n v="2.3406000000000002"/>
    <s v="Profit"/>
    <s v="No Discount"/>
  </r>
  <r>
    <n v="1134"/>
    <s v="US-2023-141152"/>
    <x v="206"/>
    <d v="2023-09-19T00:00:00"/>
    <s v="First Class"/>
    <s v="RF-19345"/>
    <s v="Randy Ferguson"/>
    <x v="2"/>
    <s v="United States"/>
    <s v="New York City"/>
    <s v="New York"/>
    <n v="10024"/>
    <x v="1"/>
    <s v="OFF-BI-10002931"/>
    <x v="0"/>
    <x v="1"/>
    <s v="Avery Trapezoid Extra Heavy Duty 4&quot; Binders"/>
    <n v="33.552"/>
    <n v="1"/>
    <n v="0.2"/>
    <n v="12.581999999999999"/>
    <x v="0"/>
    <x v="8"/>
    <n v="12.581999999999999"/>
    <s v="Profit"/>
    <s v="Low"/>
  </r>
  <r>
    <n v="1135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FUR-FU-10004671"/>
    <x v="1"/>
    <x v="8"/>
    <s v="Executive Impressions 12&quot; Wall Clock"/>
    <n v="35.340000000000003"/>
    <n v="2"/>
    <n v="0"/>
    <n v="13.429200000000002"/>
    <x v="0"/>
    <x v="8"/>
    <n v="6.7146000000000008"/>
    <s v="Profit"/>
    <s v="No Discount"/>
  </r>
  <r>
    <n v="1136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AR-10000411"/>
    <x v="0"/>
    <x v="4"/>
    <s v="Boston 16701 Slimline Battery Pencil Sharpener"/>
    <n v="38.256"/>
    <n v="3"/>
    <n v="0.2"/>
    <n v="4.7819999999999947"/>
    <x v="0"/>
    <x v="8"/>
    <n v="1.5939999999999983"/>
    <s v="Profit"/>
    <s v="Low"/>
  </r>
  <r>
    <n v="1137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AR-10001473"/>
    <x v="0"/>
    <x v="4"/>
    <s v="Newell 313"/>
    <n v="5.2480000000000002"/>
    <n v="2"/>
    <n v="0.2"/>
    <n v="0.45920000000000027"/>
    <x v="0"/>
    <x v="8"/>
    <n v="0.22960000000000014"/>
    <s v="Profit"/>
    <s v="Low"/>
  </r>
  <r>
    <n v="1138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BI-10002735"/>
    <x v="0"/>
    <x v="1"/>
    <s v="GBC Prestige Therm-A-Bind Covers"/>
    <n v="137.24"/>
    <n v="5"/>
    <n v="0.2"/>
    <n v="46.3185"/>
    <x v="0"/>
    <x v="8"/>
    <n v="9.2637"/>
    <s v="Profit"/>
    <s v="Low"/>
  </r>
  <r>
    <n v="1139"/>
    <s v="US-2023-158638"/>
    <x v="207"/>
    <d v="2023-09-21T00:00:00"/>
    <s v="Standard Class"/>
    <s v="AG-10765"/>
    <s v="Anthony Garverick"/>
    <x v="1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12"/>
    <n v="4"/>
    <n v="0.7"/>
    <n v="-4.1243999999999996"/>
    <x v="0"/>
    <x v="8"/>
    <n v="-1.0310999999999999"/>
    <s v="Loss"/>
    <s v="High"/>
  </r>
  <r>
    <n v="1140"/>
    <s v="US-2023-112851"/>
    <x v="207"/>
    <d v="2023-09-21T00:00:00"/>
    <s v="Standard Class"/>
    <s v="NR-18550"/>
    <s v="Nick Radford"/>
    <x v="0"/>
    <s v="United States"/>
    <s v="Chula Vista"/>
    <s v="California"/>
    <n v="91911"/>
    <x v="3"/>
    <s v="OFF-EN-10001453"/>
    <x v="0"/>
    <x v="11"/>
    <s v="Tyvek Interoffice Envelopes, 9 1/2&quot; x 12 1/2&quot;, 100/Box"/>
    <n v="182.94"/>
    <n v="3"/>
    <n v="0"/>
    <n v="85.981799999999993"/>
    <x v="0"/>
    <x v="8"/>
    <n v="28.660599999999999"/>
    <s v="Profit"/>
    <s v="No Discount"/>
  </r>
  <r>
    <n v="1141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PA-10000246"/>
    <x v="0"/>
    <x v="0"/>
    <s v="Riverleaf Stik-Withit Designer Note Cubes"/>
    <n v="40.24"/>
    <n v="5"/>
    <n v="0.2"/>
    <n v="13.078000000000001"/>
    <x v="0"/>
    <x v="8"/>
    <n v="2.6156000000000001"/>
    <s v="Profit"/>
    <s v="Low"/>
  </r>
  <r>
    <n v="1142"/>
    <s v="US-2023-117170"/>
    <x v="207"/>
    <d v="2023-09-24T00:00:00"/>
    <s v="Standard Class"/>
    <s v="KT-16465"/>
    <s v="Kean Takahito"/>
    <x v="0"/>
    <s v="United States"/>
    <s v="Raleigh"/>
    <s v="North Carolina"/>
    <n v="27604"/>
    <x v="2"/>
    <s v="OFF-PA-10000682"/>
    <x v="0"/>
    <x v="0"/>
    <s v="Xerox 1924"/>
    <n v="4.6240000000000006"/>
    <n v="1"/>
    <n v="0.2"/>
    <n v="1.6762000000000001"/>
    <x v="0"/>
    <x v="8"/>
    <n v="1.6762000000000001"/>
    <s v="Profit"/>
    <s v="Low"/>
  </r>
  <r>
    <n v="1143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PA-10003039"/>
    <x v="0"/>
    <x v="0"/>
    <s v="Xerox 1960"/>
    <n v="148.70400000000001"/>
    <n v="6"/>
    <n v="0.2"/>
    <n v="46.469999999999985"/>
    <x v="0"/>
    <x v="8"/>
    <n v="7.7449999999999974"/>
    <s v="Profit"/>
    <s v="Low"/>
  </r>
  <r>
    <n v="1144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ST-10000943"/>
    <x v="0"/>
    <x v="3"/>
    <s v="Eldon ProFile File 'N Store Portable File Tub Letter/Legal Size Black"/>
    <n v="57.929999999999993"/>
    <n v="3"/>
    <n v="0"/>
    <n v="16.220400000000001"/>
    <x v="0"/>
    <x v="8"/>
    <n v="5.4068000000000005"/>
    <s v="Profit"/>
    <s v="No Discount"/>
  </r>
  <r>
    <n v="1145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ST-10004963"/>
    <x v="0"/>
    <x v="3"/>
    <s v="Eldon Gobal File Keepers"/>
    <n v="30.28"/>
    <n v="2"/>
    <n v="0"/>
    <n v="1.2111999999999981"/>
    <x v="0"/>
    <x v="8"/>
    <n v="0.60559999999999903"/>
    <s v="Profit"/>
    <s v="No Discount"/>
  </r>
  <r>
    <n v="1146"/>
    <s v="US-2023-117170"/>
    <x v="207"/>
    <d v="2023-09-24T00:00:00"/>
    <s v="Standard Class"/>
    <s v="KT-16465"/>
    <s v="Kean Takahito"/>
    <x v="0"/>
    <s v="United States"/>
    <s v="Raleigh"/>
    <s v="North Carolina"/>
    <n v="27604"/>
    <x v="2"/>
    <s v="TEC-AC-10001109"/>
    <x v="2"/>
    <x v="9"/>
    <s v="Logitech Trackman Marble Mouse"/>
    <n v="47.984000000000002"/>
    <n v="2"/>
    <n v="0.2"/>
    <n v="13.195600000000001"/>
    <x v="0"/>
    <x v="8"/>
    <n v="6.5978000000000003"/>
    <s v="Profit"/>
    <s v="Low"/>
  </r>
  <r>
    <n v="1147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TEC-AC-10004633"/>
    <x v="2"/>
    <x v="9"/>
    <s v="Verbatim 25 GB 6x Blu-ray Single Layer Recordable Disc, 3/Pack"/>
    <n v="55.92"/>
    <n v="10"/>
    <n v="0.2"/>
    <n v="16.776000000000007"/>
    <x v="0"/>
    <x v="8"/>
    <n v="1.6776000000000006"/>
    <s v="Profit"/>
    <s v="Low"/>
  </r>
  <r>
    <n v="1148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TEC-MA-10004086"/>
    <x v="2"/>
    <x v="15"/>
    <s v="Plantronics Single Ear Headset"/>
    <n v="29.925000000000001"/>
    <n v="5"/>
    <n v="0.7"/>
    <n v="-21.944999999999993"/>
    <x v="0"/>
    <x v="8"/>
    <n v="-4.3889999999999985"/>
    <s v="Loss"/>
    <s v="High"/>
  </r>
  <r>
    <n v="1149"/>
    <s v="US-2023-168130"/>
    <x v="208"/>
    <d v="2023-09-19T00:00:00"/>
    <s v="Same Day"/>
    <s v="BS-11365"/>
    <s v="Bill Shonely"/>
    <x v="2"/>
    <s v="United States"/>
    <s v="New York City"/>
    <s v="New York"/>
    <n v="10011"/>
    <x v="1"/>
    <s v="FUR-CH-10000988"/>
    <x v="1"/>
    <x v="5"/>
    <s v="Hon Olson Stacker Stools"/>
    <n v="887.10299999999995"/>
    <n v="7"/>
    <n v="0.1"/>
    <n v="177.42059999999998"/>
    <x v="0"/>
    <x v="8"/>
    <n v="25.345799999999997"/>
    <s v="Profit"/>
    <s v="Low"/>
  </r>
  <r>
    <n v="1150"/>
    <s v="US-2023-138177"/>
    <x v="208"/>
    <d v="2023-09-24T00:00:00"/>
    <s v="Standard Class"/>
    <s v="ND-18460"/>
    <s v="Neil Ducich"/>
    <x v="2"/>
    <s v="United States"/>
    <s v="Chandler"/>
    <s v="Arizona"/>
    <n v="85224"/>
    <x v="3"/>
    <s v="FUR-TA-10004607"/>
    <x v="1"/>
    <x v="13"/>
    <s v="Hon 2111 Invitation Series Straight Table"/>
    <n v="73.915000000000006"/>
    <n v="1"/>
    <n v="0.5"/>
    <n v="-45.827300000000008"/>
    <x v="0"/>
    <x v="8"/>
    <n v="-45.827300000000008"/>
    <s v="Loss"/>
    <s v="High"/>
  </r>
  <r>
    <n v="1151"/>
    <s v="US-2023-159849"/>
    <x v="208"/>
    <d v="2023-09-19T00:00:00"/>
    <s v="Same Day"/>
    <s v="JK-15640"/>
    <s v="Jim Kriz"/>
    <x v="1"/>
    <s v="United States"/>
    <s v="San Francisco"/>
    <s v="California"/>
    <n v="94110"/>
    <x v="3"/>
    <s v="OFF-FA-10000053"/>
    <x v="0"/>
    <x v="6"/>
    <s v="Revere Boxed Rubber Bands by Revere"/>
    <n v="5.67"/>
    <n v="3"/>
    <n v="0"/>
    <n v="0.11340000000000017"/>
    <x v="0"/>
    <x v="8"/>
    <n v="3.7800000000000056E-2"/>
    <s v="Profit"/>
    <s v="No Discount"/>
  </r>
  <r>
    <n v="1152"/>
    <s v="US-2023-156601"/>
    <x v="208"/>
    <d v="2023-09-24T00:00:00"/>
    <s v="Standard Class"/>
    <s v="FA-14230"/>
    <s v="Frank Atkinson"/>
    <x v="2"/>
    <s v="United States"/>
    <s v="Long Beach"/>
    <s v="California"/>
    <n v="90805"/>
    <x v="3"/>
    <s v="OFF-FA-10000624"/>
    <x v="0"/>
    <x v="6"/>
    <s v="OIC Binder Clips"/>
    <n v="7.16"/>
    <n v="2"/>
    <n v="0"/>
    <n v="3.58"/>
    <x v="0"/>
    <x v="8"/>
    <n v="1.79"/>
    <s v="Profit"/>
    <s v="No Discount"/>
  </r>
  <r>
    <n v="1153"/>
    <s v="US-2023-132787"/>
    <x v="208"/>
    <d v="2023-09-23T00:00:00"/>
    <s v="Standard Class"/>
    <s v="MC-18130"/>
    <s v="Mike Caudle"/>
    <x v="2"/>
    <s v="United States"/>
    <s v="Seattle"/>
    <s v="Washington"/>
    <n v="98115"/>
    <x v="3"/>
    <s v="OFF-ST-10001321"/>
    <x v="0"/>
    <x v="3"/>
    <s v="Decoflex Hanging Personal Folder File, Blue"/>
    <n v="92.52"/>
    <n v="6"/>
    <n v="0"/>
    <n v="24.980400000000007"/>
    <x v="0"/>
    <x v="8"/>
    <n v="4.1634000000000011"/>
    <s v="Profit"/>
    <s v="No Discount"/>
  </r>
  <r>
    <n v="1154"/>
    <s v="US-2023-127299"/>
    <x v="208"/>
    <d v="2023-09-24T00:00:00"/>
    <s v="Standard Class"/>
    <s v="JL-15835"/>
    <s v="John Lee"/>
    <x v="0"/>
    <s v="United States"/>
    <s v="Charlotte"/>
    <s v="North Carolina"/>
    <n v="28205"/>
    <x v="2"/>
    <s v="OFF-ST-10003722"/>
    <x v="0"/>
    <x v="3"/>
    <s v="Project Tote Personal File"/>
    <n v="67.343999999999994"/>
    <n v="6"/>
    <n v="0.2"/>
    <n v="7.5761999999999894"/>
    <x v="0"/>
    <x v="8"/>
    <n v="1.2626999999999982"/>
    <s v="Profit"/>
    <s v="Low"/>
  </r>
  <r>
    <n v="1155"/>
    <s v="US-2023-106992"/>
    <x v="208"/>
    <d v="2023-09-21T00:00:00"/>
    <s v="Second Class"/>
    <s v="SB-20290"/>
    <s v="Sean Braxton"/>
    <x v="2"/>
    <s v="United States"/>
    <s v="Houston"/>
    <s v="Texas"/>
    <n v="77036"/>
    <x v="0"/>
    <s v="TEC-MA-10000822"/>
    <x v="2"/>
    <x v="15"/>
    <s v="Lexmark MX611dhe Monochrome Laser Printer"/>
    <n v="3059.982"/>
    <n v="3"/>
    <n v="0.4"/>
    <n v="-509.99700000000075"/>
    <x v="0"/>
    <x v="8"/>
    <n v="-169.99900000000025"/>
    <s v="Loss"/>
    <s v="Medium"/>
  </r>
  <r>
    <n v="1156"/>
    <s v="US-2023-127299"/>
    <x v="208"/>
    <d v="2023-09-24T00:00:00"/>
    <s v="Standard Class"/>
    <s v="JL-15835"/>
    <s v="John Lee"/>
    <x v="0"/>
    <s v="United States"/>
    <s v="Charlotte"/>
    <s v="North Carolina"/>
    <n v="28205"/>
    <x v="2"/>
    <s v="TEC-MA-10001127"/>
    <x v="2"/>
    <x v="15"/>
    <s v="HP Designjet T520 Inkjet Large Format Printer - 24&quot; Color"/>
    <n v="2624.9850000000001"/>
    <n v="3"/>
    <n v="0.5"/>
    <n v="-944.99460000000045"/>
    <x v="0"/>
    <x v="8"/>
    <n v="-314.99820000000017"/>
    <s v="Loss"/>
    <s v="High"/>
  </r>
  <r>
    <n v="1157"/>
    <s v="US-2023-106992"/>
    <x v="208"/>
    <d v="2023-09-21T00:00:00"/>
    <s v="Second Class"/>
    <s v="SB-20290"/>
    <s v="Sean Braxton"/>
    <x v="2"/>
    <s v="United States"/>
    <s v="Houston"/>
    <s v="Texas"/>
    <n v="77036"/>
    <x v="0"/>
    <s v="TEC-MA-10003353"/>
    <x v="2"/>
    <x v="15"/>
    <s v="Xerox WorkCentre 6505DN Laser Multifunction Printer"/>
    <n v="2519.9579999999996"/>
    <n v="7"/>
    <n v="0.4"/>
    <n v="-251.99579999999992"/>
    <x v="0"/>
    <x v="8"/>
    <n v="-35.999399999999987"/>
    <s v="Loss"/>
    <s v="Medium"/>
  </r>
  <r>
    <n v="1158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FUR-BO-10001337"/>
    <x v="1"/>
    <x v="10"/>
    <s v="O'Sullivan Living Dimensions 2-Shelf Bookcases"/>
    <n v="362.94"/>
    <n v="3"/>
    <n v="0"/>
    <n v="36.293999999999997"/>
    <x v="0"/>
    <x v="8"/>
    <n v="12.097999999999999"/>
    <s v="Profit"/>
    <s v="No Discount"/>
  </r>
  <r>
    <n v="1159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FUR-BO-10002213"/>
    <x v="1"/>
    <x v="10"/>
    <s v="DMI Eclipse Executive Suite Bookcases"/>
    <n v="801.5680000000001"/>
    <n v="2"/>
    <n v="0.2"/>
    <n v="-10.019600000000054"/>
    <x v="0"/>
    <x v="8"/>
    <n v="-5.0098000000000269"/>
    <s v="Loss"/>
    <s v="Low"/>
  </r>
  <r>
    <n v="1160"/>
    <s v="US-2023-120411"/>
    <x v="209"/>
    <d v="2023-09-23T00:00:00"/>
    <s v="First Class"/>
    <s v="SB-20185"/>
    <s v="Sarah Brown"/>
    <x v="0"/>
    <s v="United States"/>
    <s v="Chicago"/>
    <s v="Illinois"/>
    <n v="60653"/>
    <x v="0"/>
    <s v="FUR-BO-10004218"/>
    <x v="1"/>
    <x v="10"/>
    <s v="Bush Heritage Pine Collection 5-Shelf Bookcase, Albany Pine Finish, *Special Order"/>
    <n v="493.42999999999995"/>
    <n v="5"/>
    <n v="0.3"/>
    <n v="-70.489999999999981"/>
    <x v="0"/>
    <x v="8"/>
    <n v="-14.097999999999995"/>
    <s v="Loss"/>
    <s v="Medium"/>
  </r>
  <r>
    <n v="1161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FUR-CH-10001394"/>
    <x v="1"/>
    <x v="5"/>
    <s v="Global Leather Executive Chair"/>
    <n v="631.78200000000004"/>
    <n v="2"/>
    <n v="0.1"/>
    <n v="140.39599999999993"/>
    <x v="0"/>
    <x v="8"/>
    <n v="70.197999999999965"/>
    <s v="Profit"/>
    <s v="Low"/>
  </r>
  <r>
    <n v="1162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FUR-FU-10004952"/>
    <x v="1"/>
    <x v="8"/>
    <s v="C-Line Cubicle Keepers Polyproplyene Holder w/Velcro Back, 8-1/2x11, 25/Bx"/>
    <n v="164.22"/>
    <n v="3"/>
    <n v="0"/>
    <n v="50.908200000000001"/>
    <x v="0"/>
    <x v="8"/>
    <n v="16.9694"/>
    <s v="Profit"/>
    <s v="No Discount"/>
  </r>
  <r>
    <n v="1163"/>
    <s v="US-2023-134614"/>
    <x v="209"/>
    <d v="2023-09-25T00:00:00"/>
    <s v="Standard Class"/>
    <s v="PF-19165"/>
    <s v="Philip Fox"/>
    <x v="0"/>
    <s v="United States"/>
    <s v="Bloomington"/>
    <s v="Illinois"/>
    <n v="61701"/>
    <x v="0"/>
    <s v="FUR-TA-10004534"/>
    <x v="1"/>
    <x v="13"/>
    <s v="Bevis 44 x 96 Conference Tables"/>
    <n v="617.70000000000005"/>
    <n v="6"/>
    <n v="0.5"/>
    <n v="-407.68200000000013"/>
    <x v="0"/>
    <x v="8"/>
    <n v="-67.947000000000017"/>
    <s v="Loss"/>
    <s v="High"/>
  </r>
  <r>
    <n v="1164"/>
    <s v="US-2023-133704"/>
    <x v="209"/>
    <d v="2023-09-26T00:00:00"/>
    <s v="Standard Class"/>
    <s v="MA-17995"/>
    <s v="Michelle Arnett"/>
    <x v="1"/>
    <s v="United States"/>
    <s v="Los Angeles"/>
    <s v="California"/>
    <n v="90004"/>
    <x v="3"/>
    <s v="OFF-AP-10001366"/>
    <x v="0"/>
    <x v="12"/>
    <s v="Staple holder"/>
    <n v="43.92"/>
    <n v="4"/>
    <n v="0"/>
    <n v="11.858400000000003"/>
    <x v="0"/>
    <x v="8"/>
    <n v="2.9646000000000008"/>
    <s v="Profit"/>
    <s v="No Discount"/>
  </r>
  <r>
    <n v="1165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OFF-AP-10003842"/>
    <x v="0"/>
    <x v="12"/>
    <s v="Euro-Pro Shark Turbo Vacuum"/>
    <n v="30.98"/>
    <n v="1"/>
    <n v="0"/>
    <n v="8.0548000000000002"/>
    <x v="0"/>
    <x v="8"/>
    <n v="8.0548000000000002"/>
    <s v="Profit"/>
    <s v="No Discount"/>
  </r>
  <r>
    <n v="1166"/>
    <s v="US-2023-151953"/>
    <x v="209"/>
    <d v="2023-09-25T00:00:00"/>
    <s v="Standard Class"/>
    <s v="DB-13555"/>
    <s v="Dorothy Badders"/>
    <x v="2"/>
    <s v="United States"/>
    <s v="Jacksonville"/>
    <s v="Florida"/>
    <n v="32216"/>
    <x v="2"/>
    <s v="OFF-AR-10003469"/>
    <x v="0"/>
    <x v="4"/>
    <s v="Nontoxic Chalk"/>
    <n v="2.8160000000000003"/>
    <n v="2"/>
    <n v="0.2"/>
    <n v="0.98559999999999992"/>
    <x v="0"/>
    <x v="8"/>
    <n v="0.49279999999999996"/>
    <s v="Profit"/>
    <s v="Low"/>
  </r>
  <r>
    <n v="1167"/>
    <s v="US-2023-133704"/>
    <x v="209"/>
    <d v="2023-09-26T00:00:00"/>
    <s v="Standard Class"/>
    <s v="MA-17995"/>
    <s v="Michelle Arnett"/>
    <x v="1"/>
    <s v="United States"/>
    <s v="Los Angeles"/>
    <s v="California"/>
    <n v="90004"/>
    <x v="3"/>
    <s v="OFF-BI-10001636"/>
    <x v="0"/>
    <x v="1"/>
    <s v="Ibico Plastic and Wire Spiral Binding Combs"/>
    <n v="20.231999999999999"/>
    <n v="3"/>
    <n v="0.2"/>
    <n v="6.5753999999999984"/>
    <x v="0"/>
    <x v="8"/>
    <n v="2.1917999999999993"/>
    <s v="Profit"/>
    <s v="Low"/>
  </r>
  <r>
    <n v="1168"/>
    <s v="US-2023-156433"/>
    <x v="209"/>
    <d v="2023-09-26T00:00:00"/>
    <s v="Standard Class"/>
    <s v="ES-14020"/>
    <s v="Erica Smith"/>
    <x v="0"/>
    <s v="United States"/>
    <s v="San Francisco"/>
    <s v="California"/>
    <n v="94110"/>
    <x v="3"/>
    <s v="OFF-LA-10001569"/>
    <x v="0"/>
    <x v="2"/>
    <s v="Avery 499"/>
    <n v="9.9600000000000009"/>
    <n v="2"/>
    <n v="0"/>
    <n v="4.5815999999999999"/>
    <x v="0"/>
    <x v="8"/>
    <n v="2.2907999999999999"/>
    <s v="Profit"/>
    <s v="No Discount"/>
  </r>
  <r>
    <n v="1169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OFF-LA-10002762"/>
    <x v="0"/>
    <x v="2"/>
    <s v="Avery 485"/>
    <n v="75.179999999999993"/>
    <n v="6"/>
    <n v="0"/>
    <n v="35.334599999999995"/>
    <x v="0"/>
    <x v="8"/>
    <n v="5.8890999999999991"/>
    <s v="Profit"/>
    <s v="No Discount"/>
  </r>
  <r>
    <n v="1170"/>
    <s v="US-2023-156433"/>
    <x v="209"/>
    <d v="2023-09-26T00:00:00"/>
    <s v="Standard Class"/>
    <s v="ES-14020"/>
    <s v="Erica Smith"/>
    <x v="0"/>
    <s v="United States"/>
    <s v="San Francisco"/>
    <s v="California"/>
    <n v="94110"/>
    <x v="3"/>
    <s v="OFF-PA-10003724"/>
    <x v="0"/>
    <x v="0"/>
    <s v="Wirebound Message Book, 4 per Page"/>
    <n v="21.72"/>
    <n v="4"/>
    <n v="0"/>
    <n v="10.642799999999999"/>
    <x v="0"/>
    <x v="8"/>
    <n v="2.6606999999999998"/>
    <s v="Profit"/>
    <s v="No Discount"/>
  </r>
  <r>
    <n v="1171"/>
    <s v="US-2023-126480"/>
    <x v="209"/>
    <d v="2023-09-24T00:00:00"/>
    <s v="Standard Class"/>
    <s v="HG-14965"/>
    <s v="Henry Goldwyn"/>
    <x v="2"/>
    <s v="United States"/>
    <s v="San Diego"/>
    <s v="California"/>
    <n v="92024"/>
    <x v="3"/>
    <s v="OFF-PA-10004610"/>
    <x v="0"/>
    <x v="0"/>
    <s v="Xerox 1900"/>
    <n v="8.56"/>
    <n v="2"/>
    <n v="0"/>
    <n v="3.8519999999999994"/>
    <x v="0"/>
    <x v="8"/>
    <n v="1.9259999999999997"/>
    <s v="Profit"/>
    <s v="No Discount"/>
  </r>
  <r>
    <n v="1172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TEC-AC-10003628"/>
    <x v="2"/>
    <x v="9"/>
    <s v="Logitech 910-002974 M325 Wireless Mouse for Web Scrolling"/>
    <n v="59.98"/>
    <n v="2"/>
    <n v="0"/>
    <n v="26.391200000000005"/>
    <x v="0"/>
    <x v="8"/>
    <n v="13.195600000000002"/>
    <s v="Profit"/>
    <s v="No Discount"/>
  </r>
  <r>
    <n v="1173"/>
    <s v="US-2023-120411"/>
    <x v="209"/>
    <d v="2023-09-23T00:00:00"/>
    <s v="First Class"/>
    <s v="SB-20185"/>
    <s v="Sarah Brown"/>
    <x v="0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  <x v="0"/>
    <x v="8"/>
    <n v="1.7374999999999998"/>
    <s v="Profit"/>
    <s v="Low"/>
  </r>
  <r>
    <n v="1174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  <x v="0"/>
    <x v="8"/>
    <n v="73.495100000000008"/>
    <s v="Profit"/>
    <s v="No Discount"/>
  </r>
  <r>
    <n v="1175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TEC-PH-10003484"/>
    <x v="2"/>
    <x v="7"/>
    <s v="Ooma Telo VoIP Home Phone System"/>
    <n v="629.94999999999993"/>
    <n v="5"/>
    <n v="0"/>
    <n v="157.48750000000001"/>
    <x v="0"/>
    <x v="8"/>
    <n v="31.497500000000002"/>
    <s v="Profit"/>
    <s v="No Discount"/>
  </r>
  <r>
    <n v="1176"/>
    <s v="CA-2023-153738"/>
    <x v="209"/>
    <d v="2023-09-22T00:00:00"/>
    <s v="First Class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  <x v="0"/>
    <x v="8"/>
    <n v="2.8266666666666667"/>
    <s v="Profit"/>
    <s v="No Discount"/>
  </r>
  <r>
    <n v="1177"/>
    <s v="US-2023-166310"/>
    <x v="210"/>
    <d v="2023-09-23T00:00:00"/>
    <s v="First Class"/>
    <s v="JS-15940"/>
    <s v="Joni Sundaresam"/>
    <x v="1"/>
    <s v="United States"/>
    <s v="Garland"/>
    <s v="Texas"/>
    <n v="75043"/>
    <x v="0"/>
    <s v="FUR-FU-10001546"/>
    <x v="1"/>
    <x v="8"/>
    <s v="Dana Swing-Arm Lamps"/>
    <n v="8.5440000000000005"/>
    <n v="2"/>
    <n v="0.6"/>
    <n v="-7.4759999999999991"/>
    <x v="0"/>
    <x v="8"/>
    <n v="-3.7379999999999995"/>
    <s v="Loss"/>
    <s v="High"/>
  </r>
  <r>
    <n v="1178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AP-10000358"/>
    <x v="0"/>
    <x v="12"/>
    <s v="Fellowes Basic Home/Office Series Surge Protectors"/>
    <n v="25.96"/>
    <n v="2"/>
    <n v="0"/>
    <n v="7.5283999999999978"/>
    <x v="0"/>
    <x v="8"/>
    <n v="3.7641999999999989"/>
    <s v="Profit"/>
    <s v="No Discount"/>
  </r>
  <r>
    <n v="1179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AP-10003281"/>
    <x v="0"/>
    <x v="12"/>
    <s v="Acco 6 Outlet Guardian Standard Surge Suppressor"/>
    <n v="36.269999999999996"/>
    <n v="3"/>
    <n v="0"/>
    <n v="10.880999999999997"/>
    <x v="0"/>
    <x v="8"/>
    <n v="3.6269999999999989"/>
    <s v="Profit"/>
    <s v="No Discount"/>
  </r>
  <r>
    <n v="1180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AR-10001615"/>
    <x v="0"/>
    <x v="4"/>
    <s v="Newell 34"/>
    <n v="59.519999999999996"/>
    <n v="3"/>
    <n v="0"/>
    <n v="15.475200000000001"/>
    <x v="0"/>
    <x v="8"/>
    <n v="5.1584000000000003"/>
    <s v="Profit"/>
    <s v="No Discount"/>
  </r>
  <r>
    <n v="1181"/>
    <s v="US-2023-124513"/>
    <x v="210"/>
    <d v="2023-09-25T00:00:00"/>
    <s v="Standard Class"/>
    <s v="SL-20155"/>
    <s v="Sara Luxemburg"/>
    <x v="1"/>
    <s v="United States"/>
    <s v="New York City"/>
    <s v="New York"/>
    <n v="10011"/>
    <x v="1"/>
    <s v="OFF-AR-10002956"/>
    <x v="0"/>
    <x v="4"/>
    <s v="Boston 16801 Nautilus Battery Pencil Sharpener"/>
    <n v="66.03"/>
    <n v="3"/>
    <n v="0"/>
    <n v="17.1678"/>
    <x v="0"/>
    <x v="8"/>
    <n v="5.7225999999999999"/>
    <s v="Profit"/>
    <s v="No Discount"/>
  </r>
  <r>
    <n v="1182"/>
    <s v="US-2023-117478"/>
    <x v="210"/>
    <d v="2023-09-24T00:00:00"/>
    <s v="First Class"/>
    <s v="LH-16750"/>
    <s v="Larry Hughes"/>
    <x v="0"/>
    <s v="United States"/>
    <s v="Philadelphia"/>
    <s v="Pennsylvania"/>
    <n v="19140"/>
    <x v="1"/>
    <s v="OFF-BI-10000050"/>
    <x v="0"/>
    <x v="1"/>
    <s v="Angle-D Binders with Locking Rings, Label Holders"/>
    <n v="6.5700000000000012"/>
    <n v="3"/>
    <n v="0.7"/>
    <n v="-5.036999999999999"/>
    <x v="0"/>
    <x v="8"/>
    <n v="-1.6789999999999996"/>
    <s v="Loss"/>
    <s v="High"/>
  </r>
  <r>
    <n v="1183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EN-10001539"/>
    <x v="0"/>
    <x v="11"/>
    <s v="Staple envelope"/>
    <n v="15.56"/>
    <n v="2"/>
    <n v="0"/>
    <n v="7.3132000000000001"/>
    <x v="0"/>
    <x v="8"/>
    <n v="3.6566000000000001"/>
    <s v="Profit"/>
    <s v="No Discount"/>
  </r>
  <r>
    <n v="1184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EN-10004483"/>
    <x v="0"/>
    <x v="11"/>
    <s v="#10 White Business Envelopes,4 1/8 x 9 1/2"/>
    <n v="78.349999999999994"/>
    <n v="5"/>
    <n v="0"/>
    <n v="36.824499999999993"/>
    <x v="0"/>
    <x v="8"/>
    <n v="7.3648999999999987"/>
    <s v="Profit"/>
    <s v="No Discount"/>
  </r>
  <r>
    <n v="1185"/>
    <s v="US-2023-168823"/>
    <x v="210"/>
    <d v="2023-09-24T00:00:00"/>
    <s v="First Class"/>
    <s v="MA-17560"/>
    <s v="Matt Abelman"/>
    <x v="1"/>
    <s v="United States"/>
    <s v="Philadelphia"/>
    <s v="Pennsylvania"/>
    <n v="19143"/>
    <x v="1"/>
    <s v="OFF-LA-10004425"/>
    <x v="0"/>
    <x v="2"/>
    <s v="Staple-on labels"/>
    <n v="20.808000000000003"/>
    <n v="9"/>
    <n v="0.2"/>
    <n v="7.0226999999999995"/>
    <x v="0"/>
    <x v="8"/>
    <n v="0.78029999999999999"/>
    <s v="Profit"/>
    <s v="Low"/>
  </r>
  <r>
    <n v="1186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PA-10000029"/>
    <x v="0"/>
    <x v="0"/>
    <s v="Xerox 224"/>
    <n v="6.48"/>
    <n v="1"/>
    <n v="0"/>
    <n v="3.1104000000000003"/>
    <x v="0"/>
    <x v="8"/>
    <n v="3.1104000000000003"/>
    <s v="Profit"/>
    <s v="No Discount"/>
  </r>
  <r>
    <n v="1187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PA-10000327"/>
    <x v="0"/>
    <x v="0"/>
    <s v="Xerox 1971"/>
    <n v="38.520000000000003"/>
    <n v="9"/>
    <n v="0"/>
    <n v="17.333999999999996"/>
    <x v="0"/>
    <x v="8"/>
    <n v="1.9259999999999995"/>
    <s v="Profit"/>
    <s v="No Discount"/>
  </r>
  <r>
    <n v="1188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PA-10002246"/>
    <x v="0"/>
    <x v="0"/>
    <s v="Wirebound Four 2-3/4 x 5 Forms per Page, 400 Sets per Book"/>
    <n v="19.350000000000001"/>
    <n v="3"/>
    <n v="0"/>
    <n v="9.4815000000000005"/>
    <x v="0"/>
    <x v="8"/>
    <n v="3.1605000000000003"/>
    <s v="Profit"/>
    <s v="No Discount"/>
  </r>
  <r>
    <n v="1189"/>
    <s v="US-2023-168823"/>
    <x v="210"/>
    <d v="2023-09-24T00:00:00"/>
    <s v="First Class"/>
    <s v="MA-17560"/>
    <s v="Matt Abelman"/>
    <x v="1"/>
    <s v="United States"/>
    <s v="Philadelphia"/>
    <s v="Pennsylvania"/>
    <n v="19143"/>
    <x v="1"/>
    <s v="OFF-PA-10004000"/>
    <x v="0"/>
    <x v="0"/>
    <s v="While You Were Out Pads, 50 per Pad, 4 x 5 1/4, Green Cycle"/>
    <n v="11.352000000000002"/>
    <n v="3"/>
    <n v="0.2"/>
    <n v="4.1151"/>
    <x v="0"/>
    <x v="8"/>
    <n v="1.3716999999999999"/>
    <s v="Profit"/>
    <s v="Low"/>
  </r>
  <r>
    <n v="1190"/>
    <s v="US-2023-135972"/>
    <x v="210"/>
    <d v="2023-09-23T00:00:00"/>
    <s v="Second Class"/>
    <s v="JG-15115"/>
    <s v="Jack Garza"/>
    <x v="0"/>
    <s v="United States"/>
    <s v="Des Moines"/>
    <s v="Washington"/>
    <n v="98198"/>
    <x v="3"/>
    <s v="TEC-CO-10002313"/>
    <x v="2"/>
    <x v="16"/>
    <s v="Canon PC1080F Personal Copier"/>
    <n v="1799.97"/>
    <n v="3"/>
    <n v="0"/>
    <n v="701.98829999999998"/>
    <x v="0"/>
    <x v="8"/>
    <n v="233.99609999999998"/>
    <s v="Profit"/>
    <s v="No Discount"/>
  </r>
  <r>
    <n v="1191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TEC-PH-10001299"/>
    <x v="2"/>
    <x v="7"/>
    <s v="Polycom CX300 Desktop Phone USB VoIP phone"/>
    <n v="239.98400000000004"/>
    <n v="2"/>
    <n v="0.2"/>
    <n v="23.998400000000004"/>
    <x v="0"/>
    <x v="8"/>
    <n v="11.999200000000002"/>
    <s v="Profit"/>
    <s v="Low"/>
  </r>
  <r>
    <n v="1192"/>
    <s v="US-2023-135972"/>
    <x v="210"/>
    <d v="2023-09-23T00:00:00"/>
    <s v="Second Class"/>
    <s v="JG-15115"/>
    <s v="Jack Garza"/>
    <x v="0"/>
    <s v="United States"/>
    <s v="Des Moines"/>
    <s v="Washington"/>
    <n v="98198"/>
    <x v="3"/>
    <s v="TEC-PH-10003012"/>
    <x v="2"/>
    <x v="7"/>
    <s v="Nortel Meridian M3904 Professional Digital phone"/>
    <n v="246.38400000000001"/>
    <n v="2"/>
    <n v="0.2"/>
    <n v="27.718199999999968"/>
    <x v="0"/>
    <x v="8"/>
    <n v="13.859099999999984"/>
    <s v="Profit"/>
    <s v="Low"/>
  </r>
  <r>
    <n v="1193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66"/>
    <x v="0"/>
    <x v="8"/>
    <n v="20.927399999999992"/>
    <s v="Profit"/>
    <s v="Low"/>
  </r>
  <r>
    <n v="1194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FUR-FU-10001876"/>
    <x v="1"/>
    <x v="8"/>
    <s v="Computer Room Manger, 14&quot;"/>
    <n v="97.44"/>
    <n v="3"/>
    <n v="0"/>
    <n v="35.078399999999995"/>
    <x v="0"/>
    <x v="8"/>
    <n v="11.692799999999998"/>
    <s v="Profit"/>
    <s v="No Discount"/>
  </r>
  <r>
    <n v="1195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OFF-AR-10003876"/>
    <x v="0"/>
    <x v="4"/>
    <s v="Avery Hi-Liter GlideStik Fluorescent Highlighter, Yellow Ink"/>
    <n v="13.04"/>
    <n v="4"/>
    <n v="0"/>
    <n v="5.7376000000000005"/>
    <x v="0"/>
    <x v="8"/>
    <n v="1.4344000000000001"/>
    <s v="Profit"/>
    <s v="No Discount"/>
  </r>
  <r>
    <n v="1196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OFF-BI-10003355"/>
    <x v="0"/>
    <x v="1"/>
    <s v="Cardinal Holdit Business Card Pockets"/>
    <n v="3.9840000000000004"/>
    <n v="1"/>
    <n v="0.2"/>
    <n v="1.3944000000000001"/>
    <x v="0"/>
    <x v="8"/>
    <n v="1.3944000000000001"/>
    <s v="Profit"/>
    <s v="Low"/>
  </r>
  <r>
    <n v="1197"/>
    <s v="US-2023-127488"/>
    <x v="211"/>
    <d v="2023-09-24T00:00:00"/>
    <s v="Second Class"/>
    <s v="MS-17365"/>
    <s v="Maribeth Schnelling"/>
    <x v="0"/>
    <s v="United States"/>
    <s v="Boca Raton"/>
    <s v="Florida"/>
    <n v="33433"/>
    <x v="2"/>
    <s v="OFF-LA-10001613"/>
    <x v="0"/>
    <x v="2"/>
    <s v="Avery File Folder Labels"/>
    <n v="4.6079999999999997"/>
    <n v="2"/>
    <n v="0.2"/>
    <n v="1.6704000000000001"/>
    <x v="0"/>
    <x v="8"/>
    <n v="0.83520000000000005"/>
    <s v="Profit"/>
    <s v="Low"/>
  </r>
  <r>
    <n v="1198"/>
    <s v="US-2023-158225"/>
    <x v="211"/>
    <d v="2023-09-28T00:00:00"/>
    <s v="Standard Class"/>
    <s v="SE-20110"/>
    <s v="Sanjit Engle"/>
    <x v="0"/>
    <s v="United States"/>
    <s v="San Jose"/>
    <s v="California"/>
    <n v="95123"/>
    <x v="3"/>
    <s v="OFF-ST-10000675"/>
    <x v="0"/>
    <x v="3"/>
    <s v="File Shuttle II and Handi-File, Black"/>
    <n v="169.45"/>
    <n v="5"/>
    <n v="0"/>
    <n v="42.362499999999997"/>
    <x v="0"/>
    <x v="8"/>
    <n v="8.4725000000000001"/>
    <s v="Profit"/>
    <s v="No Discount"/>
  </r>
  <r>
    <n v="1199"/>
    <s v="US-2023-158225"/>
    <x v="211"/>
    <d v="2023-09-28T00:00:00"/>
    <s v="Standard Class"/>
    <s v="SE-20110"/>
    <s v="Sanjit Engle"/>
    <x v="0"/>
    <s v="United States"/>
    <s v="San Jose"/>
    <s v="California"/>
    <n v="95123"/>
    <x v="3"/>
    <s v="OFF-ST-10002301"/>
    <x v="0"/>
    <x v="3"/>
    <s v="Tennsco Commercial Shelving"/>
    <n v="40.68"/>
    <n v="2"/>
    <n v="0"/>
    <n v="0.40679999999999694"/>
    <x v="0"/>
    <x v="8"/>
    <n v="0.20339999999999847"/>
    <s v="Profit"/>
    <s v="No Discount"/>
  </r>
  <r>
    <n v="1200"/>
    <s v="US-2023-103191"/>
    <x v="211"/>
    <d v="2023-09-27T00:00:00"/>
    <s v="Standard Class"/>
    <s v="VG-21805"/>
    <s v="Vivek Grady"/>
    <x v="2"/>
    <s v="United States"/>
    <s v="Chicago"/>
    <s v="Illinois"/>
    <n v="60653"/>
    <x v="0"/>
    <s v="OFF-ST-10002574"/>
    <x v="0"/>
    <x v="3"/>
    <s v="SAFCO Commercial Wire Shelving, Black"/>
    <n v="331.536"/>
    <n v="3"/>
    <n v="0.2"/>
    <n v="-82.884"/>
    <x v="0"/>
    <x v="8"/>
    <n v="-27.628"/>
    <s v="Loss"/>
    <s v="Low"/>
  </r>
  <r>
    <n v="1201"/>
    <s v="US-2023-134733"/>
    <x v="212"/>
    <d v="2023-09-28T00:00:00"/>
    <s v="Standard Class"/>
    <s v="BM-11650"/>
    <s v="Brian Moss"/>
    <x v="2"/>
    <s v="United States"/>
    <s v="San Diego"/>
    <s v="California"/>
    <n v="92037"/>
    <x v="3"/>
    <s v="FUR-BO-10002916"/>
    <x v="1"/>
    <x v="10"/>
    <s v="Rush Hierlooms Collection 1&quot; Thick Stackable Bookcases"/>
    <n v="435.99900000000002"/>
    <n v="3"/>
    <n v="0.15"/>
    <n v="20.517599999999987"/>
    <x v="0"/>
    <x v="8"/>
    <n v="6.8391999999999955"/>
    <s v="Profit"/>
    <s v="Low"/>
  </r>
  <r>
    <n v="1202"/>
    <s v="US-2023-163650"/>
    <x v="212"/>
    <d v="2023-09-25T00:00:00"/>
    <s v="First Class"/>
    <s v="TT-21220"/>
    <s v="Thomas Thornton"/>
    <x v="0"/>
    <s v="United States"/>
    <s v="Dover"/>
    <s v="Delaware"/>
    <n v="19901"/>
    <x v="1"/>
    <s v="OFF-AR-10002375"/>
    <x v="0"/>
    <x v="4"/>
    <s v="Newell 351"/>
    <n v="9.84"/>
    <n v="3"/>
    <n v="0"/>
    <n v="2.8535999999999988"/>
    <x v="0"/>
    <x v="8"/>
    <n v="0.9511999999999996"/>
    <s v="Profit"/>
    <s v="No Discount"/>
  </r>
  <r>
    <n v="1203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BI-10000301"/>
    <x v="0"/>
    <x v="1"/>
    <s v="GBC Instant Report Kit"/>
    <n v="12.94"/>
    <n v="2"/>
    <n v="0"/>
    <n v="6.47"/>
    <x v="0"/>
    <x v="8"/>
    <n v="3.2349999999999999"/>
    <s v="Profit"/>
    <s v="No Discount"/>
  </r>
  <r>
    <n v="1204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BI-10001120"/>
    <x v="0"/>
    <x v="1"/>
    <s v="Ibico EPK-21 Electric Binding System"/>
    <n v="9449.9500000000007"/>
    <n v="5"/>
    <n v="0"/>
    <n v="4630.4755000000005"/>
    <x v="0"/>
    <x v="8"/>
    <n v="926.09510000000012"/>
    <s v="Profit"/>
    <s v="No Discount"/>
  </r>
  <r>
    <n v="1205"/>
    <s v="US-2023-163559"/>
    <x v="212"/>
    <d v="2023-09-28T00:00:00"/>
    <s v="Second Class"/>
    <s v="ST-20530"/>
    <s v="Shui Tom"/>
    <x v="0"/>
    <s v="United States"/>
    <s v="New York City"/>
    <s v="New York"/>
    <n v="10035"/>
    <x v="1"/>
    <s v="OFF-BI-10002026"/>
    <x v="0"/>
    <x v="1"/>
    <s v="Avery Arch Ring Binders"/>
    <n v="139.44"/>
    <n v="3"/>
    <n v="0.2"/>
    <n v="47.060999999999993"/>
    <x v="0"/>
    <x v="8"/>
    <n v="15.686999999999998"/>
    <s v="Profit"/>
    <s v="Low"/>
  </r>
  <r>
    <n v="1206"/>
    <s v="US-2023-113964"/>
    <x v="212"/>
    <d v="2023-09-30T00:00:00"/>
    <s v="Standard Class"/>
    <s v="JP-16135"/>
    <s v="Julie Prescott"/>
    <x v="1"/>
    <s v="United States"/>
    <s v="New York City"/>
    <s v="New York"/>
    <n v="10011"/>
    <x v="1"/>
    <s v="OFF-BI-10004654"/>
    <x v="0"/>
    <x v="1"/>
    <s v="Avery Binding System Hidden Tab Executive Style Index Sets"/>
    <n v="18.463999999999999"/>
    <n v="4"/>
    <n v="0.2"/>
    <n v="6.9239999999999995"/>
    <x v="0"/>
    <x v="8"/>
    <n v="1.7309999999999999"/>
    <s v="Profit"/>
    <s v="Low"/>
  </r>
  <r>
    <n v="1207"/>
    <s v="US-2023-148369"/>
    <x v="212"/>
    <d v="2023-09-27T00:00:00"/>
    <s v="Standard Class"/>
    <s v="TH-21115"/>
    <s v="Thea Hudgings"/>
    <x v="2"/>
    <s v="United States"/>
    <s v="Newark"/>
    <s v="Delaware"/>
    <n v="19711"/>
    <x v="1"/>
    <s v="OFF-BI-10004876"/>
    <x v="0"/>
    <x v="1"/>
    <s v="Wilson Jones Suede Grain Vinyl Binders"/>
    <n v="11.12"/>
    <n v="4"/>
    <n v="0"/>
    <n v="5.4487999999999994"/>
    <x v="0"/>
    <x v="8"/>
    <n v="1.3621999999999999"/>
    <s v="Profit"/>
    <s v="No Discount"/>
  </r>
  <r>
    <n v="1208"/>
    <s v="US-2023-163650"/>
    <x v="212"/>
    <d v="2023-09-25T00:00:00"/>
    <s v="First Class"/>
    <s v="TT-21220"/>
    <s v="Thomas Thornton"/>
    <x v="0"/>
    <s v="United States"/>
    <s v="Dover"/>
    <s v="Delaware"/>
    <n v="19901"/>
    <x v="1"/>
    <s v="OFF-BI-10004965"/>
    <x v="0"/>
    <x v="1"/>
    <s v="Ibico Covers for Plastic or Wire Binding Elements"/>
    <n v="34.5"/>
    <n v="3"/>
    <n v="0"/>
    <n v="15.524999999999999"/>
    <x v="0"/>
    <x v="8"/>
    <n v="5.1749999999999998"/>
    <s v="Profit"/>
    <s v="No Discount"/>
  </r>
  <r>
    <n v="1209"/>
    <s v="US-2023-147900"/>
    <x v="212"/>
    <d v="2023-09-28T00:00:00"/>
    <s v="Standard Class"/>
    <s v="JK-15640"/>
    <s v="Jim Kriz"/>
    <x v="1"/>
    <s v="United States"/>
    <s v="Lakewood"/>
    <s v="Ohio"/>
    <n v="44107"/>
    <x v="1"/>
    <s v="OFF-PA-10003063"/>
    <x v="0"/>
    <x v="0"/>
    <s v="EcoTones Memo Sheets"/>
    <n v="28.8"/>
    <n v="9"/>
    <n v="0.2"/>
    <n v="10.080000000000002"/>
    <x v="0"/>
    <x v="8"/>
    <n v="1.1200000000000001"/>
    <s v="Profit"/>
    <s v="Low"/>
  </r>
  <r>
    <n v="1210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PA-10004888"/>
    <x v="0"/>
    <x v="0"/>
    <s v="Xerox 217"/>
    <n v="32.400000000000006"/>
    <n v="5"/>
    <n v="0"/>
    <n v="15.552000000000001"/>
    <x v="0"/>
    <x v="8"/>
    <n v="3.1104000000000003"/>
    <s v="Profit"/>
    <s v="No Discount"/>
  </r>
  <r>
    <n v="1211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ST-10000736"/>
    <x v="0"/>
    <x v="3"/>
    <s v="Carina Double Wide Media Storage Towers in Natural &amp; Black"/>
    <n v="404.90000000000003"/>
    <n v="5"/>
    <n v="0"/>
    <n v="16.195999999999984"/>
    <x v="0"/>
    <x v="8"/>
    <n v="3.2391999999999967"/>
    <s v="Profit"/>
    <s v="No Discount"/>
  </r>
  <r>
    <n v="1212"/>
    <s v="US-2023-134733"/>
    <x v="212"/>
    <d v="2023-09-28T00:00:00"/>
    <s v="Standard Class"/>
    <s v="BM-11650"/>
    <s v="Brian Moss"/>
    <x v="2"/>
    <s v="United States"/>
    <s v="San Diego"/>
    <s v="California"/>
    <n v="92037"/>
    <x v="3"/>
    <s v="TEC-PH-10002726"/>
    <x v="2"/>
    <x v="7"/>
    <s v="netTALK DUO VoIP Telephone Service"/>
    <n v="83.984000000000009"/>
    <n v="2"/>
    <n v="0.2"/>
    <n v="31.494"/>
    <x v="0"/>
    <x v="8"/>
    <n v="15.747"/>
    <s v="Profit"/>
    <s v="Low"/>
  </r>
  <r>
    <n v="1213"/>
    <s v="US-2023-123344"/>
    <x v="213"/>
    <d v="2023-09-29T00:00:00"/>
    <s v="Standard Class"/>
    <s v="JD-16060"/>
    <s v="Julia Dunbar"/>
    <x v="0"/>
    <s v="United States"/>
    <s v="San Francisco"/>
    <s v="California"/>
    <n v="94109"/>
    <x v="3"/>
    <s v="OFF-ST-10001713"/>
    <x v="0"/>
    <x v="3"/>
    <s v="Gould Plastics 9-Pocket Panel Bin, 18-3/8w x 5-1/4d x 20-1/2h, Black"/>
    <n v="211.96"/>
    <n v="4"/>
    <n v="0"/>
    <n v="8.4783999999999935"/>
    <x v="0"/>
    <x v="8"/>
    <n v="2.1195999999999984"/>
    <s v="Profit"/>
    <s v="No Discount"/>
  </r>
  <r>
    <n v="1214"/>
    <s v="CA-2023-160325"/>
    <x v="213"/>
    <d v="2023-09-24T00:00:00"/>
    <s v="Same Day"/>
    <s v="BP-11095"/>
    <s v="Bart Pistole"/>
    <x v="2"/>
    <s v="Canada"/>
    <s v="Montreal"/>
    <s v="Quebec"/>
    <s v="H1C"/>
    <x v="1"/>
    <s v="TEC-PH-10000984"/>
    <x v="2"/>
    <x v="7"/>
    <s v="Panasonic KX-TG9471B"/>
    <n v="391.98"/>
    <n v="2"/>
    <n v="0"/>
    <n v="109.75"/>
    <x v="0"/>
    <x v="8"/>
    <n v="54.875"/>
    <s v="Profit"/>
    <s v="No Discount"/>
  </r>
  <r>
    <n v="1215"/>
    <s v="CA-2023-160325"/>
    <x v="213"/>
    <d v="2023-09-24T00:00:00"/>
    <s v="Same Day"/>
    <s v="BP-11095"/>
    <s v="Bart Pistole"/>
    <x v="2"/>
    <s v="Canada"/>
    <s v="Montreal"/>
    <s v="Quebec"/>
    <s v="H1C"/>
    <x v="1"/>
    <s v="TEC-PH-10001944"/>
    <x v="2"/>
    <x v="7"/>
    <s v="Wi-Ex zBoost YX540 Cellular Phone Signal Booster"/>
    <n v="437.85"/>
    <n v="3"/>
    <n v="0"/>
    <n v="131.36000000000001"/>
    <x v="0"/>
    <x v="8"/>
    <n v="43.786666666666669"/>
    <s v="Profit"/>
    <s v="No Discount"/>
  </r>
  <r>
    <n v="1216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FUR-BO-10003272"/>
    <x v="1"/>
    <x v="10"/>
    <s v="O'Sullivan Living Dimensions 5-Shelf Bookcases"/>
    <n v="300.53279999999995"/>
    <n v="2"/>
    <n v="0.32"/>
    <n v="-97.23120000000003"/>
    <x v="0"/>
    <x v="8"/>
    <n v="-48.615600000000015"/>
    <s v="Loss"/>
    <s v="Medium"/>
  </r>
  <r>
    <n v="1217"/>
    <s v="US-2023-141355"/>
    <x v="214"/>
    <d v="2023-09-30T00:00:00"/>
    <s v="Standard Class"/>
    <s v="BF-11005"/>
    <s v="Barry Franz"/>
    <x v="1"/>
    <s v="United States"/>
    <s v="Aurora"/>
    <s v="Colorado"/>
    <n v="80013"/>
    <x v="3"/>
    <s v="OFF-AR-10003179"/>
    <x v="0"/>
    <x v="4"/>
    <s v="Dixon Ticonderoga Core-Lock Colored Pencils"/>
    <n v="14.576000000000001"/>
    <n v="2"/>
    <n v="0.2"/>
    <n v="2.3685999999999989"/>
    <x v="0"/>
    <x v="8"/>
    <n v="1.1842999999999995"/>
    <s v="Profit"/>
    <s v="Low"/>
  </r>
  <r>
    <n v="1218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BI-10002982"/>
    <x v="0"/>
    <x v="1"/>
    <s v="Avery Self-Adhesive Photo Pockets for Polaroid Photos"/>
    <n v="2.7239999999999993"/>
    <n v="2"/>
    <n v="0.8"/>
    <n v="-4.3584000000000014"/>
    <x v="0"/>
    <x v="8"/>
    <n v="-2.1792000000000007"/>
    <s v="Loss"/>
    <s v="High"/>
  </r>
  <r>
    <n v="1219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EN-10001509"/>
    <x v="0"/>
    <x v="11"/>
    <s v="Poly String Tie Envelopes"/>
    <n v="3.2640000000000002"/>
    <n v="2"/>
    <n v="0.2"/>
    <n v="1.1015999999999997"/>
    <x v="0"/>
    <x v="8"/>
    <n v="0.55079999999999985"/>
    <s v="Profit"/>
    <s v="Low"/>
  </r>
  <r>
    <n v="1220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PA-10003270"/>
    <x v="0"/>
    <x v="0"/>
    <s v="Xerox 1954"/>
    <n v="33.792000000000002"/>
    <n v="8"/>
    <n v="0.2"/>
    <n v="10.559999999999999"/>
    <x v="0"/>
    <x v="8"/>
    <n v="1.3199999999999998"/>
    <s v="Profit"/>
    <s v="Low"/>
  </r>
  <r>
    <n v="1221"/>
    <s v="US-2023-132451"/>
    <x v="215"/>
    <d v="2023-09-27T00:00:00"/>
    <s v="First Class"/>
    <s v="KF-16285"/>
    <s v="Karen Ferguson"/>
    <x v="1"/>
    <s v="United States"/>
    <s v="San Diego"/>
    <s v="California"/>
    <n v="92105"/>
    <x v="3"/>
    <s v="FUR-CH-10000454"/>
    <x v="1"/>
    <x v="5"/>
    <s v="Hon Deluxe Fabric Upholstered Stacking Chairs, Rounded Back"/>
    <n v="585.55200000000002"/>
    <n v="3"/>
    <n v="0.2"/>
    <n v="73.19399999999996"/>
    <x v="0"/>
    <x v="8"/>
    <n v="24.397999999999985"/>
    <s v="Profit"/>
    <s v="Low"/>
  </r>
  <r>
    <n v="1222"/>
    <s v="US-2023-151925"/>
    <x v="215"/>
    <d v="2023-10-01T00:00:00"/>
    <s v="Second Class"/>
    <s v="KT-16465"/>
    <s v="Kean Takahito"/>
    <x v="0"/>
    <s v="United States"/>
    <s v="Los Angeles"/>
    <s v="California"/>
    <n v="90049"/>
    <x v="3"/>
    <s v="FUR-CH-10002961"/>
    <x v="1"/>
    <x v="5"/>
    <s v="Leather Task Chair, Black"/>
    <n v="145.56800000000001"/>
    <n v="2"/>
    <n v="0.2"/>
    <n v="0"/>
    <x v="0"/>
    <x v="8"/>
    <n v="0"/>
    <s v="Break-even"/>
    <s v="Low"/>
  </r>
  <r>
    <n v="1223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FUR-FU-10001095"/>
    <x v="1"/>
    <x v="8"/>
    <s v="DAX Black Cherry Wood-Tone Poster Frame"/>
    <n v="21.184000000000001"/>
    <n v="1"/>
    <n v="0.2"/>
    <n v="4.7664"/>
    <x v="0"/>
    <x v="8"/>
    <n v="4.7664"/>
    <s v="Profit"/>
    <s v="Low"/>
  </r>
  <r>
    <n v="1224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OFF-AP-10001492"/>
    <x v="0"/>
    <x v="12"/>
    <s v="Acco Six-Outlet Power Strip, 4' Cord Length"/>
    <n v="41.375999999999998"/>
    <n v="6"/>
    <n v="0.2"/>
    <n v="3.1032000000000011"/>
    <x v="0"/>
    <x v="8"/>
    <n v="0.51720000000000022"/>
    <s v="Profit"/>
    <s v="Low"/>
  </r>
  <r>
    <n v="1225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OFF-AP-10001634"/>
    <x v="0"/>
    <x v="12"/>
    <s v="Hoover Commercial Lightweight Upright Vacuum"/>
    <n v="16.704000000000001"/>
    <n v="6"/>
    <n v="0.2"/>
    <n v="1.2527999999999988"/>
    <x v="0"/>
    <x v="8"/>
    <n v="0.20879999999999979"/>
    <s v="Profit"/>
    <s v="Low"/>
  </r>
  <r>
    <n v="1226"/>
    <s v="US-2023-164385"/>
    <x v="215"/>
    <d v="2023-10-01T00:00:00"/>
    <s v="Second Class"/>
    <s v="NB-18580"/>
    <s v="Nicole Brennan"/>
    <x v="2"/>
    <s v="United States"/>
    <s v="Philadelphia"/>
    <s v="Pennsylvania"/>
    <n v="19134"/>
    <x v="1"/>
    <s v="OFF-AP-10002191"/>
    <x v="0"/>
    <x v="12"/>
    <s v="Belkin 8 Outlet SurgeMaster II Gold Surge Protector"/>
    <n v="143.952"/>
    <n v="3"/>
    <n v="0.2"/>
    <n v="14.39520000000001"/>
    <x v="0"/>
    <x v="8"/>
    <n v="4.7984000000000036"/>
    <s v="Profit"/>
    <s v="Low"/>
  </r>
  <r>
    <n v="1227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OFF-BI-10003274"/>
    <x v="0"/>
    <x v="1"/>
    <s v="Avery Durable Slant Ring Binders, No Labels"/>
    <n v="5.9700000000000006"/>
    <n v="5"/>
    <n v="0.7"/>
    <n v="-4.577"/>
    <x v="0"/>
    <x v="8"/>
    <n v="-0.91539999999999999"/>
    <s v="Loss"/>
    <s v="High"/>
  </r>
  <r>
    <n v="1228"/>
    <s v="US-2023-152723"/>
    <x v="215"/>
    <d v="2023-09-26T00:00:00"/>
    <s v="Same Day"/>
    <s v="HG-14965"/>
    <s v="Henry Goldwyn"/>
    <x v="2"/>
    <s v="United States"/>
    <s v="Mesquite"/>
    <s v="Texas"/>
    <n v="75150"/>
    <x v="0"/>
    <s v="OFF-BI-10003460"/>
    <x v="0"/>
    <x v="1"/>
    <s v="Acco 3-Hole Punch"/>
    <n v="0.87599999999999978"/>
    <n v="1"/>
    <n v="0.8"/>
    <n v="-1.4016000000000002"/>
    <x v="0"/>
    <x v="8"/>
    <n v="-1.4016000000000002"/>
    <s v="Loss"/>
    <s v="High"/>
  </r>
  <r>
    <n v="1229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  <x v="0"/>
    <x v="8"/>
    <n v="2.775599999999999"/>
    <s v="Profit"/>
    <s v="Low"/>
  </r>
  <r>
    <n v="1230"/>
    <s v="US-2023-132451"/>
    <x v="215"/>
    <d v="2023-09-27T00:00:00"/>
    <s v="First Class"/>
    <s v="KF-16285"/>
    <s v="Karen Ferguson"/>
    <x v="1"/>
    <s v="United States"/>
    <s v="San Diego"/>
    <s v="California"/>
    <n v="92105"/>
    <x v="3"/>
    <s v="OFF-PA-10004888"/>
    <x v="0"/>
    <x v="0"/>
    <s v="Xerox 217"/>
    <n v="19.440000000000001"/>
    <n v="3"/>
    <n v="0"/>
    <n v="9.3312000000000008"/>
    <x v="0"/>
    <x v="8"/>
    <n v="3.1104000000000003"/>
    <s v="Profit"/>
    <s v="No Discount"/>
  </r>
  <r>
    <n v="1231"/>
    <s v="US-2023-127586"/>
    <x v="215"/>
    <d v="2023-09-30T00:00:00"/>
    <s v="Standard Class"/>
    <s v="CS-12400"/>
    <s v="Christopher Schild"/>
    <x v="1"/>
    <s v="United States"/>
    <s v="Seattle"/>
    <s v="Washington"/>
    <n v="98115"/>
    <x v="3"/>
    <s v="OFF-ST-10002615"/>
    <x v="0"/>
    <x v="3"/>
    <s v="Dual Level, Single-Width Filing Carts"/>
    <n v="310.12"/>
    <n v="2"/>
    <n v="0"/>
    <n v="80.631200000000007"/>
    <x v="0"/>
    <x v="8"/>
    <n v="40.315600000000003"/>
    <s v="Profit"/>
    <s v="No Discount"/>
  </r>
  <r>
    <n v="1232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TEC-AC-10002370"/>
    <x v="2"/>
    <x v="9"/>
    <s v="Maxell CD-R Discs"/>
    <n v="3.1520000000000001"/>
    <n v="2"/>
    <n v="0.2"/>
    <n v="0.47279999999999966"/>
    <x v="0"/>
    <x v="8"/>
    <n v="0.23639999999999983"/>
    <s v="Profit"/>
    <s v="Low"/>
  </r>
  <r>
    <n v="1233"/>
    <s v="US-2023-115049"/>
    <x v="215"/>
    <d v="2023-10-01T00:00:00"/>
    <s v="Standard Class"/>
    <s v="MM-17920"/>
    <s v="Michael Moore"/>
    <x v="0"/>
    <s v="United States"/>
    <s v="Chicago"/>
    <s v="Illinois"/>
    <n v="60623"/>
    <x v="0"/>
    <s v="TEC-AC-10004859"/>
    <x v="2"/>
    <x v="9"/>
    <s v="Maxell Pro 80 Minute CD-R, 10/Pack"/>
    <n v="153.82400000000001"/>
    <n v="11"/>
    <n v="0.2"/>
    <n v="38.456000000000003"/>
    <x v="0"/>
    <x v="8"/>
    <n v="3.4960000000000004"/>
    <s v="Profit"/>
    <s v="Low"/>
  </r>
  <r>
    <n v="1234"/>
    <s v="US-2023-133130"/>
    <x v="216"/>
    <d v="2023-10-01T00:00:00"/>
    <s v="Standard Class"/>
    <s v="TH-21100"/>
    <s v="Thea Hendricks"/>
    <x v="0"/>
    <s v="United States"/>
    <s v="San Diego"/>
    <s v="California"/>
    <n v="92037"/>
    <x v="3"/>
    <s v="FUR-CH-10002602"/>
    <x v="1"/>
    <x v="5"/>
    <s v="DMI Arturo Collection Mission-style Design Wood Chair"/>
    <n v="603.91999999999996"/>
    <n v="5"/>
    <n v="0.2"/>
    <n v="45.294000000000011"/>
    <x v="0"/>
    <x v="8"/>
    <n v="9.0588000000000015"/>
    <s v="Profit"/>
    <s v="Low"/>
  </r>
  <r>
    <n v="1235"/>
    <s v="US-2023-120887"/>
    <x v="216"/>
    <d v="2023-10-03T00:00:00"/>
    <s v="Standard Class"/>
    <s v="TS-21205"/>
    <s v="Thomas Seio"/>
    <x v="2"/>
    <s v="United States"/>
    <s v="Hackensack"/>
    <s v="New Jersey"/>
    <n v="7601"/>
    <x v="1"/>
    <s v="FUR-FU-10001588"/>
    <x v="1"/>
    <x v="8"/>
    <s v="Deflect-o SuperTray Unbreakable Stackable Tray, Letter, Black"/>
    <n v="87.539999999999992"/>
    <n v="3"/>
    <n v="0"/>
    <n v="37.642200000000003"/>
    <x v="0"/>
    <x v="8"/>
    <n v="12.547400000000001"/>
    <s v="Profit"/>
    <s v="No Discount"/>
  </r>
  <r>
    <n v="1236"/>
    <s v="US-2023-133130"/>
    <x v="216"/>
    <d v="2023-10-01T00:00:00"/>
    <s v="Standard Class"/>
    <s v="TH-21100"/>
    <s v="Thea Hendricks"/>
    <x v="0"/>
    <s v="United States"/>
    <s v="San Diego"/>
    <s v="California"/>
    <n v="92037"/>
    <x v="3"/>
    <s v="OFF-PA-10000675"/>
    <x v="0"/>
    <x v="0"/>
    <s v="Xerox 1919"/>
    <n v="81.98"/>
    <n v="2"/>
    <n v="0"/>
    <n v="40.170200000000001"/>
    <x v="0"/>
    <x v="8"/>
    <n v="20.085100000000001"/>
    <s v="Profit"/>
    <s v="No Discount"/>
  </r>
  <r>
    <n v="1237"/>
    <s v="US-2023-114335"/>
    <x v="217"/>
    <d v="2023-10-03T00:00:00"/>
    <s v="Standard Class"/>
    <s v="XP-21865"/>
    <s v="Xylona Preis"/>
    <x v="0"/>
    <s v="United States"/>
    <s v="Hollywood"/>
    <s v="Florida"/>
    <n v="33021"/>
    <x v="2"/>
    <s v="FUR-FU-10000277"/>
    <x v="1"/>
    <x v="8"/>
    <s v="Deflect-o DuraMat Antistatic Studded Beveled Mat for Medium Pile Carpeting"/>
    <n v="337.08800000000002"/>
    <n v="4"/>
    <n v="0.2"/>
    <n v="16.854399999999984"/>
    <x v="0"/>
    <x v="8"/>
    <n v="4.213599999999996"/>
    <s v="Profit"/>
    <s v="Low"/>
  </r>
  <r>
    <n v="1238"/>
    <s v="US-2023-125136"/>
    <x v="217"/>
    <d v="2023-10-03T00:00:00"/>
    <s v="Standard Class"/>
    <s v="KD-16495"/>
    <s v="Keith Dawkins"/>
    <x v="2"/>
    <s v="United States"/>
    <s v="Fayetteville"/>
    <s v="North Carolina"/>
    <n v="28314"/>
    <x v="2"/>
    <s v="OFF-PA-10001457"/>
    <x v="0"/>
    <x v="0"/>
    <s v="White GlueTop Scratch Pads"/>
    <n v="96.256"/>
    <n v="8"/>
    <n v="0.2"/>
    <n v="31.283199999999987"/>
    <x v="0"/>
    <x v="8"/>
    <n v="3.9103999999999983"/>
    <s v="Profit"/>
    <s v="Low"/>
  </r>
  <r>
    <n v="1239"/>
    <s v="US-2023-125136"/>
    <x v="217"/>
    <d v="2023-10-03T00:00:00"/>
    <s v="Standard Class"/>
    <s v="KD-16495"/>
    <s v="Keith Dawkins"/>
    <x v="2"/>
    <s v="United States"/>
    <s v="Fayetteville"/>
    <s v="North Carolina"/>
    <n v="28314"/>
    <x v="2"/>
    <s v="OFF-PA-10001804"/>
    <x v="0"/>
    <x v="0"/>
    <s v="Xerox 195"/>
    <n v="10.688000000000001"/>
    <n v="2"/>
    <n v="0.2"/>
    <n v="3.7407999999999997"/>
    <x v="0"/>
    <x v="8"/>
    <n v="1.8703999999999998"/>
    <s v="Profit"/>
    <s v="Low"/>
  </r>
  <r>
    <n v="1240"/>
    <s v="US-2023-107153"/>
    <x v="217"/>
    <d v="2023-10-03T00:00:00"/>
    <s v="Standard Class"/>
    <s v="GZ-14545"/>
    <s v="George Zrebassa"/>
    <x v="2"/>
    <s v="United States"/>
    <s v="Lawrence"/>
    <s v="Massachusetts"/>
    <n v="1841"/>
    <x v="1"/>
    <s v="OFF-ST-10001321"/>
    <x v="0"/>
    <x v="3"/>
    <s v="Decoflex Hanging Personal Folder File, Blue"/>
    <n v="46.26"/>
    <n v="3"/>
    <n v="0"/>
    <n v="12.490200000000003"/>
    <x v="0"/>
    <x v="8"/>
    <n v="4.1634000000000011"/>
    <s v="Profit"/>
    <s v="No Discount"/>
  </r>
  <r>
    <n v="1241"/>
    <s v="CA-2023-107153"/>
    <x v="217"/>
    <d v="2023-10-03T00:00:00"/>
    <s v="Standard Class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10.688000000000001"/>
    <n v="2"/>
    <n v="0.2"/>
    <n v="3.7407999999999997"/>
    <x v="0"/>
    <x v="8"/>
    <n v="1.8703999999999998"/>
    <s v="Profit"/>
    <s v="Low"/>
  </r>
  <r>
    <n v="1242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FUR-FU-10000521"/>
    <x v="1"/>
    <x v="8"/>
    <s v="Seth Thomas 14&quot; Putty-Colored Wall Clock"/>
    <n v="117.36"/>
    <n v="4"/>
    <n v="0"/>
    <n v="36.381599999999992"/>
    <x v="0"/>
    <x v="8"/>
    <n v="9.0953999999999979"/>
    <s v="Profit"/>
    <s v="No Discount"/>
  </r>
  <r>
    <n v="1243"/>
    <s v="US-2023-126683"/>
    <x v="218"/>
    <d v="2023-10-01T00:00:00"/>
    <s v="Second Class"/>
    <s v="PP-18955"/>
    <s v="Paul Prost"/>
    <x v="1"/>
    <s v="United States"/>
    <s v="Seattle"/>
    <s v="Washington"/>
    <n v="98115"/>
    <x v="3"/>
    <s v="FUR-FU-10001706"/>
    <x v="1"/>
    <x v="8"/>
    <s v="Longer-Life Soft White Bulbs"/>
    <n v="6.16"/>
    <n v="2"/>
    <n v="0"/>
    <n v="2.9567999999999999"/>
    <x v="0"/>
    <x v="8"/>
    <n v="1.4783999999999999"/>
    <s v="Profit"/>
    <s v="No Discount"/>
  </r>
  <r>
    <n v="1244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FUR-FU-10004188"/>
    <x v="1"/>
    <x v="8"/>
    <s v="Luxo Professional Combination Clamp-On Lamps"/>
    <n v="204.6"/>
    <n v="2"/>
    <n v="0"/>
    <n v="53.195999999999998"/>
    <x v="0"/>
    <x v="8"/>
    <n v="26.597999999999999"/>
    <s v="Profit"/>
    <s v="No Discount"/>
  </r>
  <r>
    <n v="1245"/>
    <s v="US-2023-126683"/>
    <x v="218"/>
    <d v="2023-10-01T00:00:00"/>
    <s v="Second Class"/>
    <s v="PP-18955"/>
    <s v="Paul Prost"/>
    <x v="1"/>
    <s v="United States"/>
    <s v="Seattle"/>
    <s v="Washington"/>
    <n v="98115"/>
    <x v="3"/>
    <s v="FUR-TA-10002958"/>
    <x v="1"/>
    <x v="13"/>
    <s v="Bevis Oval Conference Table, Walnut"/>
    <n v="2348.8200000000002"/>
    <n v="9"/>
    <n v="0"/>
    <n v="399.29939999999976"/>
    <x v="0"/>
    <x v="8"/>
    <n v="44.366599999999977"/>
    <s v="Profit"/>
    <s v="No Discount"/>
  </r>
  <r>
    <n v="1246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FUR-TA-10004147"/>
    <x v="1"/>
    <x v="13"/>
    <s v="Hon 4060 Series Tables"/>
    <n v="67.175999999999988"/>
    <n v="1"/>
    <n v="0.4"/>
    <n v="-20.152800000000006"/>
    <x v="0"/>
    <x v="8"/>
    <n v="-20.152800000000006"/>
    <s v="Loss"/>
    <s v="Medium"/>
  </r>
  <r>
    <n v="1247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FUR-TA-10004175"/>
    <x v="1"/>
    <x v="13"/>
    <s v="Hon 30&quot; x 60&quot; Table with Locking Drawer"/>
    <n v="409.27199999999999"/>
    <n v="2"/>
    <n v="0.4"/>
    <n v="-81.854399999999998"/>
    <x v="0"/>
    <x v="8"/>
    <n v="-40.927199999999999"/>
    <s v="Loss"/>
    <s v="Medium"/>
  </r>
  <r>
    <n v="1248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AR-10003469"/>
    <x v="0"/>
    <x v="4"/>
    <s v="Nontoxic Chalk"/>
    <n v="4.2240000000000002"/>
    <n v="3"/>
    <n v="0.2"/>
    <n v="1.4783999999999997"/>
    <x v="0"/>
    <x v="8"/>
    <n v="0.4927999999999999"/>
    <s v="Profit"/>
    <s v="Low"/>
  </r>
  <r>
    <n v="1249"/>
    <s v="US-2023-111962"/>
    <x v="218"/>
    <d v="2023-10-04T00:00:00"/>
    <s v="Standard Class"/>
    <s v="EB-14170"/>
    <s v="Evan Bailliet"/>
    <x v="0"/>
    <s v="United States"/>
    <s v="Seattle"/>
    <s v="Washington"/>
    <n v="98115"/>
    <x v="3"/>
    <s v="OFF-BI-10001308"/>
    <x v="0"/>
    <x v="1"/>
    <s v="GBC Standard Plastic Binding Systems' Combs"/>
    <n v="10.048000000000002"/>
    <n v="2"/>
    <n v="0.2"/>
    <n v="3.1399999999999988"/>
    <x v="0"/>
    <x v="8"/>
    <n v="1.5699999999999994"/>
    <s v="Profit"/>
    <s v="Low"/>
  </r>
  <r>
    <n v="1250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FA-10001561"/>
    <x v="0"/>
    <x v="6"/>
    <s v="Stockwell Push Pins"/>
    <n v="8.7200000000000006"/>
    <n v="4"/>
    <n v="0"/>
    <n v="2.8776000000000002"/>
    <x v="0"/>
    <x v="8"/>
    <n v="0.71940000000000004"/>
    <s v="Profit"/>
    <s v="No Discount"/>
  </r>
  <r>
    <n v="1251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LA-10000121"/>
    <x v="0"/>
    <x v="2"/>
    <s v="Avery 48"/>
    <n v="18.899999999999999"/>
    <n v="3"/>
    <n v="0"/>
    <n v="8.6939999999999991"/>
    <x v="0"/>
    <x v="8"/>
    <n v="2.8979999999999997"/>
    <s v="Profit"/>
    <s v="No Discount"/>
  </r>
  <r>
    <n v="1252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LA-10002945"/>
    <x v="0"/>
    <x v="2"/>
    <s v="Permanent Self-Adhesive File Folder Labels for Typewriters, 1 1/8 x 3 1/2, White"/>
    <n v="55.44"/>
    <n v="11"/>
    <n v="0.2"/>
    <n v="18.017999999999997"/>
    <x v="0"/>
    <x v="8"/>
    <n v="1.6379999999999997"/>
    <s v="Profit"/>
    <s v="Low"/>
  </r>
  <r>
    <n v="1253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PA-10000533"/>
    <x v="0"/>
    <x v="0"/>
    <s v="Southworth Parchment Paper &amp; Envelopes"/>
    <n v="20.928000000000001"/>
    <n v="4"/>
    <n v="0.2"/>
    <n v="6.8015999999999996"/>
    <x v="0"/>
    <x v="8"/>
    <n v="1.7003999999999999"/>
    <s v="Profit"/>
    <s v="Low"/>
  </r>
  <r>
    <n v="1254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PA-10001289"/>
    <x v="0"/>
    <x v="0"/>
    <s v="White Computer Printout Paper by Universal"/>
    <n v="77.52"/>
    <n v="2"/>
    <n v="0"/>
    <n v="37.9848"/>
    <x v="0"/>
    <x v="8"/>
    <n v="18.9924"/>
    <s v="Profit"/>
    <s v="No Discount"/>
  </r>
  <r>
    <n v="1255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PA-10002105"/>
    <x v="0"/>
    <x v="0"/>
    <s v="Xerox 223"/>
    <n v="6.48"/>
    <n v="1"/>
    <n v="0"/>
    <n v="3.1104000000000003"/>
    <x v="0"/>
    <x v="8"/>
    <n v="3.1104000000000003"/>
    <s v="Profit"/>
    <s v="No Discount"/>
  </r>
  <r>
    <n v="1256"/>
    <s v="US-2023-111962"/>
    <x v="218"/>
    <d v="2023-10-04T00:00:00"/>
    <s v="Standard Class"/>
    <s v="EB-14170"/>
    <s v="Evan Bailliet"/>
    <x v="0"/>
    <s v="United States"/>
    <s v="Seattle"/>
    <s v="Washington"/>
    <n v="98115"/>
    <x v="3"/>
    <s v="OFF-ST-10000046"/>
    <x v="0"/>
    <x v="3"/>
    <s v="Fellowes Super Stor/Drawer Files"/>
    <n v="807.75"/>
    <n v="5"/>
    <n v="0"/>
    <n v="153.47250000000003"/>
    <x v="0"/>
    <x v="8"/>
    <n v="30.694500000000005"/>
    <s v="Profit"/>
    <s v="No Discount"/>
  </r>
  <r>
    <n v="1257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ST-10002615"/>
    <x v="0"/>
    <x v="3"/>
    <s v="Dual Level, Single-Width Filing Carts"/>
    <n v="1395.54"/>
    <n v="9"/>
    <n v="0"/>
    <n v="362.84040000000005"/>
    <x v="0"/>
    <x v="8"/>
    <n v="40.315600000000003"/>
    <s v="Profit"/>
    <s v="No Discount"/>
  </r>
  <r>
    <n v="1258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ST-10004340"/>
    <x v="0"/>
    <x v="3"/>
    <s v="Fellowes Mobile File Cart, Black"/>
    <n v="62.18"/>
    <n v="1"/>
    <n v="0"/>
    <n v="16.788600000000002"/>
    <x v="0"/>
    <x v="8"/>
    <n v="16.788600000000002"/>
    <s v="Profit"/>
    <s v="No Discount"/>
  </r>
  <r>
    <n v="1259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ST-10004459"/>
    <x v="0"/>
    <x v="3"/>
    <s v="Tennsco Single-Tier Lockers"/>
    <n v="1801.6320000000001"/>
    <n v="6"/>
    <n v="0.2"/>
    <n v="-337.80600000000004"/>
    <x v="0"/>
    <x v="8"/>
    <n v="-56.301000000000009"/>
    <s v="Loss"/>
    <s v="Low"/>
  </r>
  <r>
    <n v="1260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TEC-MA-10004241"/>
    <x v="2"/>
    <x v="15"/>
    <s v="Star Micronics TSP800 TSP847IIU Receipt Printer"/>
    <n v="686.32"/>
    <n v="2"/>
    <n v="0.2"/>
    <n v="223.05399999999995"/>
    <x v="0"/>
    <x v="8"/>
    <n v="111.52699999999997"/>
    <s v="Profit"/>
    <s v="Low"/>
  </r>
  <r>
    <n v="1261"/>
    <s v="US-2023-159478"/>
    <x v="219"/>
    <d v="2023-10-06T00:00:00"/>
    <s v="Standard Class"/>
    <s v="MH-17785"/>
    <s v="Maya Herman"/>
    <x v="2"/>
    <s v="United States"/>
    <s v="New York City"/>
    <s v="New York"/>
    <n v="10035"/>
    <x v="1"/>
    <s v="FUR-FU-10000221"/>
    <x v="1"/>
    <x v="8"/>
    <s v="Master Caster Door Stop, Brown"/>
    <n v="15.24"/>
    <n v="3"/>
    <n v="0"/>
    <n v="5.1815999999999995"/>
    <x v="0"/>
    <x v="8"/>
    <n v="1.7271999999999998"/>
    <s v="Profit"/>
    <s v="No Discount"/>
  </r>
  <r>
    <n v="1262"/>
    <s v="US-2023-140886"/>
    <x v="219"/>
    <d v="2023-10-04T00:00:00"/>
    <s v="Standard Class"/>
    <s v="KW-16570"/>
    <s v="Kelly Williams"/>
    <x v="0"/>
    <s v="United States"/>
    <s v="Clarksville"/>
    <s v="Tennessee"/>
    <n v="37042"/>
    <x v="2"/>
    <s v="OFF-AP-10000696"/>
    <x v="0"/>
    <x v="12"/>
    <s v="Holmes Odor Grabber"/>
    <n v="69.216000000000008"/>
    <n v="6"/>
    <n v="0.2"/>
    <n v="11.247599999999995"/>
    <x v="0"/>
    <x v="8"/>
    <n v="1.8745999999999992"/>
    <s v="Profit"/>
    <s v="Low"/>
  </r>
  <r>
    <n v="1263"/>
    <s v="US-2023-141649"/>
    <x v="219"/>
    <d v="2023-09-30T00:00:00"/>
    <s v="Same Day"/>
    <s v="DM-12955"/>
    <s v="Dario Medina"/>
    <x v="2"/>
    <s v="United States"/>
    <s v="Fairfield"/>
    <s v="Ohio"/>
    <n v="45014"/>
    <x v="1"/>
    <s v="OFF-AP-10003217"/>
    <x v="0"/>
    <x v="12"/>
    <s v="Eureka Sanitaire  Commercial Upright"/>
    <n v="795.40800000000013"/>
    <n v="6"/>
    <n v="0.2"/>
    <n v="59.655599999999993"/>
    <x v="0"/>
    <x v="8"/>
    <n v="9.9425999999999988"/>
    <s v="Profit"/>
    <s v="Low"/>
  </r>
  <r>
    <n v="1264"/>
    <s v="US-2023-137351"/>
    <x v="219"/>
    <d v="2023-10-04T00:00:00"/>
    <s v="Standard Class"/>
    <s v="DB-13615"/>
    <s v="Doug Bickford"/>
    <x v="0"/>
    <s v="United States"/>
    <s v="Seattle"/>
    <s v="Washington"/>
    <n v="98105"/>
    <x v="3"/>
    <s v="OFF-BI-10003910"/>
    <x v="0"/>
    <x v="1"/>
    <s v="DXL Angle-View Binders with Locking Rings by Samsill"/>
    <n v="43.176000000000002"/>
    <n v="7"/>
    <n v="0.2"/>
    <n v="13.4925"/>
    <x v="0"/>
    <x v="8"/>
    <n v="1.9275"/>
    <s v="Profit"/>
    <s v="Low"/>
  </r>
  <r>
    <n v="1265"/>
    <s v="US-2023-102008"/>
    <x v="219"/>
    <d v="2023-10-04T00:00:00"/>
    <s v="Standard Class"/>
    <s v="RA-19915"/>
    <s v="Russell Applegate"/>
    <x v="0"/>
    <s v="United States"/>
    <s v="New York City"/>
    <s v="New York"/>
    <n v="10011"/>
    <x v="1"/>
    <s v="OFF-PA-10004092"/>
    <x v="0"/>
    <x v="0"/>
    <s v="Tops Green Bar Computer Printout Paper"/>
    <n v="48.94"/>
    <n v="1"/>
    <n v="0"/>
    <n v="24.47"/>
    <x v="0"/>
    <x v="8"/>
    <n v="24.47"/>
    <s v="Profit"/>
    <s v="No Discount"/>
  </r>
  <r>
    <n v="1266"/>
    <s v="US-2023-167633"/>
    <x v="219"/>
    <d v="2023-10-05T00:00:00"/>
    <s v="Standard Class"/>
    <s v="BW-11200"/>
    <s v="Ben Wallace"/>
    <x v="0"/>
    <s v="United States"/>
    <s v="Boynton Beach"/>
    <s v="Florida"/>
    <n v="33437"/>
    <x v="2"/>
    <s v="OFF-PA-10004888"/>
    <x v="0"/>
    <x v="0"/>
    <s v="Xerox 217"/>
    <n v="15.552000000000003"/>
    <n v="3"/>
    <n v="0.2"/>
    <n v="5.4432"/>
    <x v="0"/>
    <x v="8"/>
    <n v="1.8144"/>
    <s v="Profit"/>
    <s v="Low"/>
  </r>
  <r>
    <n v="1267"/>
    <s v="US-2023-132745"/>
    <x v="220"/>
    <d v="2023-10-05T00:00:00"/>
    <s v="Standard Class"/>
    <s v="NF-18475"/>
    <s v="Neil Französisch"/>
    <x v="1"/>
    <s v="United States"/>
    <s v="Reno"/>
    <s v="Nevada"/>
    <n v="89502"/>
    <x v="3"/>
    <s v="OFF-FA-10000254"/>
    <x v="0"/>
    <x v="6"/>
    <s v="Sterling Rubber Bands by Alliance"/>
    <n v="4.71"/>
    <n v="1"/>
    <n v="0"/>
    <n v="0"/>
    <x v="0"/>
    <x v="9"/>
    <n v="0"/>
    <s v="Break-even"/>
    <s v="No Discount"/>
  </r>
  <r>
    <n v="1268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EN-10004846"/>
    <x v="0"/>
    <x v="11"/>
    <s v="Letter or Legal Size Expandable Poly String Tie Envelopes"/>
    <n v="12.768000000000001"/>
    <n v="6"/>
    <n v="0.2"/>
    <n v="4.628400000000001"/>
    <x v="0"/>
    <x v="9"/>
    <n v="0.7714000000000002"/>
    <s v="Profit"/>
    <s v="Low"/>
  </r>
  <r>
    <n v="1269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FA-10000735"/>
    <x v="0"/>
    <x v="6"/>
    <s v="Staples"/>
    <n v="4.6719999999999997"/>
    <n v="2"/>
    <n v="0.2"/>
    <n v="1.4599999999999997"/>
    <x v="0"/>
    <x v="9"/>
    <n v="0.72999999999999987"/>
    <s v="Profit"/>
    <s v="Low"/>
  </r>
  <r>
    <n v="1270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3999999999997"/>
    <x v="0"/>
    <x v="9"/>
    <n v="1.7051999999999998"/>
    <s v="Profit"/>
    <s v="Low"/>
  </r>
  <r>
    <n v="1271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SU-10003567"/>
    <x v="0"/>
    <x v="14"/>
    <s v="Stiletto Hand Letter Openers"/>
    <n v="15.36"/>
    <n v="2"/>
    <n v="0.2"/>
    <n v="-3.2639999999999993"/>
    <x v="0"/>
    <x v="9"/>
    <n v="-1.6319999999999997"/>
    <s v="Loss"/>
    <s v="Low"/>
  </r>
  <r>
    <n v="1272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AC-10003038"/>
    <x v="2"/>
    <x v="9"/>
    <s v="Kingston Digital DataTraveler 16GB USB 2.0"/>
    <n v="7.16"/>
    <n v="1"/>
    <n v="0.2"/>
    <n v="-8.9500000000001023E-2"/>
    <x v="0"/>
    <x v="9"/>
    <n v="-8.9500000000001023E-2"/>
    <s v="Loss"/>
    <s v="Low"/>
  </r>
  <r>
    <n v="1273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PH-10001557"/>
    <x v="2"/>
    <x v="7"/>
    <s v="Pyle PMP37LED"/>
    <n v="230.376"/>
    <n v="3"/>
    <n v="0.2"/>
    <n v="20.157899999999991"/>
    <x v="0"/>
    <x v="9"/>
    <n v="6.7192999999999969"/>
    <s v="Profit"/>
    <s v="Low"/>
  </r>
  <r>
    <n v="1274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PH-10001760"/>
    <x v="2"/>
    <x v="7"/>
    <s v="Bose SoundLink Bluetooth Speaker"/>
    <n v="318.40000000000003"/>
    <n v="2"/>
    <n v="0.2"/>
    <n v="107.46"/>
    <x v="0"/>
    <x v="9"/>
    <n v="53.73"/>
    <s v="Profit"/>
    <s v="Low"/>
  </r>
  <r>
    <n v="1275"/>
    <s v="US-2023-157882"/>
    <x v="222"/>
    <d v="2023-10-08T00:00:00"/>
    <s v="Second Class"/>
    <s v="AR-10405"/>
    <s v="Allen Rosenblatt"/>
    <x v="2"/>
    <s v="United States"/>
    <s v="Los Angeles"/>
    <s v="California"/>
    <n v="90036"/>
    <x v="3"/>
    <s v="FUR-CH-10002774"/>
    <x v="1"/>
    <x v="5"/>
    <s v="Global Deluxe Stacking Chair, Gray"/>
    <n v="122.352"/>
    <n v="3"/>
    <n v="0.2"/>
    <n v="13.764599999999994"/>
    <x v="0"/>
    <x v="9"/>
    <n v="4.5881999999999978"/>
    <s v="Profit"/>
    <s v="Low"/>
  </r>
  <r>
    <n v="1276"/>
    <s v="US-2023-153976"/>
    <x v="222"/>
    <d v="2023-10-08T00:00:00"/>
    <s v="Second Class"/>
    <s v="BP-11290"/>
    <s v="Beth Paige"/>
    <x v="0"/>
    <s v="United States"/>
    <s v="Evanston"/>
    <s v="Illinois"/>
    <n v="60201"/>
    <x v="0"/>
    <s v="FUR-CH-10002880"/>
    <x v="1"/>
    <x v="5"/>
    <s v="Global High-Back Leather Tilter, Burgundy"/>
    <n v="258.279"/>
    <n v="3"/>
    <n v="0.3"/>
    <n v="-70.104300000000023"/>
    <x v="0"/>
    <x v="9"/>
    <n v="-23.368100000000009"/>
    <s v="Loss"/>
    <s v="Medium"/>
  </r>
  <r>
    <n v="1277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FUR-FU-10000758"/>
    <x v="1"/>
    <x v="8"/>
    <s v="DAX Natural Wood-Tone Poster Frame"/>
    <n v="31.776000000000003"/>
    <n v="3"/>
    <n v="0.6"/>
    <n v="-19.065600000000007"/>
    <x v="0"/>
    <x v="9"/>
    <n v="-6.3552000000000026"/>
    <s v="Loss"/>
    <s v="High"/>
  </r>
  <r>
    <n v="1278"/>
    <s v="US-2023-157882"/>
    <x v="222"/>
    <d v="2023-10-08T00:00:00"/>
    <s v="Second Class"/>
    <s v="AR-10405"/>
    <s v="Allen Rosenblatt"/>
    <x v="2"/>
    <s v="United States"/>
    <s v="Los Angeles"/>
    <s v="California"/>
    <n v="90036"/>
    <x v="3"/>
    <s v="FUR-TA-10001866"/>
    <x v="1"/>
    <x v="13"/>
    <s v="Bevis Round Conference Room Tables and Bases"/>
    <n v="143.43199999999999"/>
    <n v="1"/>
    <n v="0.2"/>
    <n v="3.5857999999999848"/>
    <x v="0"/>
    <x v="9"/>
    <n v="3.5857999999999848"/>
    <s v="Profit"/>
    <s v="Low"/>
  </r>
  <r>
    <n v="1279"/>
    <s v="US-2023-155817"/>
    <x v="222"/>
    <d v="2023-10-09T00:00:00"/>
    <s v="Standard Class"/>
    <s v="SL-20155"/>
    <s v="Sara Luxemburg"/>
    <x v="1"/>
    <s v="United States"/>
    <s v="Durham"/>
    <s v="North Carolina"/>
    <n v="27707"/>
    <x v="2"/>
    <s v="OFF-AR-10002335"/>
    <x v="0"/>
    <x v="4"/>
    <s v="DIXON Oriole Pencils"/>
    <n v="6.1920000000000002"/>
    <n v="3"/>
    <n v="0.2"/>
    <n v="0.46440000000000037"/>
    <x v="0"/>
    <x v="9"/>
    <n v="0.15480000000000013"/>
    <s v="Profit"/>
    <s v="Low"/>
  </r>
  <r>
    <n v="1280"/>
    <s v="US-2023-108903"/>
    <x v="222"/>
    <d v="2023-10-03T00:00:00"/>
    <s v="Same Day"/>
    <s v="DO-13435"/>
    <s v="Denny Ordway"/>
    <x v="0"/>
    <s v="United States"/>
    <s v="Columbus"/>
    <s v="Ohio"/>
    <n v="43229"/>
    <x v="1"/>
    <s v="OFF-AR-10004010"/>
    <x v="0"/>
    <x v="4"/>
    <s v="Hunt Boston Vacuum Mount KS Pencil Sharpener"/>
    <n v="55.984000000000009"/>
    <n v="2"/>
    <n v="0.2"/>
    <n v="4.1987999999999985"/>
    <x v="0"/>
    <x v="9"/>
    <n v="2.0993999999999993"/>
    <s v="Profit"/>
    <s v="Low"/>
  </r>
  <r>
    <n v="1281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BI-10002609"/>
    <x v="0"/>
    <x v="1"/>
    <s v="Avery Hidden Tab Dividers for Binding Systems"/>
    <n v="1.7879999999999996"/>
    <n v="3"/>
    <n v="0.8"/>
    <n v="-3.0396000000000001"/>
    <x v="0"/>
    <x v="9"/>
    <n v="-1.0132000000000001"/>
    <s v="Loss"/>
    <s v="High"/>
  </r>
  <r>
    <n v="1282"/>
    <s v="US-2023-108903"/>
    <x v="222"/>
    <d v="2023-10-03T00:00:00"/>
    <s v="Same Day"/>
    <s v="DO-13435"/>
    <s v="Denny Ordway"/>
    <x v="0"/>
    <s v="United States"/>
    <s v="Columbus"/>
    <s v="Ohio"/>
    <n v="43229"/>
    <x v="1"/>
    <s v="OFF-EN-10004030"/>
    <x v="0"/>
    <x v="11"/>
    <s v="Convenience Packs of Business Envelopes"/>
    <n v="14.480000000000002"/>
    <n v="5"/>
    <n v="0.2"/>
    <n v="4.8869999999999987"/>
    <x v="0"/>
    <x v="9"/>
    <n v="0.97739999999999971"/>
    <s v="Profit"/>
    <s v="Low"/>
  </r>
  <r>
    <n v="1283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FA-10000254"/>
    <x v="0"/>
    <x v="6"/>
    <s v="Sterling Rubber Bands by Alliance"/>
    <n v="15.072000000000001"/>
    <n v="4"/>
    <n v="0.2"/>
    <n v="-3.7680000000000002"/>
    <x v="0"/>
    <x v="9"/>
    <n v="-0.94200000000000006"/>
    <s v="Loss"/>
    <s v="Low"/>
  </r>
  <r>
    <n v="1284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FA-10002676"/>
    <x v="0"/>
    <x v="6"/>
    <s v="Colored Push Pins"/>
    <n v="4.3440000000000003"/>
    <n v="3"/>
    <n v="0.2"/>
    <n v="0.86879999999999979"/>
    <x v="0"/>
    <x v="9"/>
    <n v="0.28959999999999991"/>
    <s v="Profit"/>
    <s v="Low"/>
  </r>
  <r>
    <n v="1285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LA-10002271"/>
    <x v="0"/>
    <x v="2"/>
    <s v="Smead Alpha-Z Color-Coded Second Alphabetical Labels and Starter Set"/>
    <n v="4.9280000000000008"/>
    <n v="2"/>
    <n v="0.2"/>
    <n v="1.7247999999999997"/>
    <x v="0"/>
    <x v="9"/>
    <n v="0.86239999999999983"/>
    <s v="Profit"/>
    <s v="Low"/>
  </r>
  <r>
    <n v="1286"/>
    <s v="US-2023-155817"/>
    <x v="222"/>
    <d v="2023-10-09T00:00:00"/>
    <s v="Standard Class"/>
    <s v="SL-20155"/>
    <s v="Sara Luxemburg"/>
    <x v="1"/>
    <s v="United States"/>
    <s v="Durham"/>
    <s v="North Carolina"/>
    <n v="27707"/>
    <x v="2"/>
    <s v="OFF-ST-10000532"/>
    <x v="0"/>
    <x v="3"/>
    <s v="Advantus Rolling Drawer Organizers"/>
    <n v="61.567999999999998"/>
    <n v="2"/>
    <n v="0.2"/>
    <n v="4.6175999999999995"/>
    <x v="0"/>
    <x v="9"/>
    <n v="2.3087999999999997"/>
    <s v="Profit"/>
    <s v="Low"/>
  </r>
  <r>
    <n v="1287"/>
    <s v="US-2023-108903"/>
    <x v="222"/>
    <d v="2023-10-03T00:00:00"/>
    <s v="Same Day"/>
    <s v="DO-13435"/>
    <s v="Denny Ordway"/>
    <x v="0"/>
    <s v="United States"/>
    <s v="Columbus"/>
    <s v="Ohio"/>
    <n v="43229"/>
    <x v="1"/>
    <s v="TEC-AC-10003023"/>
    <x v="2"/>
    <x v="9"/>
    <s v="Logitech G105 Gaming Keyboard"/>
    <n v="142.488"/>
    <n v="3"/>
    <n v="0.2"/>
    <n v="-3.5622000000000043"/>
    <x v="0"/>
    <x v="9"/>
    <n v="-1.1874000000000013"/>
    <s v="Loss"/>
    <s v="Low"/>
  </r>
  <r>
    <n v="1288"/>
    <s v="US-2023-166891"/>
    <x v="223"/>
    <d v="2023-10-06T00:00:00"/>
    <s v="First Class"/>
    <s v="CC-12220"/>
    <s v="Chris Cortes"/>
    <x v="0"/>
    <s v="United States"/>
    <s v="New York City"/>
    <s v="New York"/>
    <n v="10024"/>
    <x v="1"/>
    <s v="FUR-CH-10003298"/>
    <x v="1"/>
    <x v="5"/>
    <s v="Office Star - Contemporary Task Swivel chair with Loop Arms, Charcoal"/>
    <n v="589.41"/>
    <n v="5"/>
    <n v="0.1"/>
    <n v="-6.5490000000000492"/>
    <x v="0"/>
    <x v="9"/>
    <n v="-1.3098000000000098"/>
    <s v="Loss"/>
    <s v="Low"/>
  </r>
  <r>
    <n v="1289"/>
    <s v="US-2023-153479"/>
    <x v="223"/>
    <d v="2023-10-08T00:00:00"/>
    <s v="Standard Class"/>
    <s v="DF-13135"/>
    <s v="David Flashing"/>
    <x v="0"/>
    <s v="United States"/>
    <s v="Vallejo"/>
    <s v="California"/>
    <n v="94591"/>
    <x v="3"/>
    <s v="OFF-BI-10002867"/>
    <x v="0"/>
    <x v="1"/>
    <s v="GBC Recycled Regency Composition Covers"/>
    <n v="95.64800000000001"/>
    <n v="2"/>
    <n v="0.2"/>
    <n v="31.085599999999989"/>
    <x v="0"/>
    <x v="9"/>
    <n v="15.542799999999994"/>
    <s v="Profit"/>
    <s v="Low"/>
  </r>
  <r>
    <n v="1290"/>
    <s v="US-2023-102085"/>
    <x v="223"/>
    <d v="2023-10-09T00:00:00"/>
    <s v="Standard Class"/>
    <s v="JD-16015"/>
    <s v="Joy Daniels"/>
    <x v="0"/>
    <s v="United States"/>
    <s v="Seattle"/>
    <s v="Washington"/>
    <n v="98115"/>
    <x v="3"/>
    <s v="OFF-LA-10002475"/>
    <x v="0"/>
    <x v="2"/>
    <s v="Avery 519"/>
    <n v="29.24"/>
    <n v="4"/>
    <n v="0"/>
    <n v="13.742799999999999"/>
    <x v="0"/>
    <x v="9"/>
    <n v="3.4356999999999998"/>
    <s v="Profit"/>
    <s v="No Discount"/>
  </r>
  <r>
    <n v="1291"/>
    <s v="US-2023-153479"/>
    <x v="223"/>
    <d v="2023-10-08T00:00:00"/>
    <s v="Standard Class"/>
    <s v="DF-13135"/>
    <s v="David Flashing"/>
    <x v="0"/>
    <s v="United States"/>
    <s v="Vallejo"/>
    <s v="California"/>
    <n v="94591"/>
    <x v="3"/>
    <s v="OFF-LA-10004689"/>
    <x v="0"/>
    <x v="2"/>
    <s v="Avery 512"/>
    <n v="14.450000000000001"/>
    <n v="5"/>
    <n v="0"/>
    <n v="6.7915000000000001"/>
    <x v="0"/>
    <x v="9"/>
    <n v="1.3583000000000001"/>
    <s v="Profit"/>
    <s v="No Discount"/>
  </r>
  <r>
    <n v="1292"/>
    <s v="US-2023-152422"/>
    <x v="224"/>
    <d v="2023-10-10T00:00:00"/>
    <s v="Second Class"/>
    <s v="BD-11635"/>
    <s v="Brian Derr"/>
    <x v="0"/>
    <s v="United States"/>
    <s v="Columbus"/>
    <s v="Ohio"/>
    <n v="43229"/>
    <x v="1"/>
    <s v="OFF-AP-10002892"/>
    <x v="0"/>
    <x v="12"/>
    <s v="Belkin F5C206VTEL 6 Outlet Surge"/>
    <n v="91.92"/>
    <n v="5"/>
    <n v="0.2"/>
    <n v="11.489999999999991"/>
    <x v="0"/>
    <x v="9"/>
    <n v="2.2979999999999983"/>
    <s v="Profit"/>
    <s v="Low"/>
  </r>
  <r>
    <n v="1293"/>
    <s v="US-2023-152233"/>
    <x v="224"/>
    <d v="2023-10-06T00:00:00"/>
    <s v="First Class"/>
    <s v="KH-16510"/>
    <s v="Keith Herrera"/>
    <x v="0"/>
    <s v="United States"/>
    <s v="Pomona"/>
    <s v="California"/>
    <n v="91767"/>
    <x v="3"/>
    <s v="TEC-AC-10002800"/>
    <x v="2"/>
    <x v="9"/>
    <s v="Plantronics Audio 478 Stereo USB Headset"/>
    <n v="99.98"/>
    <n v="2"/>
    <n v="0"/>
    <n v="34.992999999999995"/>
    <x v="0"/>
    <x v="9"/>
    <n v="17.496499999999997"/>
    <s v="Profit"/>
    <s v="No Discount"/>
  </r>
  <r>
    <n v="1294"/>
    <s v="CA-2023-131807"/>
    <x v="224"/>
    <d v="2023-10-10T00:00:00"/>
    <s v="Standard Class"/>
    <s v="GG-14650"/>
    <s v="Greg Guthrie"/>
    <x v="2"/>
    <s v="Canada"/>
    <s v="Calgary"/>
    <s v="Alberta"/>
    <s v="T1Y"/>
    <x v="3"/>
    <s v="FUR-CH-10001190"/>
    <x v="1"/>
    <x v="5"/>
    <s v="Global Deluxe High-Back Office Chair in Storm"/>
    <n v="435.17"/>
    <n v="4"/>
    <n v="0.2"/>
    <n v="-59.84"/>
    <x v="0"/>
    <x v="9"/>
    <n v="-14.96"/>
    <s v="Loss"/>
    <s v="Low"/>
  </r>
  <r>
    <n v="1295"/>
    <s v="CA-2023-131807"/>
    <x v="224"/>
    <d v="2023-10-10T00:00:00"/>
    <s v="Standard Class"/>
    <s v="GG-14650"/>
    <s v="Greg Guthrie"/>
    <x v="2"/>
    <s v="Canada"/>
    <s v="Edmonton"/>
    <s v="Alberta"/>
    <s v="T5A"/>
    <x v="3"/>
    <s v="FUR-FU-10004666"/>
    <x v="1"/>
    <x v="8"/>
    <s v="DAX Clear Channel Poster Frame"/>
    <n v="72.900000000000006"/>
    <n v="5"/>
    <n v="0"/>
    <n v="26.97"/>
    <x v="0"/>
    <x v="9"/>
    <n v="5.3940000000000001"/>
    <s v="Profit"/>
    <s v="No Discount"/>
  </r>
  <r>
    <n v="1296"/>
    <s v="CA-2023-131807"/>
    <x v="224"/>
    <d v="2023-10-10T00:00:00"/>
    <s v="Standard Class"/>
    <s v="GG-14650"/>
    <s v="Greg Guthrie"/>
    <x v="2"/>
    <s v="Canada"/>
    <s v="Edmonton"/>
    <s v="Alberta"/>
    <s v="T5A"/>
    <x v="3"/>
    <s v="FUR-TA-10004086"/>
    <x v="1"/>
    <x v="13"/>
    <s v="KI Adjustable-Height Table"/>
    <n v="206.35"/>
    <n v="3"/>
    <n v="0.2"/>
    <n v="5.16"/>
    <x v="0"/>
    <x v="9"/>
    <n v="1.72"/>
    <s v="Profit"/>
    <s v="Low"/>
  </r>
  <r>
    <n v="1297"/>
    <s v="CA-2023-131807"/>
    <x v="224"/>
    <d v="2023-10-10T00:00:00"/>
    <s v="Standard Class"/>
    <s v="GG-14650"/>
    <s v="Greg Guthrie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15.8"/>
    <n v="4"/>
    <n v="0"/>
    <n v="4.1100000000000003"/>
    <x v="0"/>
    <x v="9"/>
    <n v="1.0275000000000001"/>
    <s v="Profit"/>
    <s v="No Discount"/>
  </r>
  <r>
    <n v="1298"/>
    <s v="CA-2023-131807"/>
    <x v="224"/>
    <d v="2023-10-10T00:00:00"/>
    <s v="Standard Class"/>
    <s v="GG-14650"/>
    <s v="Greg Guthrie"/>
    <x v="2"/>
    <s v="Canada"/>
    <s v="Calgary"/>
    <s v="Alberta"/>
    <s v="T1Y"/>
    <x v="3"/>
    <s v="OFF-FA-10002780"/>
    <x v="0"/>
    <x v="6"/>
    <s v="Staples"/>
    <n v="14.9"/>
    <n v="5"/>
    <n v="0"/>
    <n v="6.85"/>
    <x v="0"/>
    <x v="9"/>
    <n v="1.3699999999999999"/>
    <s v="Profit"/>
    <s v="No Discount"/>
  </r>
  <r>
    <n v="1299"/>
    <s v="CA-2023-131807"/>
    <x v="224"/>
    <d v="2023-10-10T00:00:00"/>
    <s v="Standard Class"/>
    <s v="GG-14650"/>
    <s v="Greg Guthrie"/>
    <x v="2"/>
    <s v="Canada"/>
    <s v="Edmonton"/>
    <s v="Alberta"/>
    <s v="T5A"/>
    <x v="3"/>
    <s v="TEC-PH-10000702"/>
    <x v="2"/>
    <x v="7"/>
    <s v="Square Credit Card Reader, 4 1/2&quot; x 4 1/2&quot; x 1&quot;, White"/>
    <n v="7.99"/>
    <n v="1"/>
    <n v="0.2"/>
    <n v="2.7"/>
    <x v="0"/>
    <x v="9"/>
    <n v="2.7"/>
    <s v="Profit"/>
    <s v="Low"/>
  </r>
  <r>
    <n v="1300"/>
    <s v="US-2023-132542"/>
    <x v="225"/>
    <d v="2023-10-08T00:00:00"/>
    <s v="Second Class"/>
    <s v="AM-10360"/>
    <s v="Alice McCarthy"/>
    <x v="2"/>
    <s v="United States"/>
    <s v="Omaha"/>
    <s v="Nebraska"/>
    <n v="68104"/>
    <x v="0"/>
    <s v="OFF-BI-10004099"/>
    <x v="0"/>
    <x v="1"/>
    <s v="GBC VeloBinder Strips"/>
    <n v="15.36"/>
    <n v="2"/>
    <n v="0"/>
    <n v="7.68"/>
    <x v="0"/>
    <x v="9"/>
    <n v="3.84"/>
    <s v="Profit"/>
    <s v="No Discount"/>
  </r>
  <r>
    <n v="1301"/>
    <s v="US-2023-110611"/>
    <x v="225"/>
    <d v="2023-10-13T00:00:00"/>
    <s v="Standard Class"/>
    <s v="JD-16015"/>
    <s v="Joy Daniels"/>
    <x v="0"/>
    <s v="United States"/>
    <s v="Philadelphia"/>
    <s v="Pennsylvania"/>
    <n v="19120"/>
    <x v="1"/>
    <s v="OFF-ST-10000642"/>
    <x v="0"/>
    <x v="3"/>
    <s v="Tennsco Lockers, Gray"/>
    <n v="83.920000000000016"/>
    <n v="5"/>
    <n v="0.2"/>
    <n v="-13.637000000000011"/>
    <x v="0"/>
    <x v="9"/>
    <n v="-2.727400000000002"/>
    <s v="Loss"/>
    <s v="Low"/>
  </r>
  <r>
    <n v="1302"/>
    <s v="US-2023-109680"/>
    <x v="225"/>
    <d v="2023-10-09T00:00:00"/>
    <s v="First Class"/>
    <s v="VP-21760"/>
    <s v="Victoria Pisteka"/>
    <x v="2"/>
    <s v="United States"/>
    <s v="Indianapolis"/>
    <s v="Indiana"/>
    <n v="46203"/>
    <x v="0"/>
    <s v="OFF-ST-10001932"/>
    <x v="0"/>
    <x v="3"/>
    <s v="Fellowes Staxonsteel Drawer Files"/>
    <n v="386.34"/>
    <n v="2"/>
    <n v="0"/>
    <n v="54.087600000000009"/>
    <x v="0"/>
    <x v="9"/>
    <n v="27.043800000000005"/>
    <s v="Profit"/>
    <s v="No Discount"/>
  </r>
  <r>
    <n v="1303"/>
    <s v="US-2023-134677"/>
    <x v="225"/>
    <d v="2023-10-10T00:00:00"/>
    <s v="Standard Class"/>
    <s v="XP-21865"/>
    <s v="Xylona Preis"/>
    <x v="0"/>
    <s v="United States"/>
    <s v="San Diego"/>
    <s v="California"/>
    <n v="92024"/>
    <x v="3"/>
    <s v="TEC-AC-10001445"/>
    <x v="2"/>
    <x v="9"/>
    <s v="Imation USB 2.0 Swivel Flash Drive USB flash drive - 4 GB - Pink"/>
    <n v="9.09"/>
    <n v="3"/>
    <n v="0"/>
    <n v="1.9088999999999996"/>
    <x v="0"/>
    <x v="9"/>
    <n v="0.63629999999999987"/>
    <s v="Profit"/>
    <s v="No Discount"/>
  </r>
  <r>
    <n v="1304"/>
    <s v="US-2023-117429"/>
    <x v="226"/>
    <d v="2023-10-13T00:00:00"/>
    <s v="Standard Class"/>
    <s v="MR-17545"/>
    <s v="Mathew Reese"/>
    <x v="1"/>
    <s v="United States"/>
    <s v="Philadelphia"/>
    <s v="Pennsylvania"/>
    <n v="19140"/>
    <x v="1"/>
    <s v="FUR-FU-10000222"/>
    <x v="1"/>
    <x v="8"/>
    <s v="Seth Thomas 16&quot; Steel Case Clock"/>
    <n v="129.91999999999999"/>
    <n v="5"/>
    <n v="0.2"/>
    <n v="21.112000000000002"/>
    <x v="0"/>
    <x v="9"/>
    <n v="4.2224000000000004"/>
    <s v="Profit"/>
    <s v="Low"/>
  </r>
  <r>
    <n v="1305"/>
    <s v="US-2023-132801"/>
    <x v="226"/>
    <d v="2023-10-12T00:00:00"/>
    <s v="Standard Class"/>
    <s v="JG-15805"/>
    <s v="John Grady"/>
    <x v="2"/>
    <s v="United States"/>
    <s v="Dallas"/>
    <s v="Texas"/>
    <n v="75217"/>
    <x v="0"/>
    <s v="OFF-ST-10001228"/>
    <x v="0"/>
    <x v="3"/>
    <s v="Fellowes Personal Hanging Folder Files, Navy"/>
    <n v="107.44"/>
    <n v="10"/>
    <n v="0.2"/>
    <n v="10.744000000000007"/>
    <x v="0"/>
    <x v="9"/>
    <n v="1.0744000000000007"/>
    <s v="Profit"/>
    <s v="Low"/>
  </r>
  <r>
    <n v="1306"/>
    <s v="US-2023-119977"/>
    <x v="227"/>
    <d v="2023-10-13T00:00:00"/>
    <s v="Second Class"/>
    <s v="DN-13690"/>
    <s v="Duane Noonan"/>
    <x v="0"/>
    <s v="United States"/>
    <s v="New York City"/>
    <s v="New York"/>
    <n v="10011"/>
    <x v="1"/>
    <s v="OFF-PA-10003823"/>
    <x v="0"/>
    <x v="0"/>
    <s v="Xerox 197"/>
    <n v="123.92"/>
    <n v="4"/>
    <n v="0"/>
    <n v="55.763999999999996"/>
    <x v="0"/>
    <x v="9"/>
    <n v="13.940999999999999"/>
    <s v="Profit"/>
    <s v="No Discount"/>
  </r>
  <r>
    <n v="1307"/>
    <s v="US-2023-142951"/>
    <x v="227"/>
    <d v="2023-10-08T00:00:00"/>
    <s v="Same Day"/>
    <s v="JG-15115"/>
    <s v="Jack Garza"/>
    <x v="0"/>
    <s v="United States"/>
    <s v="Charlotte"/>
    <s v="North Carolina"/>
    <n v="28205"/>
    <x v="2"/>
    <s v="TEC-AC-10002331"/>
    <x v="2"/>
    <x v="9"/>
    <s v="Maxell 74 Minute CDR, 10/Pack"/>
    <n v="23.472000000000001"/>
    <n v="3"/>
    <n v="0.2"/>
    <n v="4.9877999999999982"/>
    <x v="0"/>
    <x v="9"/>
    <n v="1.6625999999999994"/>
    <s v="Profit"/>
    <s v="Low"/>
  </r>
  <r>
    <n v="1308"/>
    <s v="US-2023-138240"/>
    <x v="228"/>
    <d v="2023-10-14T00:00:00"/>
    <s v="Standard Class"/>
    <s v="SJ-20500"/>
    <s v="Shirley Jackson"/>
    <x v="0"/>
    <s v="United States"/>
    <s v="San Francisco"/>
    <s v="California"/>
    <n v="94122"/>
    <x v="3"/>
    <s v="OFF-AR-10002135"/>
    <x v="0"/>
    <x v="4"/>
    <s v="Boston Heavy-Duty Trimline Electric Pencil Sharpeners"/>
    <n v="144.60000000000002"/>
    <n v="3"/>
    <n v="0"/>
    <n v="41.933999999999983"/>
    <x v="0"/>
    <x v="9"/>
    <n v="13.977999999999994"/>
    <s v="Profit"/>
    <s v="No Discount"/>
  </r>
  <r>
    <n v="1309"/>
    <s v="US-2023-137911"/>
    <x v="228"/>
    <d v="2023-10-15T00:00:00"/>
    <s v="Standard Class"/>
    <s v="BP-11095"/>
    <s v="Bart Pistole"/>
    <x v="2"/>
    <s v="United States"/>
    <s v="Jacksonville"/>
    <s v="North Carolina"/>
    <n v="28540"/>
    <x v="2"/>
    <s v="OFF-PA-10004071"/>
    <x v="0"/>
    <x v="0"/>
    <s v="Eaton Premium Continuous-Feed Paper, 25% Cotton, Letter Size, White, 1000 Shts/Box"/>
    <n v="88.768000000000001"/>
    <n v="2"/>
    <n v="0.2"/>
    <n v="31.068799999999996"/>
    <x v="0"/>
    <x v="9"/>
    <n v="15.534399999999998"/>
    <s v="Profit"/>
    <s v="Low"/>
  </r>
  <r>
    <n v="1310"/>
    <s v="US-2023-138240"/>
    <x v="228"/>
    <d v="2023-10-14T00:00:00"/>
    <s v="Standard Class"/>
    <s v="SJ-20500"/>
    <s v="Shirley Jackson"/>
    <x v="0"/>
    <s v="United States"/>
    <s v="San Francisco"/>
    <s v="California"/>
    <n v="94122"/>
    <x v="3"/>
    <s v="TEC-PH-10002583"/>
    <x v="2"/>
    <x v="7"/>
    <s v="iOttie HLCRIO102 Car Mount"/>
    <n v="15.991999999999999"/>
    <n v="1"/>
    <n v="0.2"/>
    <n v="-2.9985000000000022"/>
    <x v="0"/>
    <x v="9"/>
    <n v="-2.9985000000000022"/>
    <s v="Loss"/>
    <s v="Low"/>
  </r>
  <r>
    <n v="1311"/>
    <s v="US-2023-140403"/>
    <x v="229"/>
    <d v="2023-10-10T00:00:00"/>
    <s v="Same Day"/>
    <s v="TN-21040"/>
    <s v="Tanja Norvell"/>
    <x v="1"/>
    <s v="United States"/>
    <s v="Manteca"/>
    <s v="California"/>
    <n v="95336"/>
    <x v="3"/>
    <s v="FUR-CH-10002774"/>
    <x v="1"/>
    <x v="5"/>
    <s v="Global Deluxe Stacking Chair, Gray"/>
    <n v="122.352"/>
    <n v="3"/>
    <n v="0.2"/>
    <n v="13.764599999999994"/>
    <x v="0"/>
    <x v="9"/>
    <n v="4.5881999999999978"/>
    <s v="Profit"/>
    <s v="Low"/>
  </r>
  <r>
    <n v="1312"/>
    <s v="US-2023-150329"/>
    <x v="229"/>
    <d v="2023-10-14T00:00:00"/>
    <s v="Standard Class"/>
    <s v="SD-20485"/>
    <s v="Shirley Daniels"/>
    <x v="1"/>
    <s v="United States"/>
    <s v="Phoenix"/>
    <s v="Arizona"/>
    <n v="85023"/>
    <x v="3"/>
    <s v="FUR-FU-10003724"/>
    <x v="1"/>
    <x v="8"/>
    <s v="Westinghouse Clip-On Gooseneck Lamps"/>
    <n v="46.872"/>
    <n v="7"/>
    <n v="0.2"/>
    <n v="3.5153999999999979"/>
    <x v="0"/>
    <x v="9"/>
    <n v="0.50219999999999965"/>
    <s v="Profit"/>
    <s v="Low"/>
  </r>
  <r>
    <n v="1313"/>
    <s v="US-2023-134054"/>
    <x v="229"/>
    <d v="2023-10-10T00:00:00"/>
    <s v="Same Day"/>
    <s v="FC-14335"/>
    <s v="Fred Chung"/>
    <x v="2"/>
    <s v="United States"/>
    <s v="Albuquerque"/>
    <s v="New Mexico"/>
    <n v="87105"/>
    <x v="3"/>
    <s v="OFF-AR-10000937"/>
    <x v="0"/>
    <x v="4"/>
    <s v="Dixon Ticonderoga Core-Lock Colored Pencils, 48-Color Set"/>
    <n v="255.84999999999997"/>
    <n v="7"/>
    <n v="0"/>
    <n v="112.57400000000001"/>
    <x v="0"/>
    <x v="9"/>
    <n v="16.082000000000001"/>
    <s v="Profit"/>
    <s v="No Discount"/>
  </r>
  <r>
    <n v="1314"/>
    <s v="US-2023-105137"/>
    <x v="229"/>
    <d v="2023-10-10T00:00:00"/>
    <s v="Same Day"/>
    <s v="RB-19435"/>
    <s v="Richard Bierner"/>
    <x v="0"/>
    <s v="United States"/>
    <s v="Columbus"/>
    <s v="Ohio"/>
    <n v="43229"/>
    <x v="1"/>
    <s v="OFF-BI-10002429"/>
    <x v="0"/>
    <x v="1"/>
    <s v="Premier Elliptical Ring Binder, Black"/>
    <n v="18.264000000000003"/>
    <n v="2"/>
    <n v="0.7"/>
    <n v="-13.393599999999999"/>
    <x v="0"/>
    <x v="9"/>
    <n v="-6.6967999999999996"/>
    <s v="Loss"/>
    <s v="High"/>
  </r>
  <r>
    <n v="1315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OFF-BI-10004140"/>
    <x v="0"/>
    <x v="1"/>
    <s v="Avery Non-Stick Binders"/>
    <n v="0.8979999999999998"/>
    <n v="1"/>
    <n v="0.8"/>
    <n v="-1.5715000000000008"/>
    <x v="0"/>
    <x v="9"/>
    <n v="-1.5715000000000008"/>
    <s v="Loss"/>
    <s v="High"/>
  </r>
  <r>
    <n v="1316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OFF-BI-10004817"/>
    <x v="0"/>
    <x v="1"/>
    <s v="GBC Personal VeloBind Strips"/>
    <n v="11.979999999999997"/>
    <n v="5"/>
    <n v="0.8"/>
    <n v="-19.16800000000001"/>
    <x v="0"/>
    <x v="9"/>
    <n v="-3.8336000000000019"/>
    <s v="Loss"/>
    <s v="High"/>
  </r>
  <r>
    <n v="1317"/>
    <s v="US-2023-140403"/>
    <x v="229"/>
    <d v="2023-10-10T00:00:00"/>
    <s v="Same Day"/>
    <s v="TN-21040"/>
    <s v="Tanja Norvell"/>
    <x v="1"/>
    <s v="United States"/>
    <s v="Manteca"/>
    <s v="California"/>
    <n v="95336"/>
    <x v="3"/>
    <s v="OFF-EN-10001219"/>
    <x v="0"/>
    <x v="11"/>
    <s v="#10- 4 1/8&quot; x 9 1/2&quot; Security-Tint Envelopes"/>
    <n v="15.28"/>
    <n v="2"/>
    <n v="0"/>
    <n v="7.4871999999999996"/>
    <x v="0"/>
    <x v="9"/>
    <n v="3.7435999999999998"/>
    <s v="Profit"/>
    <s v="No Discount"/>
  </r>
  <r>
    <n v="1318"/>
    <s v="US-2023-105137"/>
    <x v="229"/>
    <d v="2023-10-10T00:00:00"/>
    <s v="Same Day"/>
    <s v="RB-19435"/>
    <s v="Richard Bierner"/>
    <x v="0"/>
    <s v="United States"/>
    <s v="Columbus"/>
    <s v="Ohio"/>
    <n v="43229"/>
    <x v="1"/>
    <s v="TEC-MA-10002694"/>
    <x v="2"/>
    <x v="15"/>
    <s v="Hewlett-Packard Deskjet F4180 All-in-One Color Ink-jet - Printer / copier / scanner"/>
    <n v="101.99400000000001"/>
    <n v="2"/>
    <n v="0.7"/>
    <n v="-71.39579999999998"/>
    <x v="0"/>
    <x v="9"/>
    <n v="-35.69789999999999"/>
    <s v="Loss"/>
    <s v="High"/>
  </r>
  <r>
    <n v="1319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TEC-PH-10001128"/>
    <x v="2"/>
    <x v="7"/>
    <s v="Motorola Droid Maxx"/>
    <n v="719.95200000000011"/>
    <n v="6"/>
    <n v="0.2"/>
    <n v="71.995200000000011"/>
    <x v="0"/>
    <x v="9"/>
    <n v="11.999200000000002"/>
    <s v="Profit"/>
    <s v="Low"/>
  </r>
  <r>
    <n v="1320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TEC-PH-10004667"/>
    <x v="2"/>
    <x v="7"/>
    <s v="Cisco 8x8 Inc. 6753i IP Business Phone System"/>
    <n v="755.94400000000019"/>
    <n v="7"/>
    <n v="0.2"/>
    <n v="66.145099999999957"/>
    <x v="0"/>
    <x v="9"/>
    <n v="9.4492999999999938"/>
    <s v="Profit"/>
    <s v="Low"/>
  </r>
  <r>
    <n v="1321"/>
    <s v="US-2023-157924"/>
    <x v="230"/>
    <d v="2023-10-13T00:00:00"/>
    <s v="First Class"/>
    <s v="HA-14920"/>
    <s v="Helen Andreada"/>
    <x v="0"/>
    <s v="United States"/>
    <s v="Pasadena"/>
    <s v="California"/>
    <n v="91104"/>
    <x v="3"/>
    <s v="FUR-CH-10000229"/>
    <x v="1"/>
    <x v="5"/>
    <s v="Global Enterprise Series Seating High-Back Swivel/Tilt Chairs"/>
    <n v="433.56800000000004"/>
    <n v="2"/>
    <n v="0.2"/>
    <n v="-65.035200000000046"/>
    <x v="0"/>
    <x v="9"/>
    <n v="-32.517600000000023"/>
    <s v="Loss"/>
    <s v="Low"/>
  </r>
  <r>
    <n v="1322"/>
    <s v="US-2023-116834"/>
    <x v="230"/>
    <d v="2023-10-16T00:00:00"/>
    <s v="Standard Class"/>
    <s v="Dp-13240"/>
    <s v="Dean percer"/>
    <x v="1"/>
    <s v="United States"/>
    <s v="Seattle"/>
    <s v="Washington"/>
    <n v="98115"/>
    <x v="3"/>
    <s v="FUR-FU-10001196"/>
    <x v="1"/>
    <x v="8"/>
    <s v="DAX Cubicle Frames - 8x10"/>
    <n v="63.47"/>
    <n v="11"/>
    <n v="0"/>
    <n v="19.040999999999997"/>
    <x v="0"/>
    <x v="9"/>
    <n v="1.7309999999999997"/>
    <s v="Profit"/>
    <s v="No Discount"/>
  </r>
  <r>
    <n v="1323"/>
    <s v="US-2023-114314"/>
    <x v="230"/>
    <d v="2023-10-15T00:00:00"/>
    <s v="Standard Class"/>
    <s v="DB-13555"/>
    <s v="Dorothy Badders"/>
    <x v="2"/>
    <s v="United States"/>
    <s v="Fayetteville"/>
    <s v="Arkansas"/>
    <n v="72701"/>
    <x v="2"/>
    <s v="FUR-FU-10002107"/>
    <x v="1"/>
    <x v="8"/>
    <s v="Eldon Pizzaz Desk Accessories"/>
    <n v="8.92"/>
    <n v="4"/>
    <n v="0"/>
    <n v="3.9248000000000003"/>
    <x v="0"/>
    <x v="9"/>
    <n v="0.98120000000000007"/>
    <s v="Profit"/>
    <s v="No Discount"/>
  </r>
  <r>
    <n v="1324"/>
    <s v="US-2023-128538"/>
    <x v="230"/>
    <d v="2023-10-15T00:00:00"/>
    <s v="Standard Class"/>
    <s v="AS-10240"/>
    <s v="Alan Shonely"/>
    <x v="0"/>
    <s v="United States"/>
    <s v="Redondo Beach"/>
    <s v="California"/>
    <n v="90278"/>
    <x v="3"/>
    <s v="OFF-EN-10001219"/>
    <x v="0"/>
    <x v="11"/>
    <s v="#10- 4 1/8&quot; x 9 1/2&quot; Security-Tint Envelopes"/>
    <n v="7.64"/>
    <n v="1"/>
    <n v="0"/>
    <n v="3.7435999999999998"/>
    <x v="0"/>
    <x v="9"/>
    <n v="3.7435999999999998"/>
    <s v="Profit"/>
    <s v="No Discount"/>
  </r>
  <r>
    <n v="1325"/>
    <s v="US-2023-126571"/>
    <x v="230"/>
    <d v="2023-10-15T00:00:00"/>
    <s v="Standard Class"/>
    <s v="JF-15565"/>
    <s v="Jill Fjeld"/>
    <x v="0"/>
    <s v="United States"/>
    <s v="Philadelphia"/>
    <s v="Pennsylvania"/>
    <n v="19120"/>
    <x v="1"/>
    <s v="OFF-EN-10002230"/>
    <x v="0"/>
    <x v="11"/>
    <s v="Airmail Envelopes"/>
    <n v="201.43200000000002"/>
    <n v="3"/>
    <n v="0.2"/>
    <n v="67.983299999999986"/>
    <x v="0"/>
    <x v="9"/>
    <n v="22.661099999999994"/>
    <s v="Profit"/>
    <s v="Low"/>
  </r>
  <r>
    <n v="1326"/>
    <s v="US-2023-114314"/>
    <x v="230"/>
    <d v="2023-10-15T00:00:00"/>
    <s v="Standard Class"/>
    <s v="DB-13555"/>
    <s v="Dorothy Badders"/>
    <x v="2"/>
    <s v="United States"/>
    <s v="Fayetteville"/>
    <s v="Arkansas"/>
    <n v="72701"/>
    <x v="2"/>
    <s v="OFF-LA-10000240"/>
    <x v="0"/>
    <x v="2"/>
    <s v="Self-Adhesive Address Labels for Typewriters by Universal"/>
    <n v="7.31"/>
    <n v="1"/>
    <n v="0"/>
    <n v="3.4356999999999998"/>
    <x v="0"/>
    <x v="9"/>
    <n v="3.4356999999999998"/>
    <s v="Profit"/>
    <s v="No Discount"/>
  </r>
  <r>
    <n v="1327"/>
    <s v="US-2023-157924"/>
    <x v="230"/>
    <d v="2023-10-13T00:00:00"/>
    <s v="First Class"/>
    <s v="HA-14920"/>
    <s v="Helen Andreada"/>
    <x v="0"/>
    <s v="United States"/>
    <s v="Pasadena"/>
    <s v="California"/>
    <n v="91104"/>
    <x v="3"/>
    <s v="OFF-ST-10002352"/>
    <x v="0"/>
    <x v="3"/>
    <s v="Iris Project Case"/>
    <n v="31.92"/>
    <n v="4"/>
    <n v="0"/>
    <n v="8.299199999999999"/>
    <x v="0"/>
    <x v="9"/>
    <n v="2.0747999999999998"/>
    <s v="Profit"/>
    <s v="No Discount"/>
  </r>
  <r>
    <n v="1328"/>
    <s v="US-2023-126571"/>
    <x v="230"/>
    <d v="2023-10-15T00:00:00"/>
    <s v="Standard Class"/>
    <s v="JF-15565"/>
    <s v="Jill Fjeld"/>
    <x v="0"/>
    <s v="United States"/>
    <s v="Philadelphia"/>
    <s v="Pennsylvania"/>
    <n v="19120"/>
    <x v="1"/>
    <s v="OFF-ST-10003816"/>
    <x v="0"/>
    <x v="3"/>
    <s v="Fellowes High-Stak Drawer Files"/>
    <n v="281.904"/>
    <n v="2"/>
    <n v="0.2"/>
    <n v="10.571399999999983"/>
    <x v="0"/>
    <x v="9"/>
    <n v="5.2856999999999914"/>
    <s v="Profit"/>
    <s v="Low"/>
  </r>
  <r>
    <n v="1329"/>
    <s v="US-2023-116834"/>
    <x v="230"/>
    <d v="2023-10-16T00:00:00"/>
    <s v="Standard Class"/>
    <s v="Dp-13240"/>
    <s v="Dean percer"/>
    <x v="1"/>
    <s v="United States"/>
    <s v="Seattle"/>
    <s v="Washington"/>
    <n v="98115"/>
    <x v="3"/>
    <s v="TEC-AC-10002942"/>
    <x v="2"/>
    <x v="9"/>
    <s v="WD My Passport Ultra 1TB Portable External Hard Drive"/>
    <n v="345"/>
    <n v="5"/>
    <n v="0"/>
    <n v="58.649999999999984"/>
    <x v="0"/>
    <x v="9"/>
    <n v="11.729999999999997"/>
    <s v="Profit"/>
    <s v="No Discount"/>
  </r>
  <r>
    <n v="1330"/>
    <s v="US-2023-139451"/>
    <x v="231"/>
    <d v="2023-10-16T00:00:00"/>
    <s v="Standard Class"/>
    <s v="DN-13690"/>
    <s v="Duane Noonan"/>
    <x v="0"/>
    <s v="United States"/>
    <s v="San Francisco"/>
    <s v="California"/>
    <n v="94122"/>
    <x v="3"/>
    <s v="OFF-AR-10002053"/>
    <x v="0"/>
    <x v="4"/>
    <s v="Premium Writing Pencils, Soft, #2 by Central Association for the Blind"/>
    <n v="14.9"/>
    <n v="5"/>
    <n v="0"/>
    <n v="4.1720000000000006"/>
    <x v="0"/>
    <x v="9"/>
    <n v="0.83440000000000014"/>
    <s v="Profit"/>
    <s v="No Discount"/>
  </r>
  <r>
    <n v="1331"/>
    <s v="US-2023-139451"/>
    <x v="231"/>
    <d v="2023-10-16T00:00:00"/>
    <s v="Standard Class"/>
    <s v="DN-13690"/>
    <s v="Duane Noonan"/>
    <x v="0"/>
    <s v="United States"/>
    <s v="San Francisco"/>
    <s v="California"/>
    <n v="94122"/>
    <x v="3"/>
    <s v="OFF-ST-10002370"/>
    <x v="0"/>
    <x v="3"/>
    <s v="Sortfiler Multipurpose Personal File Organizer, Black"/>
    <n v="21.39"/>
    <n v="1"/>
    <n v="0"/>
    <n v="6.2030999999999992"/>
    <x v="0"/>
    <x v="9"/>
    <n v="6.2030999999999992"/>
    <s v="Profit"/>
    <s v="No Discount"/>
  </r>
  <r>
    <n v="1332"/>
    <s v="US-2023-154655"/>
    <x v="231"/>
    <d v="2023-10-17T00:00:00"/>
    <s v="Standard Class"/>
    <s v="BP-11050"/>
    <s v="Barry Pond"/>
    <x v="2"/>
    <s v="United States"/>
    <s v="Chicago"/>
    <s v="Illinois"/>
    <n v="60623"/>
    <x v="0"/>
    <s v="OFF-SU-10000898"/>
    <x v="0"/>
    <x v="14"/>
    <s v="Acme Hot Forged Carbon Steel Scissors with Nickel-Plated Handles, 3 7/8&quot; Cut, 8&quot;L"/>
    <n v="22.240000000000002"/>
    <n v="2"/>
    <n v="0.2"/>
    <n v="2.5019999999999971"/>
    <x v="0"/>
    <x v="9"/>
    <n v="1.2509999999999986"/>
    <s v="Profit"/>
    <s v="Low"/>
  </r>
  <r>
    <n v="1333"/>
    <s v="US-2023-164742"/>
    <x v="232"/>
    <d v="2023-10-18T00:00:00"/>
    <s v="Second Class"/>
    <s v="ML-17395"/>
    <s v="Marina Lichtenstein"/>
    <x v="2"/>
    <s v="United States"/>
    <s v="Lakewood"/>
    <s v="New Jersey"/>
    <n v="8701"/>
    <x v="1"/>
    <s v="FUR-CH-10002880"/>
    <x v="1"/>
    <x v="5"/>
    <s v="Global High-Back Leather Tilter, Burgundy"/>
    <n v="245.98"/>
    <n v="2"/>
    <n v="0"/>
    <n v="27.057799999999986"/>
    <x v="0"/>
    <x v="9"/>
    <n v="13.528899999999993"/>
    <s v="Profit"/>
    <s v="No Discount"/>
  </r>
  <r>
    <n v="1334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FUR-TA-10002903"/>
    <x v="1"/>
    <x v="13"/>
    <s v="Bevis Round Bullnose 29&quot; High Table Top"/>
    <n v="1298.55"/>
    <n v="5"/>
    <n v="0"/>
    <n v="311.65199999999999"/>
    <x v="0"/>
    <x v="9"/>
    <n v="62.330399999999997"/>
    <s v="Profit"/>
    <s v="No Discount"/>
  </r>
  <r>
    <n v="1335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OFF-AP-10000240"/>
    <x v="0"/>
    <x v="12"/>
    <s v="Belkin F9G930V10-GRY 9 Outlet Surge"/>
    <n v="213.92"/>
    <n v="4"/>
    <n v="0"/>
    <n v="62.036799999999971"/>
    <x v="0"/>
    <x v="9"/>
    <n v="15.509199999999993"/>
    <s v="Profit"/>
    <s v="No Discount"/>
  </r>
  <r>
    <n v="1336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OFF-AR-10003190"/>
    <x v="0"/>
    <x v="4"/>
    <s v="Newell 32"/>
    <n v="11.52"/>
    <n v="4"/>
    <n v="0"/>
    <n v="3.2256"/>
    <x v="0"/>
    <x v="9"/>
    <n v="0.80640000000000001"/>
    <s v="Profit"/>
    <s v="No Discount"/>
  </r>
  <r>
    <n v="1337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BI-10002432"/>
    <x v="0"/>
    <x v="1"/>
    <s v="Wilson Jones Standard D-Ring Binders"/>
    <n v="15.18"/>
    <n v="3"/>
    <n v="0"/>
    <n v="7.1345999999999989"/>
    <x v="0"/>
    <x v="9"/>
    <n v="2.3781999999999996"/>
    <s v="Profit"/>
    <s v="No Discount"/>
  </r>
  <r>
    <n v="1338"/>
    <s v="US-2023-123316"/>
    <x v="232"/>
    <d v="2023-10-17T00:00:00"/>
    <s v="Standard Class"/>
    <s v="SP-20545"/>
    <s v="Sibella Parks"/>
    <x v="2"/>
    <s v="United States"/>
    <s v="Mount Vernon"/>
    <s v="New York"/>
    <n v="10550"/>
    <x v="1"/>
    <s v="OFF-BI-10002764"/>
    <x v="0"/>
    <x v="1"/>
    <s v="Recycled Pressboard Report Cover with Reinforced Top Hinge"/>
    <n v="7.7520000000000007"/>
    <n v="3"/>
    <n v="0.2"/>
    <n v="2.8100999999999998"/>
    <x v="0"/>
    <x v="9"/>
    <n v="0.93669999999999998"/>
    <s v="Profit"/>
    <s v="Low"/>
  </r>
  <r>
    <n v="1339"/>
    <s v="US-2023-164742"/>
    <x v="232"/>
    <d v="2023-10-18T00:00:00"/>
    <s v="Second Class"/>
    <s v="ML-17395"/>
    <s v="Marina Lichtenstein"/>
    <x v="2"/>
    <s v="United States"/>
    <s v="Lakewood"/>
    <s v="New Jersey"/>
    <n v="8701"/>
    <x v="1"/>
    <s v="OFF-BI-10004738"/>
    <x v="0"/>
    <x v="1"/>
    <s v="Flexible Leather- Look Classic Collection Ring Binder"/>
    <n v="18.940000000000001"/>
    <n v="1"/>
    <n v="0"/>
    <n v="9.4700000000000006"/>
    <x v="0"/>
    <x v="9"/>
    <n v="9.4700000000000006"/>
    <s v="Profit"/>
    <s v="No Discount"/>
  </r>
  <r>
    <n v="1340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EN-10003160"/>
    <x v="0"/>
    <x v="11"/>
    <s v="Pastel Pink Envelopes"/>
    <n v="36.4"/>
    <n v="5"/>
    <n v="0"/>
    <n v="17.472000000000001"/>
    <x v="0"/>
    <x v="9"/>
    <n v="3.4944000000000002"/>
    <s v="Profit"/>
    <s v="No Discount"/>
  </r>
  <r>
    <n v="1341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ST-10003641"/>
    <x v="0"/>
    <x v="3"/>
    <s v="Space Solutions Industrial Galvanized Steel Shelving."/>
    <n v="315.2"/>
    <n v="4"/>
    <n v="0"/>
    <n v="6.3040000000000305"/>
    <x v="0"/>
    <x v="9"/>
    <n v="1.5760000000000076"/>
    <s v="Profit"/>
    <s v="No Discount"/>
  </r>
  <r>
    <n v="1342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TEC-AC-10001101"/>
    <x v="2"/>
    <x v="9"/>
    <s v="Sony 16GB Class 10 Micro SDHC R40 Memory Card"/>
    <n v="25.78"/>
    <n v="2"/>
    <n v="0"/>
    <n v="2.5779999999999994"/>
    <x v="0"/>
    <x v="9"/>
    <n v="1.2889999999999997"/>
    <s v="Profit"/>
    <s v="No Discount"/>
  </r>
  <r>
    <n v="1343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TEC-AC-10001542"/>
    <x v="2"/>
    <x v="9"/>
    <s v="SanDisk Cruzer 16 GB USB Flash Drive"/>
    <n v="22.96"/>
    <n v="2"/>
    <n v="0"/>
    <n v="4.3623999999999974"/>
    <x v="0"/>
    <x v="9"/>
    <n v="2.1811999999999987"/>
    <s v="Profit"/>
    <s v="No Discount"/>
  </r>
  <r>
    <n v="1344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FUR-CH-10000749"/>
    <x v="1"/>
    <x v="5"/>
    <s v="Office Star - Ergonomic Mid Back Chair with 2-Way Adjustable Arms"/>
    <n v="1628.82"/>
    <n v="9"/>
    <n v="0"/>
    <n v="260.61120000000017"/>
    <x v="0"/>
    <x v="9"/>
    <n v="28.956800000000019"/>
    <s v="Profit"/>
    <s v="No Discount"/>
  </r>
  <r>
    <n v="1345"/>
    <s v="US-2023-163748"/>
    <x v="233"/>
    <d v="2023-10-18T00:00:00"/>
    <s v="Standard Class"/>
    <s v="HG-15025"/>
    <s v="Hunter Glantz"/>
    <x v="0"/>
    <s v="United States"/>
    <s v="Fort Worth"/>
    <s v="Texas"/>
    <n v="76106"/>
    <x v="0"/>
    <s v="OFF-AP-10004052"/>
    <x v="0"/>
    <x v="12"/>
    <s v="Hoover Replacement Belts For Soft Guard &amp; Commercial Ltweight Upright Vacs, 2/Pk"/>
    <n v="3.1599999999999993"/>
    <n v="4"/>
    <n v="0.8"/>
    <n v="-8.532"/>
    <x v="0"/>
    <x v="9"/>
    <n v="-2.133"/>
    <s v="Loss"/>
    <s v="High"/>
  </r>
  <r>
    <n v="1346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BI-10000343"/>
    <x v="0"/>
    <x v="1"/>
    <s v="Pressboard Covers with Storage Hooks, 9 1/2&quot; x 11&quot;, Light Blue"/>
    <n v="2.9459999999999993"/>
    <n v="3"/>
    <n v="0.8"/>
    <n v="-4.8609000000000009"/>
    <x v="0"/>
    <x v="9"/>
    <n v="-1.6203000000000003"/>
    <s v="Loss"/>
    <s v="High"/>
  </r>
  <r>
    <n v="1347"/>
    <s v="US-2023-146353"/>
    <x v="233"/>
    <d v="2023-10-16T00:00:00"/>
    <s v="Second Class"/>
    <s v="JE-15610"/>
    <s v="Jim Epp"/>
    <x v="2"/>
    <s v="United States"/>
    <s v="Concord"/>
    <s v="New Hampshire"/>
    <n v="3301"/>
    <x v="1"/>
    <s v="OFF-BI-10003476"/>
    <x v="0"/>
    <x v="1"/>
    <s v="Avery Metallic Poly Binders"/>
    <n v="22.92"/>
    <n v="4"/>
    <n v="0"/>
    <n v="11.0016"/>
    <x v="0"/>
    <x v="9"/>
    <n v="2.7504"/>
    <s v="Profit"/>
    <s v="No Discount"/>
  </r>
  <r>
    <n v="1348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PA-10001184"/>
    <x v="0"/>
    <x v="0"/>
    <s v="Xerox 1903"/>
    <n v="19.136000000000003"/>
    <n v="4"/>
    <n v="0.2"/>
    <n v="6.9367999999999999"/>
    <x v="0"/>
    <x v="9"/>
    <n v="1.7342"/>
    <s v="Profit"/>
    <s v="Low"/>
  </r>
  <r>
    <n v="1349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PA-10002581"/>
    <x v="0"/>
    <x v="0"/>
    <s v="Xerox 1951"/>
    <n v="322.19200000000001"/>
    <n v="13"/>
    <n v="0.2"/>
    <n v="100.68499999999997"/>
    <x v="0"/>
    <x v="9"/>
    <n v="7.7449999999999983"/>
    <s v="Profit"/>
    <s v="Low"/>
  </r>
  <r>
    <n v="1350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OFF-ST-10000615"/>
    <x v="0"/>
    <x v="3"/>
    <s v="SimpliFile Personal File, Black Granite, 15w x 6-15/16d x 11-1/4h"/>
    <n v="79.45"/>
    <n v="7"/>
    <n v="0"/>
    <n v="22.246000000000006"/>
    <x v="0"/>
    <x v="9"/>
    <n v="3.1780000000000008"/>
    <s v="Profit"/>
    <s v="No Discount"/>
  </r>
  <r>
    <n v="1351"/>
    <s v="US-2023-146353"/>
    <x v="233"/>
    <d v="2023-10-16T00:00:00"/>
    <s v="Second Class"/>
    <s v="JE-15610"/>
    <s v="Jim Epp"/>
    <x v="2"/>
    <s v="United States"/>
    <s v="Concord"/>
    <s v="New Hampshire"/>
    <n v="3301"/>
    <x v="1"/>
    <s v="OFF-ST-10001469"/>
    <x v="0"/>
    <x v="3"/>
    <s v="Fellowes Bankers Box Recycled Super Stor/Drawer"/>
    <n v="269.89999999999998"/>
    <n v="5"/>
    <n v="0"/>
    <n v="16.193999999999988"/>
    <x v="0"/>
    <x v="9"/>
    <n v="3.2387999999999977"/>
    <s v="Profit"/>
    <s v="No Discount"/>
  </r>
  <r>
    <n v="1352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TEC-AC-10000865"/>
    <x v="2"/>
    <x v="9"/>
    <s v="WD My Passport Ultra 500GB Portable External Hard Drive"/>
    <n v="177"/>
    <n v="3"/>
    <n v="0"/>
    <n v="30.089999999999982"/>
    <x v="0"/>
    <x v="9"/>
    <n v="10.029999999999994"/>
    <s v="Profit"/>
    <s v="No Discount"/>
  </r>
  <r>
    <n v="1353"/>
    <s v="US-2023-163748"/>
    <x v="233"/>
    <d v="2023-10-18T00:00:00"/>
    <s v="Standard Class"/>
    <s v="HG-15025"/>
    <s v="Hunter Glantz"/>
    <x v="0"/>
    <s v="United States"/>
    <s v="Fort Worth"/>
    <s v="Texas"/>
    <n v="76106"/>
    <x v="0"/>
    <s v="TEC-CO-10002095"/>
    <x v="2"/>
    <x v="16"/>
    <s v="Hewlett Packard 610 Color Digital Copier / Printer"/>
    <n v="1999.96"/>
    <n v="5"/>
    <n v="0.2"/>
    <n v="624.98749999999995"/>
    <x v="0"/>
    <x v="9"/>
    <n v="124.99749999999999"/>
    <s v="Profit"/>
    <s v="Low"/>
  </r>
  <r>
    <n v="1354"/>
    <s v="US-2023-122021"/>
    <x v="234"/>
    <d v="2023-10-17T00:00:00"/>
    <s v="First Class"/>
    <s v="AC-10660"/>
    <s v="Anna Chung"/>
    <x v="0"/>
    <s v="United States"/>
    <s v="Parma"/>
    <s v="Ohio"/>
    <n v="44134"/>
    <x v="1"/>
    <s v="FUR-CH-10003761"/>
    <x v="1"/>
    <x v="5"/>
    <s v="Global Italian Leather Office Chair"/>
    <n v="183.37199999999999"/>
    <n v="2"/>
    <n v="0.3"/>
    <n v="-7.8588000000000022"/>
    <x v="0"/>
    <x v="9"/>
    <n v="-3.9294000000000011"/>
    <s v="Loss"/>
    <s v="Medium"/>
  </r>
  <r>
    <n v="1355"/>
    <s v="US-2023-143182"/>
    <x v="234"/>
    <d v="2023-10-20T00:00:00"/>
    <s v="Standard Class"/>
    <s v="DL-12865"/>
    <s v="Dan Lawera"/>
    <x v="0"/>
    <s v="United States"/>
    <s v="Hialeah"/>
    <s v="Florida"/>
    <n v="33012"/>
    <x v="2"/>
    <s v="FUR-FU-10004270"/>
    <x v="1"/>
    <x v="8"/>
    <s v="Executive Impressions 13&quot; Clairmont Wall Clock"/>
    <n v="15.384"/>
    <n v="1"/>
    <n v="0.2"/>
    <n v="4.0383000000000013"/>
    <x v="0"/>
    <x v="9"/>
    <n v="4.0383000000000013"/>
    <s v="Profit"/>
    <s v="Low"/>
  </r>
  <r>
    <n v="1356"/>
    <s v="US-2023-122021"/>
    <x v="234"/>
    <d v="2023-10-17T00:00:00"/>
    <s v="First Class"/>
    <s v="AC-10660"/>
    <s v="Anna Chung"/>
    <x v="0"/>
    <s v="United States"/>
    <s v="Parma"/>
    <s v="Ohio"/>
    <n v="44134"/>
    <x v="1"/>
    <s v="OFF-PA-10002230"/>
    <x v="0"/>
    <x v="0"/>
    <s v="Xerox 1897"/>
    <n v="7.9680000000000009"/>
    <n v="2"/>
    <n v="0.2"/>
    <n v="2.8884000000000007"/>
    <x v="0"/>
    <x v="9"/>
    <n v="1.4442000000000004"/>
    <s v="Profit"/>
    <s v="Low"/>
  </r>
  <r>
    <n v="1357"/>
    <s v="US-2023-109456"/>
    <x v="235"/>
    <d v="2023-10-17T00:00:00"/>
    <s v="Same Day"/>
    <s v="LS-17245"/>
    <s v="Lynn Smith"/>
    <x v="0"/>
    <s v="United States"/>
    <s v="San Francisco"/>
    <s v="California"/>
    <n v="94110"/>
    <x v="3"/>
    <s v="OFF-BI-10000136"/>
    <x v="0"/>
    <x v="1"/>
    <s v="Avery Non-Stick Heavy Duty View Round Locking Ring Binders"/>
    <n v="14.352000000000002"/>
    <n v="3"/>
    <n v="0.2"/>
    <n v="5.0231999999999992"/>
    <x v="0"/>
    <x v="9"/>
    <n v="1.6743999999999997"/>
    <s v="Profit"/>
    <s v="Low"/>
  </r>
  <r>
    <n v="1358"/>
    <s v="US-2023-109456"/>
    <x v="235"/>
    <d v="2023-10-17T00:00:00"/>
    <s v="Same Day"/>
    <s v="LS-17245"/>
    <s v="Lynn Smith"/>
    <x v="0"/>
    <s v="United States"/>
    <s v="San Francisco"/>
    <s v="California"/>
    <n v="94110"/>
    <x v="3"/>
    <s v="TEC-AC-10003610"/>
    <x v="2"/>
    <x v="9"/>
    <s v="Logitech Illuminated - Keyboard"/>
    <n v="179.97"/>
    <n v="3"/>
    <n v="0"/>
    <n v="86.385600000000011"/>
    <x v="0"/>
    <x v="9"/>
    <n v="28.795200000000005"/>
    <s v="Profit"/>
    <s v="No Discount"/>
  </r>
  <r>
    <n v="1359"/>
    <s v="US-2023-103086"/>
    <x v="236"/>
    <d v="2023-10-19T00:00:00"/>
    <s v="Second Class"/>
    <s v="EB-14170"/>
    <s v="Evan Bailliet"/>
    <x v="0"/>
    <s v="United States"/>
    <s v="Houston"/>
    <s v="Texas"/>
    <n v="77095"/>
    <x v="0"/>
    <s v="FUR-FU-10004586"/>
    <x v="1"/>
    <x v="8"/>
    <s v="G.E. Longer-Life Indoor Recessed Floodlight Bulbs"/>
    <n v="5.3120000000000003"/>
    <n v="2"/>
    <n v="0.6"/>
    <n v="-1.5935999999999995"/>
    <x v="0"/>
    <x v="9"/>
    <n v="-0.79679999999999973"/>
    <s v="Loss"/>
    <s v="High"/>
  </r>
  <r>
    <n v="1360"/>
    <s v="US-2023-124394"/>
    <x v="236"/>
    <d v="2023-10-22T00:00:00"/>
    <s v="Second Class"/>
    <s v="TB-21520"/>
    <s v="Tracy Blumstein"/>
    <x v="0"/>
    <s v="United States"/>
    <s v="Beaumont"/>
    <s v="Texas"/>
    <n v="77705"/>
    <x v="0"/>
    <s v="OFF-BI-10003676"/>
    <x v="0"/>
    <x v="1"/>
    <s v="GBC Standard Recycled Report Covers, Clear Plastic Sheets"/>
    <n v="10.779999999999996"/>
    <n v="5"/>
    <n v="0.8"/>
    <n v="-17.248000000000008"/>
    <x v="0"/>
    <x v="9"/>
    <n v="-3.4496000000000016"/>
    <s v="Loss"/>
    <s v="High"/>
  </r>
  <r>
    <n v="1361"/>
    <s v="US-2023-124394"/>
    <x v="236"/>
    <d v="2023-10-22T00:00:00"/>
    <s v="Second Class"/>
    <s v="TB-21520"/>
    <s v="Tracy Blumstein"/>
    <x v="0"/>
    <s v="United States"/>
    <s v="Beaumont"/>
    <s v="Texas"/>
    <n v="77705"/>
    <x v="0"/>
    <s v="TEC-AC-10001314"/>
    <x v="2"/>
    <x v="9"/>
    <s v="Case Logic 2.4GHz Wireless Keyboard"/>
    <n v="119.97600000000001"/>
    <n v="3"/>
    <n v="0.2"/>
    <n v="-17.996400000000019"/>
    <x v="0"/>
    <x v="9"/>
    <n v="-5.9988000000000063"/>
    <s v="Loss"/>
    <s v="Low"/>
  </r>
  <r>
    <n v="1362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FUR-CH-10003774"/>
    <x v="1"/>
    <x v="5"/>
    <s v="Global Wood Trimmed Manager's Task Chair, Khaki"/>
    <n v="545.88"/>
    <n v="6"/>
    <n v="0"/>
    <n v="70.964399999999983"/>
    <x v="0"/>
    <x v="9"/>
    <n v="11.827399999999997"/>
    <s v="Profit"/>
    <s v="No Discount"/>
  </r>
  <r>
    <n v="1363"/>
    <s v="US-2023-115084"/>
    <x v="237"/>
    <d v="2023-10-22T00:00:00"/>
    <s v="Standard Class"/>
    <s v="LS-17200"/>
    <s v="Luke Schmidt"/>
    <x v="2"/>
    <s v="United States"/>
    <s v="Texarkana"/>
    <s v="Arkansas"/>
    <n v="71854"/>
    <x v="2"/>
    <s v="FUR-CH-10004626"/>
    <x v="1"/>
    <x v="5"/>
    <s v="Office Star Flex Back Scooter Chair with Aluminum Finish Frame"/>
    <n v="605.34"/>
    <n v="6"/>
    <n v="0"/>
    <n v="145.2816"/>
    <x v="0"/>
    <x v="9"/>
    <n v="24.2136"/>
    <s v="Profit"/>
    <s v="No Discount"/>
  </r>
  <r>
    <n v="1364"/>
    <s v="US-2023-143168"/>
    <x v="237"/>
    <d v="2023-10-23T00:00:00"/>
    <s v="Second Class"/>
    <s v="IG-15085"/>
    <s v="Ivan Gibson"/>
    <x v="0"/>
    <s v="United States"/>
    <s v="Seattle"/>
    <s v="Washington"/>
    <n v="98103"/>
    <x v="3"/>
    <s v="OFF-BI-10003784"/>
    <x v="0"/>
    <x v="1"/>
    <s v="Computer Printout Index Tabs"/>
    <n v="1.3440000000000001"/>
    <n v="1"/>
    <n v="0.2"/>
    <n v="0.47039999999999987"/>
    <x v="0"/>
    <x v="9"/>
    <n v="0.47039999999999987"/>
    <s v="Profit"/>
    <s v="Low"/>
  </r>
  <r>
    <n v="1365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  <x v="0"/>
    <x v="9"/>
    <n v="3.282"/>
    <s v="Profit"/>
    <s v="Low"/>
  </r>
  <r>
    <n v="1366"/>
    <s v="US-2023-143168"/>
    <x v="237"/>
    <d v="2023-10-23T00:00:00"/>
    <s v="Second Class"/>
    <s v="IG-15085"/>
    <s v="Ivan Gibson"/>
    <x v="0"/>
    <s v="United States"/>
    <s v="Seattle"/>
    <s v="Washington"/>
    <n v="98103"/>
    <x v="3"/>
    <s v="OFF-PA-10000167"/>
    <x v="0"/>
    <x v="0"/>
    <s v="Xerox 1925"/>
    <n v="61.96"/>
    <n v="2"/>
    <n v="0"/>
    <n v="27.881999999999998"/>
    <x v="0"/>
    <x v="9"/>
    <n v="13.940999999999999"/>
    <s v="Profit"/>
    <s v="No Discount"/>
  </r>
  <r>
    <n v="1367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PA-10003016"/>
    <x v="0"/>
    <x v="0"/>
    <s v="Adams &quot;While You Were Out&quot; Message Pads"/>
    <n v="10.048000000000002"/>
    <n v="4"/>
    <n v="0.2"/>
    <n v="3.1399999999999988"/>
    <x v="0"/>
    <x v="9"/>
    <n v="0.7849999999999997"/>
    <s v="Profit"/>
    <s v="Low"/>
  </r>
  <r>
    <n v="1368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OFF-ST-10001522"/>
    <x v="0"/>
    <x v="3"/>
    <s v="Gould Plastics 18-Pocket Panel Bin, 34w x 5-1/4d x 20-1/2h"/>
    <n v="275.96999999999997"/>
    <n v="3"/>
    <n v="0"/>
    <n v="11.038799999999981"/>
    <x v="0"/>
    <x v="9"/>
    <n v="3.6795999999999935"/>
    <s v="Profit"/>
    <s v="No Discount"/>
  </r>
  <r>
    <n v="1369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ST-10003479"/>
    <x v="0"/>
    <x v="3"/>
    <s v="Eldon Base for stackable storage shelf, platinum"/>
    <n v="186.91200000000001"/>
    <n v="6"/>
    <n v="0.2"/>
    <n v="-35.046000000000028"/>
    <x v="0"/>
    <x v="9"/>
    <n v="-5.8410000000000046"/>
    <s v="Loss"/>
    <s v="Low"/>
  </r>
  <r>
    <n v="1370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TEC-PH-10002352"/>
    <x v="2"/>
    <x v="7"/>
    <s v="Avaya IP Phone 1140E VoIP phone"/>
    <n v="1394.95"/>
    <n v="5"/>
    <n v="0"/>
    <n v="362.68699999999995"/>
    <x v="0"/>
    <x v="9"/>
    <n v="72.537399999999991"/>
    <s v="Profit"/>
    <s v="No Discount"/>
  </r>
  <r>
    <n v="1371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BI-10003196"/>
    <x v="0"/>
    <x v="1"/>
    <s v="Accohide Poly Flexible Ring Binders"/>
    <n v="2.9920000000000004"/>
    <n v="1"/>
    <n v="0.2"/>
    <n v="1.1219999999999999"/>
    <x v="0"/>
    <x v="9"/>
    <n v="1.1219999999999999"/>
    <s v="Profit"/>
    <s v="Low"/>
  </r>
  <r>
    <n v="1372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BI-10003727"/>
    <x v="0"/>
    <x v="1"/>
    <s v="Avery Durable Slant Ring Binders With Label Holder"/>
    <n v="20.064"/>
    <n v="6"/>
    <n v="0.2"/>
    <n v="7.0223999999999993"/>
    <x v="0"/>
    <x v="9"/>
    <n v="1.1703999999999999"/>
    <s v="Profit"/>
    <s v="Low"/>
  </r>
  <r>
    <n v="1373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LA-10002787"/>
    <x v="0"/>
    <x v="2"/>
    <s v="Avery 480"/>
    <n v="18.75"/>
    <n v="5"/>
    <n v="0"/>
    <n v="9"/>
    <x v="0"/>
    <x v="9"/>
    <n v="1.8"/>
    <s v="Profit"/>
    <s v="No Discount"/>
  </r>
  <r>
    <n v="1374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PA-10003228"/>
    <x v="0"/>
    <x v="0"/>
    <s v="Xerox 1917"/>
    <n v="146.72999999999999"/>
    <n v="3"/>
    <n v="0"/>
    <n v="68.963099999999997"/>
    <x v="0"/>
    <x v="9"/>
    <n v="22.9877"/>
    <s v="Profit"/>
    <s v="No Discount"/>
  </r>
  <r>
    <n v="1375"/>
    <s v="US-2023-117317"/>
    <x v="238"/>
    <d v="2023-10-19T00:00:00"/>
    <s v="Same Day"/>
    <s v="JF-15490"/>
    <s v="Jeremy Farry"/>
    <x v="0"/>
    <s v="United States"/>
    <s v="Los Angeles"/>
    <s v="California"/>
    <n v="90032"/>
    <x v="3"/>
    <s v="OFF-PA-10004519"/>
    <x v="0"/>
    <x v="0"/>
    <s v="Spiral Phone Message Books with Labels by Adams"/>
    <n v="13.440000000000001"/>
    <n v="3"/>
    <n v="0"/>
    <n v="6.5856000000000012"/>
    <x v="0"/>
    <x v="9"/>
    <n v="2.1952000000000003"/>
    <s v="Profit"/>
    <s v="No Discount"/>
  </r>
  <r>
    <n v="1376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TEC-PH-10001305"/>
    <x v="2"/>
    <x v="7"/>
    <s v="Panasonic KX TS208W Corded phone"/>
    <n v="117.57600000000002"/>
    <n v="3"/>
    <n v="0.2"/>
    <n v="11.757600000000011"/>
    <x v="0"/>
    <x v="9"/>
    <n v="3.9192000000000036"/>
    <s v="Profit"/>
    <s v="Low"/>
  </r>
  <r>
    <n v="1377"/>
    <s v="US-2023-100867"/>
    <x v="238"/>
    <d v="2023-10-24T00:00:00"/>
    <s v="Standard Class"/>
    <s v="EH-14125"/>
    <s v="Eugene Hildebrand"/>
    <x v="1"/>
    <s v="United States"/>
    <s v="Lakewood"/>
    <s v="California"/>
    <n v="90712"/>
    <x v="3"/>
    <s v="TEC-PH-10004922"/>
    <x v="2"/>
    <x v="7"/>
    <s v="RCA Visys Integrated PBX 8-Line Router"/>
    <n v="321.55200000000002"/>
    <n v="6"/>
    <n v="0.2"/>
    <n v="20.097000000000008"/>
    <x v="0"/>
    <x v="9"/>
    <n v="3.3495000000000013"/>
    <s v="Profit"/>
    <s v="Low"/>
  </r>
  <r>
    <n v="1378"/>
    <s v="CA-2023-125388"/>
    <x v="238"/>
    <d v="2023-10-23T00:00:00"/>
    <s v="Standard Class"/>
    <s v="MP-17965"/>
    <s v="Michael Paige"/>
    <x v="2"/>
    <s v="Canada"/>
    <s v="Montreal"/>
    <s v="Quebec"/>
    <s v="H1A"/>
    <x v="1"/>
    <s v="FUR-FU-10004712"/>
    <x v="1"/>
    <x v="8"/>
    <s v="Westinghouse Mesh Shade Clip-On Gooseneck Lamp, Black"/>
    <n v="117.57600000000002"/>
    <n v="3"/>
    <n v="0.2"/>
    <n v="11.757600000000011"/>
    <x v="0"/>
    <x v="9"/>
    <n v="3.9192000000000036"/>
    <s v="Profit"/>
    <s v="Low"/>
  </r>
  <r>
    <n v="1379"/>
    <s v="CA-2023-125388"/>
    <x v="238"/>
    <d v="2023-10-23T00:00:00"/>
    <s v="Standard Class"/>
    <s v="MP-17965"/>
    <s v="Michael Paige"/>
    <x v="2"/>
    <s v="Canada"/>
    <s v="Montreal"/>
    <s v="Quebec"/>
    <s v="H1A"/>
    <x v="1"/>
    <s v="OFF-ST-10000918"/>
    <x v="0"/>
    <x v="3"/>
    <s v="Crate-A-Files"/>
    <n v="56.56"/>
    <n v="4"/>
    <n v="0"/>
    <n v="14.71"/>
    <x v="0"/>
    <x v="9"/>
    <n v="3.6775000000000002"/>
    <s v="Profit"/>
    <s v="No Discount"/>
  </r>
  <r>
    <n v="1380"/>
    <s v="CA-2023-100867"/>
    <x v="238"/>
    <d v="2023-10-24T00:00:00"/>
    <s v="Standard Class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32.700000000000003"/>
    <n v="3"/>
    <n v="0"/>
    <n v="8.5"/>
    <x v="0"/>
    <x v="9"/>
    <n v="2.8333333333333335"/>
    <s v="Profit"/>
    <s v="No Discount"/>
  </r>
  <r>
    <n v="1381"/>
    <s v="US-2023-169684"/>
    <x v="239"/>
    <d v="2023-10-23T00:00:00"/>
    <s v="First Class"/>
    <s v="FH-14365"/>
    <s v="Fred Hopkins"/>
    <x v="2"/>
    <s v="United States"/>
    <s v="Knoxville"/>
    <s v="Tennessee"/>
    <n v="37918"/>
    <x v="2"/>
    <s v="FUR-TA-10003008"/>
    <x v="1"/>
    <x v="13"/>
    <s v="Lesro Round Back Collection Coffee Table, End Table"/>
    <n v="328.59000000000003"/>
    <n v="3"/>
    <n v="0.4"/>
    <n v="-147.8655"/>
    <x v="0"/>
    <x v="9"/>
    <n v="-49.288499999999999"/>
    <s v="Loss"/>
    <s v="Medium"/>
  </r>
  <r>
    <n v="1382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BI-10000632"/>
    <x v="0"/>
    <x v="1"/>
    <s v="Satellite Sectional Post Binders"/>
    <n v="8.6819999999999968"/>
    <n v="1"/>
    <n v="0.8"/>
    <n v="-14.759400000000003"/>
    <x v="0"/>
    <x v="9"/>
    <n v="-14.759400000000003"/>
    <s v="Loss"/>
    <s v="High"/>
  </r>
  <r>
    <n v="1383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LA-10003510"/>
    <x v="0"/>
    <x v="2"/>
    <s v="Avery 4027 File Folder Labels for Dot Matrix Printers, 5000 Labels per Box, White"/>
    <n v="24.424000000000003"/>
    <n v="1"/>
    <n v="0.2"/>
    <n v="7.9378000000000002"/>
    <x v="0"/>
    <x v="9"/>
    <n v="7.9378000000000002"/>
    <s v="Profit"/>
    <s v="Low"/>
  </r>
  <r>
    <n v="1384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PA-10002109"/>
    <x v="0"/>
    <x v="0"/>
    <s v="Wirebound Voice Message Log Book"/>
    <n v="3.8079999999999998"/>
    <n v="1"/>
    <n v="0.2"/>
    <n v="1.2375999999999996"/>
    <x v="0"/>
    <x v="9"/>
    <n v="1.2375999999999996"/>
    <s v="Profit"/>
    <s v="Low"/>
  </r>
  <r>
    <n v="1385"/>
    <s v="US-2023-169684"/>
    <x v="239"/>
    <d v="2023-10-23T00:00:00"/>
    <s v="First Class"/>
    <s v="FH-14365"/>
    <s v="Fred Hopkins"/>
    <x v="2"/>
    <s v="United States"/>
    <s v="Knoxville"/>
    <s v="Tennessee"/>
    <n v="37918"/>
    <x v="2"/>
    <s v="OFF-ST-10000934"/>
    <x v="0"/>
    <x v="3"/>
    <s v="Contico 72&quot;H Heavy-Duty Storage System"/>
    <n v="98.352000000000004"/>
    <n v="3"/>
    <n v="0.2"/>
    <n v="-24.588000000000001"/>
    <x v="0"/>
    <x v="9"/>
    <n v="-8.1959999999999997"/>
    <s v="Loss"/>
    <s v="Low"/>
  </r>
  <r>
    <n v="1386"/>
    <s v="US-2023-146703"/>
    <x v="239"/>
    <d v="2023-10-25T00:00:00"/>
    <s v="Second Class"/>
    <s v="PO-18865"/>
    <s v="Patrick O'Donnell"/>
    <x v="0"/>
    <s v="United States"/>
    <s v="Westland"/>
    <s v="Michigan"/>
    <n v="48185"/>
    <x v="0"/>
    <s v="OFF-ST-10001713"/>
    <x v="0"/>
    <x v="3"/>
    <s v="Gould Plastics 9-Pocket Panel Bin, 18-3/8w x 5-1/4d x 20-1/2h, Black"/>
    <n v="211.96"/>
    <n v="4"/>
    <n v="0"/>
    <n v="8.4783999999999935"/>
    <x v="0"/>
    <x v="9"/>
    <n v="2.1195999999999984"/>
    <s v="Profit"/>
    <s v="No Discount"/>
  </r>
  <r>
    <n v="1387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ST-10003805"/>
    <x v="0"/>
    <x v="3"/>
    <s v="24 Capacity Maxi Data Binder Racks, Pearl"/>
    <n v="505.32000000000005"/>
    <n v="3"/>
    <n v="0.2"/>
    <n v="31.582499999999953"/>
    <x v="0"/>
    <x v="9"/>
    <n v="10.527499999999984"/>
    <s v="Profit"/>
    <s v="Low"/>
  </r>
  <r>
    <n v="1388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TEC-AC-10001606"/>
    <x v="2"/>
    <x v="9"/>
    <s v="Logitech Wireless Performance Mouse MX for PC and Mac"/>
    <n v="319.96800000000002"/>
    <n v="4"/>
    <n v="0.2"/>
    <n v="71.992800000000003"/>
    <x v="0"/>
    <x v="9"/>
    <n v="17.998200000000001"/>
    <s v="Profit"/>
    <s v="Low"/>
  </r>
  <r>
    <n v="1389"/>
    <s v="US-2023-142587"/>
    <x v="240"/>
    <d v="2023-10-22T00:00:00"/>
    <s v="First Class"/>
    <s v="TB-21520"/>
    <s v="Tracy Blumstein"/>
    <x v="0"/>
    <s v="United States"/>
    <s v="Fairfield"/>
    <s v="Ohio"/>
    <n v="45014"/>
    <x v="1"/>
    <s v="FUR-TA-10000617"/>
    <x v="1"/>
    <x v="13"/>
    <s v="Hon Practical Foundations 30 x 60 Training Table, Light Gray/Charcoal"/>
    <n v="409.59000000000003"/>
    <n v="3"/>
    <n v="0.4"/>
    <n v="-122.87700000000004"/>
    <x v="0"/>
    <x v="9"/>
    <n v="-40.95900000000001"/>
    <s v="Loss"/>
    <s v="Medium"/>
  </r>
  <r>
    <n v="1390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FUR-TA-10004607"/>
    <x v="1"/>
    <x v="13"/>
    <s v="Hon 2111 Invitation Series Straight Table"/>
    <n v="591.32000000000005"/>
    <n v="4"/>
    <n v="0"/>
    <n v="112.35079999999999"/>
    <x v="0"/>
    <x v="9"/>
    <n v="28.087699999999998"/>
    <s v="Profit"/>
    <s v="No Discount"/>
  </r>
  <r>
    <n v="1391"/>
    <s v="US-2023-142587"/>
    <x v="240"/>
    <d v="2023-10-22T00:00:00"/>
    <s v="First Class"/>
    <s v="TB-21520"/>
    <s v="Tracy Blumstein"/>
    <x v="0"/>
    <s v="United States"/>
    <s v="Fairfield"/>
    <s v="Ohio"/>
    <n v="45014"/>
    <x v="1"/>
    <s v="OFF-AP-10004708"/>
    <x v="0"/>
    <x v="12"/>
    <s v="Fellowes Superior 10 Outlet Split Surge Protector"/>
    <n v="121.79200000000002"/>
    <n v="4"/>
    <n v="0.2"/>
    <n v="13.701599999999988"/>
    <x v="0"/>
    <x v="9"/>
    <n v="3.4253999999999971"/>
    <s v="Profit"/>
    <s v="Low"/>
  </r>
  <r>
    <n v="1392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OFF-AR-10001022"/>
    <x v="0"/>
    <x v="4"/>
    <s v="SANFORD Liquid Accent Tank-Style Highlighters"/>
    <n v="2.84"/>
    <n v="1"/>
    <n v="0"/>
    <n v="0.88039999999999985"/>
    <x v="0"/>
    <x v="9"/>
    <n v="0.88039999999999985"/>
    <s v="Profit"/>
    <s v="No Discount"/>
  </r>
  <r>
    <n v="1393"/>
    <s v="US-2023-169852"/>
    <x v="240"/>
    <d v="2023-10-26T00:00:00"/>
    <s v="Standard Class"/>
    <s v="SF-20965"/>
    <s v="Sylvia Foulston"/>
    <x v="2"/>
    <s v="United States"/>
    <s v="San Diego"/>
    <s v="California"/>
    <n v="92024"/>
    <x v="3"/>
    <s v="OFF-BI-10001460"/>
    <x v="0"/>
    <x v="1"/>
    <s v="Plastic Binding Combs"/>
    <n v="36.36"/>
    <n v="3"/>
    <n v="0.2"/>
    <n v="12.2715"/>
    <x v="0"/>
    <x v="9"/>
    <n v="4.0904999999999996"/>
    <s v="Profit"/>
    <s v="Low"/>
  </r>
  <r>
    <n v="1394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OFF-ST-10003479"/>
    <x v="0"/>
    <x v="3"/>
    <s v="Eldon Base for stackable storage shelf, platinum"/>
    <n v="194.7"/>
    <n v="5"/>
    <n v="0"/>
    <n v="9.7349999999999781"/>
    <x v="0"/>
    <x v="9"/>
    <n v="1.9469999999999956"/>
    <s v="Profit"/>
    <s v="No Discount"/>
  </r>
  <r>
    <n v="1395"/>
    <s v="US-2023-151967"/>
    <x v="241"/>
    <d v="2023-10-26T00:00:00"/>
    <s v="Standard Class"/>
    <s v="NB-18580"/>
    <s v="Nicole Brennan"/>
    <x v="2"/>
    <s v="United States"/>
    <s v="Bossier City"/>
    <s v="Louisiana"/>
    <n v="71111"/>
    <x v="2"/>
    <s v="FUR-FU-10000193"/>
    <x v="1"/>
    <x v="8"/>
    <s v="Tenex Chairmats For Use with Hard Floors"/>
    <n v="129.91999999999999"/>
    <n v="4"/>
    <n v="0"/>
    <n v="10.393599999999992"/>
    <x v="0"/>
    <x v="9"/>
    <n v="2.598399999999998"/>
    <s v="Profit"/>
    <s v="No Discount"/>
  </r>
  <r>
    <n v="1396"/>
    <s v="US-2023-110072"/>
    <x v="241"/>
    <d v="2023-10-28T00:00:00"/>
    <s v="Standard Class"/>
    <s v="MG-17680"/>
    <s v="Maureen Gastineau"/>
    <x v="1"/>
    <s v="United States"/>
    <s v="Newark"/>
    <s v="Ohio"/>
    <n v="43055"/>
    <x v="1"/>
    <s v="FUR-FU-10000521"/>
    <x v="1"/>
    <x v="8"/>
    <s v="Seth Thomas 14&quot; Putty-Colored Wall Clock"/>
    <n v="93.888000000000005"/>
    <n v="4"/>
    <n v="0.2"/>
    <n v="12.90959999999999"/>
    <x v="0"/>
    <x v="9"/>
    <n v="3.2273999999999976"/>
    <s v="Profit"/>
    <s v="Low"/>
  </r>
  <r>
    <n v="1397"/>
    <s v="US-2023-130729"/>
    <x v="242"/>
    <d v="2023-10-29T00:00:00"/>
    <s v="Standard Class"/>
    <s v="AA-10375"/>
    <s v="Allen Armold"/>
    <x v="0"/>
    <s v="United States"/>
    <s v="Rancho Cucamonga"/>
    <s v="California"/>
    <n v="91730"/>
    <x v="3"/>
    <s v="OFF-BI-10002706"/>
    <x v="0"/>
    <x v="1"/>
    <s v="Avery Premier Heavy-Duty Binder with Round Locking Rings"/>
    <n v="34.271999999999998"/>
    <n v="3"/>
    <n v="0.2"/>
    <n v="11.138399999999999"/>
    <x v="0"/>
    <x v="9"/>
    <n v="3.7127999999999997"/>
    <s v="Profit"/>
    <s v="Low"/>
  </r>
  <r>
    <n v="1398"/>
    <s v="US-2023-113047"/>
    <x v="242"/>
    <d v="2023-10-24T00:00:00"/>
    <s v="Same Day"/>
    <s v="AP-10915"/>
    <s v="Arthur Prichep"/>
    <x v="0"/>
    <s v="United States"/>
    <s v="Rock Hill"/>
    <s v="South Carolina"/>
    <n v="29730"/>
    <x v="2"/>
    <s v="OFF-FA-10002763"/>
    <x v="0"/>
    <x v="6"/>
    <s v="Advantus Map Pennant Flags and Round Head Tacks"/>
    <n v="11.850000000000001"/>
    <n v="3"/>
    <n v="0"/>
    <n v="3.7919999999999994"/>
    <x v="0"/>
    <x v="9"/>
    <n v="1.2639999999999998"/>
    <s v="Profit"/>
    <s v="No Discount"/>
  </r>
  <r>
    <n v="1399"/>
    <s v="US-2023-108707"/>
    <x v="242"/>
    <d v="2023-10-29T00:00:00"/>
    <s v="Standard Class"/>
    <s v="DB-12910"/>
    <s v="Daniel Byrd"/>
    <x v="1"/>
    <s v="United States"/>
    <s v="Fort Lauderdale"/>
    <s v="Florida"/>
    <n v="33311"/>
    <x v="2"/>
    <s v="OFF-PA-10000788"/>
    <x v="0"/>
    <x v="0"/>
    <s v="Xerox 210"/>
    <n v="10.368000000000002"/>
    <n v="2"/>
    <n v="0.2"/>
    <n v="3.6288"/>
    <x v="0"/>
    <x v="9"/>
    <n v="1.8144"/>
    <s v="Profit"/>
    <s v="Low"/>
  </r>
  <r>
    <n v="1400"/>
    <s v="US-2023-139542"/>
    <x v="243"/>
    <d v="2023-10-29T00:00:00"/>
    <s v="Standard Class"/>
    <s v="EH-14185"/>
    <s v="Evan Henry"/>
    <x v="0"/>
    <s v="United States"/>
    <s v="Philadelphia"/>
    <s v="Pennsylvania"/>
    <n v="19120"/>
    <x v="1"/>
    <s v="OFF-BI-10000309"/>
    <x v="0"/>
    <x v="1"/>
    <s v="GBC Twin Loop Wire Binding Elements, 9/16&quot; Spine, Black"/>
    <n v="13.698000000000002"/>
    <n v="3"/>
    <n v="0.7"/>
    <n v="-9.5885999999999996"/>
    <x v="0"/>
    <x v="9"/>
    <n v="-3.1961999999999997"/>
    <s v="Loss"/>
    <s v="High"/>
  </r>
  <r>
    <n v="1401"/>
    <s v="US-2023-158400"/>
    <x v="243"/>
    <d v="2023-10-28T00:00:00"/>
    <s v="First Class"/>
    <s v="AH-10030"/>
    <s v="Aaron Hawkins"/>
    <x v="2"/>
    <s v="United States"/>
    <s v="San Francisco"/>
    <s v="California"/>
    <n v="94109"/>
    <x v="3"/>
    <s v="OFF-BI-10002353"/>
    <x v="0"/>
    <x v="1"/>
    <s v="GBC VeloBind Cover Sets"/>
    <n v="49.408000000000001"/>
    <n v="4"/>
    <n v="0.2"/>
    <n v="18.527999999999999"/>
    <x v="0"/>
    <x v="9"/>
    <n v="4.6319999999999997"/>
    <s v="Profit"/>
    <s v="Low"/>
  </r>
  <r>
    <n v="1402"/>
    <s v="US-2023-139542"/>
    <x v="243"/>
    <d v="2023-10-29T00:00:00"/>
    <s v="Standard Class"/>
    <s v="EH-14185"/>
    <s v="Evan Henry"/>
    <x v="0"/>
    <s v="United States"/>
    <s v="Philadelphia"/>
    <s v="Pennsylvania"/>
    <n v="19120"/>
    <x v="1"/>
    <s v="TEC-AC-10001553"/>
    <x v="2"/>
    <x v="9"/>
    <s v="Memorex 25GB 6X Branded Blu-Ray Recordable Disc, 15/Pack"/>
    <n v="40.775999999999996"/>
    <n v="3"/>
    <n v="0.2"/>
    <n v="0.50970000000000049"/>
    <x v="0"/>
    <x v="9"/>
    <n v="0.16990000000000016"/>
    <s v="Profit"/>
    <s v="Low"/>
  </r>
  <r>
    <n v="1403"/>
    <s v="US-2023-162278"/>
    <x v="244"/>
    <d v="2023-10-30T00:00:00"/>
    <s v="Second Class"/>
    <s v="AH-10585"/>
    <s v="Angele Hood"/>
    <x v="0"/>
    <s v="United States"/>
    <s v="Seattle"/>
    <s v="Washington"/>
    <n v="98105"/>
    <x v="3"/>
    <s v="FUR-FU-10000448"/>
    <x v="1"/>
    <x v="8"/>
    <s v="Tenex Chairmats For Use With Carpeted Floors"/>
    <n v="63.92"/>
    <n v="4"/>
    <n v="0"/>
    <n v="3.195999999999998"/>
    <x v="0"/>
    <x v="9"/>
    <n v="0.79899999999999949"/>
    <s v="Profit"/>
    <s v="No Discount"/>
  </r>
  <r>
    <n v="1404"/>
    <s v="US-2023-162278"/>
    <x v="244"/>
    <d v="2023-10-30T00:00:00"/>
    <s v="Second Class"/>
    <s v="AH-10585"/>
    <s v="Angele Hood"/>
    <x v="0"/>
    <s v="United States"/>
    <s v="Seattle"/>
    <s v="Washington"/>
    <n v="98105"/>
    <x v="3"/>
    <s v="TEC-PH-10000526"/>
    <x v="2"/>
    <x v="7"/>
    <s v="Vtech CS6719"/>
    <n v="383.96000000000004"/>
    <n v="5"/>
    <n v="0.2"/>
    <n v="38.396000000000015"/>
    <x v="0"/>
    <x v="9"/>
    <n v="7.6792000000000034"/>
    <s v="Profit"/>
    <s v="Low"/>
  </r>
  <r>
    <n v="1405"/>
    <s v="US-2023-148285"/>
    <x v="245"/>
    <d v="2023-11-01T00:00:00"/>
    <s v="Standard Class"/>
    <s v="RD-19810"/>
    <s v="Ross DeVincentis"/>
    <x v="1"/>
    <s v="United States"/>
    <s v="Fayetteville"/>
    <s v="North Carolina"/>
    <n v="28314"/>
    <x v="2"/>
    <s v="OFF-PA-10000349"/>
    <x v="0"/>
    <x v="0"/>
    <s v="Easy-staple paper"/>
    <n v="11.952000000000002"/>
    <n v="3"/>
    <n v="0.2"/>
    <n v="4.0338000000000003"/>
    <x v="0"/>
    <x v="9"/>
    <n v="1.3446"/>
    <s v="Profit"/>
    <s v="Low"/>
  </r>
  <r>
    <n v="1406"/>
    <s v="US-2023-148285"/>
    <x v="245"/>
    <d v="2023-11-01T00:00:00"/>
    <s v="Standard Class"/>
    <s v="RD-19810"/>
    <s v="Ross DeVincentis"/>
    <x v="1"/>
    <s v="United States"/>
    <s v="Fayetteville"/>
    <s v="North Carolina"/>
    <n v="28314"/>
    <x v="2"/>
    <s v="OFF-PA-10001166"/>
    <x v="0"/>
    <x v="0"/>
    <s v="Xerox 2"/>
    <n v="10.368000000000002"/>
    <n v="2"/>
    <n v="0.2"/>
    <n v="3.6288"/>
    <x v="0"/>
    <x v="9"/>
    <n v="1.8144"/>
    <s v="Profit"/>
    <s v="Low"/>
  </r>
  <r>
    <n v="1407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FUR-BO-10001337"/>
    <x v="1"/>
    <x v="10"/>
    <s v="O'Sullivan Living Dimensions 2-Shelf Bookcases"/>
    <n v="616.99800000000005"/>
    <n v="6"/>
    <n v="0.15"/>
    <n v="-36.293999999999997"/>
    <x v="0"/>
    <x v="9"/>
    <n v="-6.0489999999999995"/>
    <s v="Loss"/>
    <s v="Low"/>
  </r>
  <r>
    <n v="1408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BI-10004140"/>
    <x v="0"/>
    <x v="1"/>
    <s v="Avery Non-Stick Binders"/>
    <n v="7.1840000000000011"/>
    <n v="2"/>
    <n v="0.2"/>
    <n v="2.2449999999999992"/>
    <x v="0"/>
    <x v="9"/>
    <n v="1.1224999999999996"/>
    <s v="Profit"/>
    <s v="Low"/>
  </r>
  <r>
    <n v="1409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T-10003442"/>
    <x v="0"/>
    <x v="3"/>
    <s v="Eldon Portable Mobile Manager"/>
    <n v="141.4"/>
    <n v="5"/>
    <n v="0"/>
    <n v="38.177999999999997"/>
    <x v="0"/>
    <x v="9"/>
    <n v="7.6355999999999993"/>
    <s v="Profit"/>
    <s v="No Discount"/>
  </r>
  <r>
    <n v="1410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U-10000646"/>
    <x v="0"/>
    <x v="14"/>
    <s v="Premier Automatic Letter Opener"/>
    <n v="480.74"/>
    <n v="2"/>
    <n v="0"/>
    <n v="14.422200000000032"/>
    <x v="0"/>
    <x v="9"/>
    <n v="7.2111000000000161"/>
    <s v="Profit"/>
    <s v="No Discount"/>
  </r>
  <r>
    <n v="1411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U-10002301"/>
    <x v="0"/>
    <x v="14"/>
    <s v="Serrated Blade or Curved Handle Hand Letter Openers"/>
    <n v="6.28"/>
    <n v="2"/>
    <n v="0"/>
    <n v="6.2800000000000189E-2"/>
    <x v="0"/>
    <x v="9"/>
    <n v="3.1400000000000095E-2"/>
    <s v="Profit"/>
    <s v="No Discount"/>
  </r>
  <r>
    <n v="1412"/>
    <s v="US-2023-107769"/>
    <x v="246"/>
    <d v="2023-11-01T00:00:00"/>
    <s v="Standard Class"/>
    <s v="BT-11395"/>
    <s v="Bill Tyler"/>
    <x v="2"/>
    <s v="United States"/>
    <s v="Garden City"/>
    <s v="Kansas"/>
    <n v="67846"/>
    <x v="0"/>
    <s v="TEC-PH-10001336"/>
    <x v="2"/>
    <x v="7"/>
    <s v="Digium D40 VoIP phone"/>
    <n v="257.98"/>
    <n v="2"/>
    <n v="0"/>
    <n v="74.8142"/>
    <x v="0"/>
    <x v="9"/>
    <n v="37.4071"/>
    <s v="Profit"/>
    <s v="No Discount"/>
  </r>
  <r>
    <n v="1413"/>
    <s v="US-2023-166590"/>
    <x v="247"/>
    <d v="2023-11-02T00:00:00"/>
    <s v="Standard Class"/>
    <s v="NC-18625"/>
    <s v="Noah Childs"/>
    <x v="2"/>
    <s v="United States"/>
    <s v="Columbus"/>
    <s v="Indiana"/>
    <n v="47201"/>
    <x v="0"/>
    <s v="OFF-PA-10000482"/>
    <x v="0"/>
    <x v="0"/>
    <s v="Snap-A-Way Black Print Carbonless Ruled Speed Letter, Triplicate"/>
    <n v="75.88"/>
    <n v="2"/>
    <n v="0"/>
    <n v="35.663599999999995"/>
    <x v="0"/>
    <x v="9"/>
    <n v="17.831799999999998"/>
    <s v="Profit"/>
    <s v="No Discount"/>
  </r>
  <r>
    <n v="1414"/>
    <s v="US-2023-166590"/>
    <x v="247"/>
    <d v="2023-11-02T00:00:00"/>
    <s v="Standard Class"/>
    <s v="NC-18625"/>
    <s v="Noah Childs"/>
    <x v="2"/>
    <s v="United States"/>
    <s v="Columbus"/>
    <s v="Indiana"/>
    <n v="47201"/>
    <x v="0"/>
    <s v="TEC-AC-10003433"/>
    <x v="2"/>
    <x v="9"/>
    <s v="Maxell 4.7GB DVD+R 5/Pack"/>
    <n v="1.98"/>
    <n v="2"/>
    <n v="0"/>
    <n v="0.89100000000000001"/>
    <x v="0"/>
    <x v="9"/>
    <n v="0.44550000000000001"/>
    <s v="Profit"/>
    <s v="No Discount"/>
  </r>
  <r>
    <n v="1415"/>
    <s v="US-2023-154627"/>
    <x v="247"/>
    <d v="2023-10-31T00:00:00"/>
    <s v="First Class"/>
    <s v="SA-20830"/>
    <s v="Sue Ann Reed"/>
    <x v="0"/>
    <s v="United States"/>
    <s v="Chicago"/>
    <s v="Illinois"/>
    <n v="60610"/>
    <x v="0"/>
    <s v="TEC-PH-10001363"/>
    <x v="2"/>
    <x v="7"/>
    <s v="Apple iPhone 5S"/>
    <n v="2735.9520000000002"/>
    <n v="6"/>
    <n v="0.2"/>
    <n v="341.99399999999969"/>
    <x v="0"/>
    <x v="9"/>
    <n v="56.998999999999945"/>
    <s v="Profit"/>
    <s v="Low"/>
  </r>
  <r>
    <n v="1416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CH-10002320"/>
    <x v="1"/>
    <x v="5"/>
    <s v="Hon Pagoda Stacking Chairs"/>
    <n v="1604.9"/>
    <n v="5"/>
    <n v="0"/>
    <n v="481.46999999999991"/>
    <x v="0"/>
    <x v="9"/>
    <n v="96.293999999999983"/>
    <s v="Profit"/>
    <s v="No Discount"/>
  </r>
  <r>
    <n v="1417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FUR-CH-10003833"/>
    <x v="1"/>
    <x v="5"/>
    <s v="Novimex Fabric Task Chair"/>
    <n v="146.352"/>
    <n v="3"/>
    <n v="0.2"/>
    <n v="-9.1470000000000056"/>
    <x v="0"/>
    <x v="9"/>
    <n v="-3.0490000000000017"/>
    <s v="Loss"/>
    <s v="Low"/>
  </r>
  <r>
    <n v="1418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FU-10000023"/>
    <x v="1"/>
    <x v="8"/>
    <s v="Eldon Wave Desk Accessories"/>
    <n v="17.669999999999998"/>
    <n v="3"/>
    <n v="0"/>
    <n v="7.7748000000000008"/>
    <x v="0"/>
    <x v="9"/>
    <n v="2.5916000000000001"/>
    <s v="Profit"/>
    <s v="No Discount"/>
  </r>
  <r>
    <n v="1419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FU-10002364"/>
    <x v="1"/>
    <x v="8"/>
    <s v="Eldon Expressions Wood Desk Accessories, Oak"/>
    <n v="14.76"/>
    <n v="2"/>
    <n v="0"/>
    <n v="4.2803999999999984"/>
    <x v="0"/>
    <x v="9"/>
    <n v="2.1401999999999992"/>
    <s v="Profit"/>
    <s v="No Discount"/>
  </r>
  <r>
    <n v="1420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TA-10003238"/>
    <x v="1"/>
    <x v="13"/>
    <s v="Chromcraft Bull-Nose Wood 48&quot; x 96&quot; Rectangular Conference Tables"/>
    <n v="385.68599999999998"/>
    <n v="1"/>
    <n v="0.3"/>
    <n v="-60.607800000000026"/>
    <x v="0"/>
    <x v="9"/>
    <n v="-60.607800000000026"/>
    <s v="Loss"/>
    <s v="Medium"/>
  </r>
  <r>
    <n v="1421"/>
    <s v="US-2023-108609"/>
    <x v="248"/>
    <d v="2023-11-02T00:00:00"/>
    <s v="Second Class"/>
    <s v="AJ-10780"/>
    <s v="Anthony Jacobs"/>
    <x v="2"/>
    <s v="United States"/>
    <s v="Lorain"/>
    <s v="Ohio"/>
    <n v="44052"/>
    <x v="1"/>
    <s v="FUR-TA-10003954"/>
    <x v="1"/>
    <x v="13"/>
    <s v="Hon 94000 Series Round Tables"/>
    <n v="1421.664"/>
    <n v="8"/>
    <n v="0.4"/>
    <n v="-734.52639999999997"/>
    <x v="0"/>
    <x v="9"/>
    <n v="-91.815799999999996"/>
    <s v="Loss"/>
    <s v="Medium"/>
  </r>
  <r>
    <n v="1422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AR-10001419"/>
    <x v="0"/>
    <x v="4"/>
    <s v="Newell 325"/>
    <n v="12.39"/>
    <n v="3"/>
    <n v="0"/>
    <n v="3.7169999999999996"/>
    <x v="0"/>
    <x v="9"/>
    <n v="1.2389999999999999"/>
    <s v="Profit"/>
    <s v="No Discount"/>
  </r>
  <r>
    <n v="1423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AR-10001683"/>
    <x v="0"/>
    <x v="4"/>
    <s v="Lumber Crayons"/>
    <n v="49.25"/>
    <n v="5"/>
    <n v="0"/>
    <n v="18.715000000000003"/>
    <x v="0"/>
    <x v="9"/>
    <n v="3.7430000000000008"/>
    <s v="Profit"/>
    <s v="No Discount"/>
  </r>
  <r>
    <n v="1424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BI-10002571"/>
    <x v="0"/>
    <x v="1"/>
    <s v="Avery Framed View Binder, EZD Ring (Locking), Navy, 1 1/2&quot;"/>
    <n v="15.968000000000002"/>
    <n v="2"/>
    <n v="0.2"/>
    <n v="5.3891999999999989"/>
    <x v="0"/>
    <x v="9"/>
    <n v="2.6945999999999994"/>
    <s v="Profit"/>
    <s v="Low"/>
  </r>
  <r>
    <n v="1425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BI-10004001"/>
    <x v="0"/>
    <x v="1"/>
    <s v="GBC Recycled VeloBinder Covers"/>
    <n v="34.08"/>
    <n v="2"/>
    <n v="0"/>
    <n v="15.676799999999997"/>
    <x v="0"/>
    <x v="9"/>
    <n v="7.8383999999999983"/>
    <s v="Profit"/>
    <s v="No Discount"/>
  </r>
  <r>
    <n v="1426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  <x v="0"/>
    <x v="9"/>
    <n v="2.0099999999999998"/>
    <s v="Profit"/>
    <s v="Low"/>
  </r>
  <r>
    <n v="1427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FA-10002975"/>
    <x v="0"/>
    <x v="6"/>
    <s v="Staples"/>
    <n v="11.34"/>
    <n v="3"/>
    <n v="0"/>
    <n v="5.2164000000000001"/>
    <x v="0"/>
    <x v="9"/>
    <n v="1.7388000000000001"/>
    <s v="Profit"/>
    <s v="No Discount"/>
  </r>
  <r>
    <n v="1428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PA-10000477"/>
    <x v="0"/>
    <x v="0"/>
    <s v="Xerox 1952"/>
    <n v="64.740000000000009"/>
    <n v="13"/>
    <n v="0"/>
    <n v="30.427800000000005"/>
    <x v="0"/>
    <x v="9"/>
    <n v="2.3406000000000002"/>
    <s v="Profit"/>
    <s v="No Discount"/>
  </r>
  <r>
    <n v="1429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PA-10002195"/>
    <x v="0"/>
    <x v="0"/>
    <s v="RSVP Cards &amp; Envelopes, Blank White, 8-1/2&quot; X 11&quot;, 24 Cards/25 Envelopes/Set"/>
    <n v="10.16"/>
    <n v="2"/>
    <n v="0"/>
    <n v="4.7751999999999999"/>
    <x v="0"/>
    <x v="9"/>
    <n v="2.3875999999999999"/>
    <s v="Profit"/>
    <s v="No Discount"/>
  </r>
  <r>
    <n v="1430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ST-10001963"/>
    <x v="0"/>
    <x v="3"/>
    <s v="Tennsco Regal Shelving Units"/>
    <n v="405.64"/>
    <n v="4"/>
    <n v="0"/>
    <n v="12.169199999999989"/>
    <x v="0"/>
    <x v="9"/>
    <n v="3.0422999999999973"/>
    <s v="Profit"/>
    <s v="No Discount"/>
  </r>
  <r>
    <n v="1431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ST-10003996"/>
    <x v="0"/>
    <x v="3"/>
    <s v="Letter/Legal File Tote with Clear Snap-On Lid, Black Granite"/>
    <n v="80.3"/>
    <n v="5"/>
    <n v="0"/>
    <n v="20.877999999999997"/>
    <x v="0"/>
    <x v="9"/>
    <n v="4.1755999999999993"/>
    <s v="Profit"/>
    <s v="No Discount"/>
  </r>
  <r>
    <n v="1432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TEC-AC-10004568"/>
    <x v="2"/>
    <x v="9"/>
    <s v="Maxell LTO Ultrium - 800 GB"/>
    <n v="251.91"/>
    <n v="9"/>
    <n v="0"/>
    <n v="47.862899999999982"/>
    <x v="0"/>
    <x v="9"/>
    <n v="5.3180999999999976"/>
    <s v="Profit"/>
    <s v="No Discount"/>
  </r>
  <r>
    <n v="1433"/>
    <s v="US-2023-167262"/>
    <x v="248"/>
    <d v="2023-11-03T00:00:00"/>
    <s v="Second Class"/>
    <s v="AC-10450"/>
    <s v="Amy Cox"/>
    <x v="0"/>
    <s v="United States"/>
    <s v="Avondale"/>
    <s v="Arizona"/>
    <n v="85323"/>
    <x v="3"/>
    <s v="TEC-PH-10000486"/>
    <x v="2"/>
    <x v="7"/>
    <s v="Plantronics HL10 Handset Lifter"/>
    <n v="742.33600000000001"/>
    <n v="8"/>
    <n v="0.2"/>
    <n v="83.512799999999913"/>
    <x v="0"/>
    <x v="9"/>
    <n v="10.439099999999989"/>
    <s v="Profit"/>
    <s v="Low"/>
  </r>
  <r>
    <n v="1434"/>
    <s v="US-2023-120313"/>
    <x v="248"/>
    <d v="2023-11-02T00:00:00"/>
    <s v="Second Class"/>
    <s v="NL-18310"/>
    <s v="Nancy Lomonaco"/>
    <x v="1"/>
    <s v="United States"/>
    <s v="San Francisco"/>
    <s v="California"/>
    <n v="94110"/>
    <x v="3"/>
    <s v="TEC-PH-10003092"/>
    <x v="2"/>
    <x v="7"/>
    <s v="Motorola L804"/>
    <n v="73.584000000000003"/>
    <n v="2"/>
    <n v="0.2"/>
    <n v="8.2781999999999982"/>
    <x v="0"/>
    <x v="9"/>
    <n v="4.1390999999999991"/>
    <s v="Profit"/>
    <s v="Low"/>
  </r>
  <r>
    <n v="1435"/>
    <s v="US-2023-114195"/>
    <x v="249"/>
    <d v="2023-11-03T00:00:00"/>
    <s v="First Class"/>
    <s v="EA-14035"/>
    <s v="Erin Ashbrook"/>
    <x v="2"/>
    <s v="United States"/>
    <s v="Mason"/>
    <s v="Ohio"/>
    <n v="45040"/>
    <x v="1"/>
    <s v="FUR-FU-10002253"/>
    <x v="1"/>
    <x v="8"/>
    <s v="Howard Miller 13&quot; Diameter Pewter Finish Round Wall Clock"/>
    <n v="68.703999999999994"/>
    <n v="2"/>
    <n v="0.2"/>
    <n v="16.317200000000003"/>
    <x v="0"/>
    <x v="10"/>
    <n v="8.1586000000000016"/>
    <s v="Profit"/>
    <s v="Low"/>
  </r>
  <r>
    <n v="1436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FUR-FU-10003142"/>
    <x v="1"/>
    <x v="8"/>
    <s v="Master Big Foot Doorstop, Beige"/>
    <n v="31.68"/>
    <n v="6"/>
    <n v="0"/>
    <n v="9.8207999999999984"/>
    <x v="0"/>
    <x v="10"/>
    <n v="1.6367999999999998"/>
    <s v="Profit"/>
    <s v="No Discount"/>
  </r>
  <r>
    <n v="1437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OFF-AP-10002518"/>
    <x v="0"/>
    <x v="12"/>
    <s v="Kensington 7 Outlet MasterPiece Power Center"/>
    <n v="533.93999999999994"/>
    <n v="3"/>
    <n v="0"/>
    <n v="154.84259999999995"/>
    <x v="0"/>
    <x v="10"/>
    <n v="51.614199999999983"/>
    <s v="Profit"/>
    <s v="No Discount"/>
  </r>
  <r>
    <n v="1438"/>
    <s v="US-2023-139423"/>
    <x v="249"/>
    <d v="2023-11-05T00:00:00"/>
    <s v="Standard Class"/>
    <s v="DG-13300"/>
    <s v="Deirdre Greer"/>
    <x v="2"/>
    <s v="United States"/>
    <s v="Orange"/>
    <s v="New Jersey"/>
    <n v="7050"/>
    <x v="1"/>
    <s v="OFF-AP-10004708"/>
    <x v="0"/>
    <x v="12"/>
    <s v="Fellowes Superior 10 Outlet Split Surge Protector"/>
    <n v="76.12"/>
    <n v="2"/>
    <n v="0"/>
    <n v="22.074799999999996"/>
    <x v="0"/>
    <x v="10"/>
    <n v="11.037399999999998"/>
    <s v="Profit"/>
    <s v="No Discount"/>
  </r>
  <r>
    <n v="1439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AR-10000634"/>
    <x v="0"/>
    <x v="4"/>
    <s v="Newell 320"/>
    <n v="10.272000000000002"/>
    <n v="3"/>
    <n v="0.2"/>
    <n v="0.89880000000000004"/>
    <x v="0"/>
    <x v="10"/>
    <n v="0.29960000000000003"/>
    <s v="Profit"/>
    <s v="Low"/>
  </r>
  <r>
    <n v="1440"/>
    <s v="US-2023-134313"/>
    <x v="249"/>
    <d v="2023-11-07T00:00:00"/>
    <s v="Standard Class"/>
    <s v="RA-19915"/>
    <s v="Russell Applegate"/>
    <x v="0"/>
    <s v="United States"/>
    <s v="Denver"/>
    <s v="Colorado"/>
    <n v="80219"/>
    <x v="3"/>
    <s v="OFF-AR-10001897"/>
    <x v="0"/>
    <x v="4"/>
    <s v="Model L Table or Wall-Mount Pencil Sharpener"/>
    <n v="43.176000000000002"/>
    <n v="3"/>
    <n v="0.2"/>
    <n v="4.3176000000000005"/>
    <x v="0"/>
    <x v="10"/>
    <n v="1.4392000000000003"/>
    <s v="Profit"/>
    <s v="Low"/>
  </r>
  <r>
    <n v="1441"/>
    <s v="US-2023-152562"/>
    <x v="249"/>
    <d v="2023-11-08T00:00:00"/>
    <s v="Standard Class"/>
    <s v="JO-15145"/>
    <s v="Jack O'Briant"/>
    <x v="2"/>
    <s v="United States"/>
    <s v="Richmond"/>
    <s v="Kentucky"/>
    <n v="40475"/>
    <x v="2"/>
    <s v="OFF-AR-10001919"/>
    <x v="0"/>
    <x v="4"/>
    <s v="OIC #2 Pencils, Medium Soft"/>
    <n v="5.64"/>
    <n v="3"/>
    <n v="0"/>
    <n v="1.6355999999999997"/>
    <x v="0"/>
    <x v="10"/>
    <n v="0.54519999999999991"/>
    <s v="Profit"/>
    <s v="No Discount"/>
  </r>
  <r>
    <n v="1442"/>
    <s v="US-2023-114195"/>
    <x v="249"/>
    <d v="2023-11-03T00:00:00"/>
    <s v="First Class"/>
    <s v="EA-14035"/>
    <s v="Erin Ashbrook"/>
    <x v="2"/>
    <s v="United States"/>
    <s v="Mason"/>
    <s v="Ohio"/>
    <n v="45040"/>
    <x v="1"/>
    <s v="OFF-BI-10000494"/>
    <x v="0"/>
    <x v="1"/>
    <s v="Acco Economy Flexible Poly Round Ring Binder"/>
    <n v="3.1320000000000001"/>
    <n v="2"/>
    <n v="0.7"/>
    <n v="-2.6099999999999994"/>
    <x v="0"/>
    <x v="10"/>
    <n v="-1.3049999999999997"/>
    <s v="Loss"/>
    <s v="High"/>
  </r>
  <r>
    <n v="1443"/>
    <s v="US-2023-114195"/>
    <x v="249"/>
    <d v="2023-11-03T00:00:00"/>
    <s v="First Class"/>
    <s v="EA-14035"/>
    <s v="Erin Ashbrook"/>
    <x v="2"/>
    <s v="United States"/>
    <s v="Mason"/>
    <s v="Ohio"/>
    <n v="45040"/>
    <x v="1"/>
    <s v="OFF-BI-10001658"/>
    <x v="0"/>
    <x v="1"/>
    <s v="GBC Standard Therm-A-Bind Covers"/>
    <n v="22.428000000000004"/>
    <n v="3"/>
    <n v="0.7"/>
    <n v="-17.942399999999992"/>
    <x v="0"/>
    <x v="10"/>
    <n v="-5.9807999999999977"/>
    <s v="Loss"/>
    <s v="High"/>
  </r>
  <r>
    <n v="1444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FA-10003021"/>
    <x v="0"/>
    <x v="6"/>
    <s v="Staples"/>
    <n v="7.52"/>
    <n v="5"/>
    <n v="0.2"/>
    <n v="1.4099999999999997"/>
    <x v="0"/>
    <x v="10"/>
    <n v="0.28199999999999992"/>
    <s v="Profit"/>
    <s v="Low"/>
  </r>
  <r>
    <n v="1445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LA-10001771"/>
    <x v="0"/>
    <x v="2"/>
    <s v="Avery 513"/>
    <n v="47.808000000000007"/>
    <n v="12"/>
    <n v="0.2"/>
    <n v="15.537599999999998"/>
    <x v="0"/>
    <x v="10"/>
    <n v="1.2947999999999997"/>
    <s v="Profit"/>
    <s v="Low"/>
  </r>
  <r>
    <n v="1446"/>
    <s v="US-2023-168305"/>
    <x v="249"/>
    <d v="2023-11-08T00:00:00"/>
    <s v="Standard Class"/>
    <s v="PL-18925"/>
    <s v="Paul Lucas"/>
    <x v="1"/>
    <s v="United States"/>
    <s v="Los Angeles"/>
    <s v="California"/>
    <n v="90049"/>
    <x v="3"/>
    <s v="OFF-LA-10003498"/>
    <x v="0"/>
    <x v="2"/>
    <s v="Avery 475"/>
    <n v="44.400000000000006"/>
    <n v="3"/>
    <n v="0"/>
    <n v="22.200000000000003"/>
    <x v="0"/>
    <x v="10"/>
    <n v="7.4000000000000012"/>
    <s v="Profit"/>
    <s v="No Discount"/>
  </r>
  <r>
    <n v="1447"/>
    <s v="US-2023-126907"/>
    <x v="249"/>
    <d v="2023-11-08T00:00:00"/>
    <s v="Standard Class"/>
    <s v="SM-20950"/>
    <s v="Suzanne McNair"/>
    <x v="2"/>
    <s v="United States"/>
    <s v="Chicago"/>
    <s v="Illinois"/>
    <n v="60610"/>
    <x v="0"/>
    <s v="OFF-PA-10000533"/>
    <x v="0"/>
    <x v="0"/>
    <s v="Southworth Parchment Paper &amp; Envelopes"/>
    <n v="15.696000000000002"/>
    <n v="3"/>
    <n v="0.2"/>
    <n v="5.1011999999999995"/>
    <x v="0"/>
    <x v="10"/>
    <n v="1.7003999999999999"/>
    <s v="Profit"/>
    <s v="Low"/>
  </r>
  <r>
    <n v="1448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OFF-PA-10000806"/>
    <x v="0"/>
    <x v="0"/>
    <s v="Xerox 1934"/>
    <n v="167.94"/>
    <n v="3"/>
    <n v="0"/>
    <n v="82.290599999999998"/>
    <x v="0"/>
    <x v="10"/>
    <n v="27.430199999999999"/>
    <s v="Profit"/>
    <s v="No Discount"/>
  </r>
  <r>
    <n v="1449"/>
    <s v="US-2023-168305"/>
    <x v="249"/>
    <d v="2023-11-08T00:00:00"/>
    <s v="Standard Class"/>
    <s v="PL-18925"/>
    <s v="Paul Lucas"/>
    <x v="1"/>
    <s v="United States"/>
    <s v="Los Angeles"/>
    <s v="California"/>
    <n v="90049"/>
    <x v="3"/>
    <s v="OFF-PA-10004947"/>
    <x v="0"/>
    <x v="0"/>
    <s v="Easy-staple paper"/>
    <n v="21.400000000000002"/>
    <n v="5"/>
    <n v="0"/>
    <n v="9.629999999999999"/>
    <x v="0"/>
    <x v="10"/>
    <n v="1.9259999999999997"/>
    <s v="Profit"/>
    <s v="No Discount"/>
  </r>
  <r>
    <n v="1450"/>
    <s v="US-2023-152562"/>
    <x v="249"/>
    <d v="2023-11-08T00:00:00"/>
    <s v="Standard Class"/>
    <s v="JO-15145"/>
    <s v="Jack O'Briant"/>
    <x v="2"/>
    <s v="United States"/>
    <s v="Richmond"/>
    <s v="Kentucky"/>
    <n v="40475"/>
    <x v="2"/>
    <s v="OFF-ST-10000464"/>
    <x v="0"/>
    <x v="3"/>
    <s v="Multi-Use Personal File Cart and Caster Set, Three Stacking Bins"/>
    <n v="69.52"/>
    <n v="2"/>
    <n v="0"/>
    <n v="19.465600000000002"/>
    <x v="0"/>
    <x v="10"/>
    <n v="9.732800000000001"/>
    <s v="Profit"/>
    <s v="No Discount"/>
  </r>
  <r>
    <n v="1451"/>
    <s v="US-2023-148915"/>
    <x v="249"/>
    <d v="2023-11-05T00:00:00"/>
    <s v="Standard Class"/>
    <s v="ND-18370"/>
    <s v="Natalie DeCherney"/>
    <x v="0"/>
    <s v="United States"/>
    <s v="Portland"/>
    <s v="Oregon"/>
    <n v="97206"/>
    <x v="3"/>
    <s v="OFF-ST-10001128"/>
    <x v="0"/>
    <x v="3"/>
    <s v="Carina Mini System Audio Rack, Model AR050B"/>
    <n v="443.92"/>
    <n v="5"/>
    <n v="0.2"/>
    <n v="-94.33299999999997"/>
    <x v="0"/>
    <x v="10"/>
    <n v="-18.866599999999995"/>
    <s v="Loss"/>
    <s v="Low"/>
  </r>
  <r>
    <n v="1452"/>
    <s v="US-2023-148915"/>
    <x v="249"/>
    <d v="2023-11-05T00:00:00"/>
    <s v="Standard Class"/>
    <s v="ND-18370"/>
    <s v="Natalie DeCherney"/>
    <x v="0"/>
    <s v="United States"/>
    <s v="Portland"/>
    <s v="Oregon"/>
    <n v="97206"/>
    <x v="3"/>
    <s v="TEC-PH-10000673"/>
    <x v="2"/>
    <x v="7"/>
    <s v="Plantronics Voyager Pro HD - Bluetooth Headset"/>
    <n v="155.976"/>
    <n v="3"/>
    <n v="0.2"/>
    <n v="54.5916"/>
    <x v="0"/>
    <x v="10"/>
    <n v="18.197199999999999"/>
    <s v="Profit"/>
    <s v="Low"/>
  </r>
  <r>
    <n v="1453"/>
    <s v="US-2023-134313"/>
    <x v="249"/>
    <d v="2023-11-07T00:00:00"/>
    <s v="Standard Class"/>
    <s v="RA-19915"/>
    <s v="Russell Applegate"/>
    <x v="0"/>
    <s v="United States"/>
    <s v="Denver"/>
    <s v="Colorado"/>
    <n v="80219"/>
    <x v="3"/>
    <s v="TEC-PH-10001795"/>
    <x v="2"/>
    <x v="7"/>
    <s v="ClearOne CHATAttach 160 - speaker phone"/>
    <n v="1983.9680000000001"/>
    <n v="4"/>
    <n v="0.2"/>
    <n v="247.99599999999981"/>
    <x v="0"/>
    <x v="10"/>
    <n v="61.998999999999953"/>
    <s v="Profit"/>
    <s v="Low"/>
  </r>
  <r>
    <n v="1454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TEC-PH-10004434"/>
    <x v="2"/>
    <x v="7"/>
    <s v="Cisco IP Phone 7961G VoIP phone - Dark gray"/>
    <n v="978.83999999999992"/>
    <n v="9"/>
    <n v="0.2"/>
    <n v="110.1194999999999"/>
    <x v="0"/>
    <x v="10"/>
    <n v="12.235499999999989"/>
    <s v="Profit"/>
    <s v="Low"/>
  </r>
  <r>
    <n v="1455"/>
    <s v="US-2023-107454"/>
    <x v="250"/>
    <d v="2023-11-06T00:00:00"/>
    <s v="Standard Class"/>
    <s v="RD-19720"/>
    <s v="Roger Demir"/>
    <x v="0"/>
    <s v="United States"/>
    <s v="New York City"/>
    <s v="New York"/>
    <n v="10024"/>
    <x v="1"/>
    <s v="FUR-FU-10004018"/>
    <x v="1"/>
    <x v="8"/>
    <s v="Tensor Computer Mounted Lamp"/>
    <n v="89.34"/>
    <n v="6"/>
    <n v="0"/>
    <n v="24.121800000000004"/>
    <x v="0"/>
    <x v="10"/>
    <n v="4.0203000000000007"/>
    <s v="Profit"/>
    <s v="No Discount"/>
  </r>
  <r>
    <n v="1456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OFF-BI-10001098"/>
    <x v="0"/>
    <x v="1"/>
    <s v="Acco D-Ring Binder w/DublLock"/>
    <n v="19.242000000000001"/>
    <n v="3"/>
    <n v="0.7"/>
    <n v="-13.4694"/>
    <x v="0"/>
    <x v="10"/>
    <n v="-4.4897999999999998"/>
    <s v="Loss"/>
    <s v="High"/>
  </r>
  <r>
    <n v="1457"/>
    <s v="US-2023-107454"/>
    <x v="250"/>
    <d v="2023-11-06T00:00:00"/>
    <s v="Standard Class"/>
    <s v="RD-19720"/>
    <s v="Roger Demir"/>
    <x v="0"/>
    <s v="United States"/>
    <s v="New York City"/>
    <s v="New York"/>
    <n v="10024"/>
    <x v="1"/>
    <s v="OFF-LA-10001569"/>
    <x v="0"/>
    <x v="2"/>
    <s v="Avery 499"/>
    <n v="34.86"/>
    <n v="7"/>
    <n v="0"/>
    <n v="16.035599999999999"/>
    <x v="0"/>
    <x v="10"/>
    <n v="2.2907999999999999"/>
    <s v="Profit"/>
    <s v="No Discount"/>
  </r>
  <r>
    <n v="1458"/>
    <s v="US-2023-115889"/>
    <x v="250"/>
    <d v="2023-11-06T00:00:00"/>
    <s v="Standard Class"/>
    <s v="SH-20395"/>
    <s v="Shahid Hopkins"/>
    <x v="0"/>
    <s v="United States"/>
    <s v="San Francisco"/>
    <s v="California"/>
    <n v="94122"/>
    <x v="3"/>
    <s v="OFF-ST-10003208"/>
    <x v="0"/>
    <x v="3"/>
    <s v="Adjustable Depth Letter/Legal Cart"/>
    <n v="362.92"/>
    <n v="2"/>
    <n v="0"/>
    <n v="105.24679999999995"/>
    <x v="0"/>
    <x v="10"/>
    <n v="52.623399999999975"/>
    <s v="Profit"/>
    <s v="No Discount"/>
  </r>
  <r>
    <n v="1459"/>
    <s v="US-2023-134726"/>
    <x v="250"/>
    <d v="2023-11-07T00:00:00"/>
    <s v="Second Class"/>
    <s v="SW-20755"/>
    <s v="Steven Ward"/>
    <x v="2"/>
    <s v="United States"/>
    <s v="Seattle"/>
    <s v="Washington"/>
    <n v="98115"/>
    <x v="3"/>
    <s v="TEC-AC-10000023"/>
    <x v="2"/>
    <x v="9"/>
    <s v="Maxell 74 Minute CD-R Spindle, 50/Pack"/>
    <n v="41.94"/>
    <n v="2"/>
    <n v="0"/>
    <n v="15.098399999999998"/>
    <x v="0"/>
    <x v="10"/>
    <n v="7.549199999999999"/>
    <s v="Profit"/>
    <s v="No Discount"/>
  </r>
  <r>
    <n v="1460"/>
    <s v="US-2023-120670"/>
    <x v="250"/>
    <d v="2023-11-06T00:00:00"/>
    <s v="Standard Class"/>
    <s v="JK-16120"/>
    <s v="Julie Kriz"/>
    <x v="1"/>
    <s v="United States"/>
    <s v="Fort Lauderdale"/>
    <s v="Florida"/>
    <n v="33311"/>
    <x v="2"/>
    <s v="TEC-AC-10004171"/>
    <x v="2"/>
    <x v="9"/>
    <s v="Razer Kraken 7.1 Surround Sound Over Ear USB Gaming Headset"/>
    <n v="799.92000000000007"/>
    <n v="10"/>
    <n v="0.2"/>
    <n v="239.976"/>
    <x v="0"/>
    <x v="10"/>
    <n v="23.997599999999998"/>
    <s v="Profit"/>
    <s v="Low"/>
  </r>
  <r>
    <n v="1461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TEC-PH-10001299"/>
    <x v="2"/>
    <x v="7"/>
    <s v="Polycom CX300 Desktop Phone USB VoIP phone"/>
    <n v="539.96399999999994"/>
    <n v="6"/>
    <n v="0.4"/>
    <n v="-107.99280000000002"/>
    <x v="0"/>
    <x v="10"/>
    <n v="-17.998800000000003"/>
    <s v="Loss"/>
    <s v="Medium"/>
  </r>
  <r>
    <n v="1462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  <x v="0"/>
    <x v="10"/>
    <n v="-1.4352000000000003"/>
    <s v="Loss"/>
    <s v="Medium"/>
  </r>
  <r>
    <n v="1463"/>
    <s v="US-2023-115889"/>
    <x v="250"/>
    <d v="2023-11-06T00:00:00"/>
    <s v="Standard Class"/>
    <s v="SH-20395"/>
    <s v="Shahid Hopkins"/>
    <x v="0"/>
    <s v="United States"/>
    <s v="San Francisco"/>
    <s v="California"/>
    <n v="94122"/>
    <x v="3"/>
    <s v="TEC-PH-10001615"/>
    <x v="2"/>
    <x v="7"/>
    <s v="AT&amp;T CL82213"/>
    <n v="46.384"/>
    <n v="2"/>
    <n v="0.2"/>
    <n v="5.2181999999999924"/>
    <x v="0"/>
    <x v="10"/>
    <n v="2.6090999999999962"/>
    <s v="Profit"/>
    <s v="Low"/>
  </r>
  <r>
    <n v="1464"/>
    <s v="US-2023-134726"/>
    <x v="250"/>
    <d v="2023-11-07T00:00:00"/>
    <s v="Second Class"/>
    <s v="SW-20755"/>
    <s v="Steven Ward"/>
    <x v="2"/>
    <s v="United States"/>
    <s v="Seattle"/>
    <s v="Washington"/>
    <n v="98115"/>
    <x v="3"/>
    <s v="TEC-PH-10001750"/>
    <x v="2"/>
    <x v="7"/>
    <s v="Samsung Rugby III"/>
    <n v="52.792000000000002"/>
    <n v="1"/>
    <n v="0.2"/>
    <n v="4.6193000000000026"/>
    <x v="0"/>
    <x v="10"/>
    <n v="4.6193000000000026"/>
    <s v="Profit"/>
    <s v="Low"/>
  </r>
  <r>
    <n v="1465"/>
    <s v="US-2023-148782"/>
    <x v="250"/>
    <d v="2023-11-07T00:00:00"/>
    <s v="Standard Class"/>
    <s v="PO-18850"/>
    <s v="Patrick O'Brill"/>
    <x v="0"/>
    <s v="United States"/>
    <s v="Irving"/>
    <s v="Texas"/>
    <n v="75061"/>
    <x v="0"/>
    <s v="TEC-PH-10002923"/>
    <x v="2"/>
    <x v="7"/>
    <s v="Logitech B530 USB Headset - headset - Full size, Binaural"/>
    <n v="88.77600000000001"/>
    <n v="3"/>
    <n v="0.2"/>
    <n v="7.7679000000000009"/>
    <x v="0"/>
    <x v="10"/>
    <n v="2.5893000000000002"/>
    <s v="Profit"/>
    <s v="Low"/>
  </r>
  <r>
    <n v="1466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FUR-FU-10001468"/>
    <x v="1"/>
    <x v="8"/>
    <s v="Tenex Antistatic Computer Chair Mats"/>
    <n v="410.35199999999998"/>
    <n v="3"/>
    <n v="0.2"/>
    <n v="-51.29400000000004"/>
    <x v="0"/>
    <x v="10"/>
    <n v="-17.098000000000013"/>
    <s v="Loss"/>
    <s v="Low"/>
  </r>
  <r>
    <n v="1467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FUR-TA-10001768"/>
    <x v="1"/>
    <x v="13"/>
    <s v="Hon Racetrack Conference Tables"/>
    <n v="945.03600000000006"/>
    <n v="6"/>
    <n v="0.4"/>
    <n v="-299.26140000000009"/>
    <x v="0"/>
    <x v="10"/>
    <n v="-49.876900000000013"/>
    <s v="Loss"/>
    <s v="Medium"/>
  </r>
  <r>
    <n v="1468"/>
    <s v="US-2023-153619"/>
    <x v="251"/>
    <d v="2023-11-03T00:00:00"/>
    <s v="Same Day"/>
    <s v="TC-21535"/>
    <s v="Tracy Collins"/>
    <x v="1"/>
    <s v="United States"/>
    <s v="Los Angeles"/>
    <s v="California"/>
    <n v="90049"/>
    <x v="3"/>
    <s v="OFF-AR-10001868"/>
    <x v="0"/>
    <x v="4"/>
    <s v="Prang Dustless Chalk Sticks"/>
    <n v="6.72"/>
    <n v="4"/>
    <n v="0"/>
    <n v="3.36"/>
    <x v="0"/>
    <x v="10"/>
    <n v="0.84"/>
    <s v="Profit"/>
    <s v="No Discount"/>
  </r>
  <r>
    <n v="1469"/>
    <s v="US-2023-119529"/>
    <x v="251"/>
    <d v="2023-11-05T00:00:00"/>
    <s v="Second Class"/>
    <s v="DM-13345"/>
    <s v="Denise Monton"/>
    <x v="2"/>
    <s v="United States"/>
    <s v="Orange"/>
    <s v="New Jersey"/>
    <n v="7050"/>
    <x v="1"/>
    <s v="OFF-BI-10000546"/>
    <x v="0"/>
    <x v="1"/>
    <s v="Avery Durable Binders"/>
    <n v="5.76"/>
    <n v="2"/>
    <n v="0"/>
    <n v="2.8224"/>
    <x v="0"/>
    <x v="10"/>
    <n v="1.4112"/>
    <s v="Profit"/>
    <s v="No Discount"/>
  </r>
  <r>
    <n v="1470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OFF-BI-10000666"/>
    <x v="0"/>
    <x v="1"/>
    <s v="Surelock Post Binders"/>
    <n v="48.896000000000001"/>
    <n v="2"/>
    <n v="0.2"/>
    <n v="18.335999999999999"/>
    <x v="0"/>
    <x v="10"/>
    <n v="9.1679999999999993"/>
    <s v="Profit"/>
    <s v="Low"/>
  </r>
  <r>
    <n v="1471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OFF-BI-10002982"/>
    <x v="0"/>
    <x v="1"/>
    <s v="Avery Self-Adhesive Photo Pockets for Polaroid Photos"/>
    <n v="14.301000000000002"/>
    <n v="7"/>
    <n v="0.7"/>
    <n v="-10.487400000000001"/>
    <x v="0"/>
    <x v="10"/>
    <n v="-1.4982000000000002"/>
    <s v="Loss"/>
    <s v="High"/>
  </r>
  <r>
    <n v="1472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OFF-BI-10003712"/>
    <x v="0"/>
    <x v="1"/>
    <s v="Acco Pressboard Covers with Storage Hooks, 14 7/8&quot; x 11&quot;, Light Blue"/>
    <n v="7.8560000000000008"/>
    <n v="2"/>
    <n v="0.2"/>
    <n v="2.8477999999999994"/>
    <x v="0"/>
    <x v="10"/>
    <n v="1.4238999999999997"/>
    <s v="Profit"/>
    <s v="Low"/>
  </r>
  <r>
    <n v="1473"/>
    <s v="US-2023-146731"/>
    <x v="251"/>
    <d v="2023-11-08T00:00:00"/>
    <s v="Standard Class"/>
    <s v="AT-10735"/>
    <s v="Annie Thurman"/>
    <x v="0"/>
    <s v="United States"/>
    <s v="Nashville"/>
    <s v="Tennessee"/>
    <n v="37211"/>
    <x v="2"/>
    <s v="OFF-PA-10000141"/>
    <x v="0"/>
    <x v="0"/>
    <s v="Ampad Evidence Wirebond Steno Books, 6&quot; x 9&quot;"/>
    <n v="3.4880000000000004"/>
    <n v="2"/>
    <n v="0.2"/>
    <n v="1.1771999999999998"/>
    <x v="0"/>
    <x v="10"/>
    <n v="0.5885999999999999"/>
    <s v="Profit"/>
    <s v="Low"/>
  </r>
  <r>
    <n v="1474"/>
    <s v="US-2023-146731"/>
    <x v="251"/>
    <d v="2023-11-08T00:00:00"/>
    <s v="Standard Class"/>
    <s v="AT-10735"/>
    <s v="Annie Thurman"/>
    <x v="0"/>
    <s v="United States"/>
    <s v="Nashville"/>
    <s v="Tennessee"/>
    <n v="37211"/>
    <x v="2"/>
    <s v="OFF-PA-10001019"/>
    <x v="0"/>
    <x v="0"/>
    <s v="Xerox 1884"/>
    <n v="143.85600000000002"/>
    <n v="9"/>
    <n v="0.2"/>
    <n v="48.551399999999994"/>
    <x v="0"/>
    <x v="10"/>
    <n v="5.3945999999999996"/>
    <s v="Profit"/>
    <s v="Low"/>
  </r>
  <r>
    <n v="1475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OFF-ST-10001558"/>
    <x v="0"/>
    <x v="3"/>
    <s v="Acco Perma 4000 Stacking Storage Drawers"/>
    <n v="25.983999999999998"/>
    <n v="2"/>
    <n v="0.2"/>
    <n v="-1.6239999999999997"/>
    <x v="0"/>
    <x v="10"/>
    <n v="-0.81199999999999983"/>
    <s v="Loss"/>
    <s v="Low"/>
  </r>
  <r>
    <n v="1476"/>
    <s v="US-2023-137589"/>
    <x v="251"/>
    <d v="2023-11-08T00:00:00"/>
    <s v="Standard Class"/>
    <s v="MS-17770"/>
    <s v="Maxwell Schwartz"/>
    <x v="0"/>
    <s v="United States"/>
    <s v="Lancaster"/>
    <s v="Pennsylvania"/>
    <n v="17602"/>
    <x v="1"/>
    <s v="OFF-SU-10000157"/>
    <x v="0"/>
    <x v="14"/>
    <s v="Compact Automatic Electric Letter Opener"/>
    <n v="286.34400000000005"/>
    <n v="3"/>
    <n v="0.2"/>
    <n v="-64.427400000000006"/>
    <x v="0"/>
    <x v="10"/>
    <n v="-21.475800000000003"/>
    <s v="Loss"/>
    <s v="Low"/>
  </r>
  <r>
    <n v="1477"/>
    <s v="US-2023-155593"/>
    <x v="251"/>
    <d v="2023-11-08T00:00:00"/>
    <s v="Standard Class"/>
    <s v="RP-19390"/>
    <s v="Resi Pölking"/>
    <x v="0"/>
    <s v="United States"/>
    <s v="Fairfield"/>
    <s v="Connecticut"/>
    <n v="6824"/>
    <x v="1"/>
    <s v="OFF-SU-10002522"/>
    <x v="0"/>
    <x v="14"/>
    <s v="Acme Kleen Earth Office Shears"/>
    <n v="11.64"/>
    <n v="3"/>
    <n v="0"/>
    <n v="3.3755999999999986"/>
    <x v="0"/>
    <x v="10"/>
    <n v="1.1251999999999995"/>
    <s v="Profit"/>
    <s v="No Discount"/>
  </r>
  <r>
    <n v="1478"/>
    <s v="US-2023-124625"/>
    <x v="251"/>
    <d v="2023-11-07T00:00:00"/>
    <s v="Standard Class"/>
    <s v="SP-20650"/>
    <s v="Stephanie Phelps"/>
    <x v="2"/>
    <s v="United States"/>
    <s v="Omaha"/>
    <s v="Nebraska"/>
    <n v="68104"/>
    <x v="0"/>
    <s v="TEC-AC-10003280"/>
    <x v="2"/>
    <x v="9"/>
    <s v="Belkin F8E887 USB Wired Ergonomic Keyboard"/>
    <n v="89.97"/>
    <n v="3"/>
    <n v="0"/>
    <n v="18.893699999999995"/>
    <x v="0"/>
    <x v="10"/>
    <n v="6.2978999999999985"/>
    <s v="Profit"/>
    <s v="No Discount"/>
  </r>
  <r>
    <n v="1479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TEC-PH-10000984"/>
    <x v="2"/>
    <x v="7"/>
    <s v="Panasonic KX-TG9471B"/>
    <n v="783.96"/>
    <n v="4"/>
    <n v="0"/>
    <n v="219.50880000000006"/>
    <x v="0"/>
    <x v="10"/>
    <n v="54.877200000000016"/>
    <s v="Profit"/>
    <s v="No Discount"/>
  </r>
  <r>
    <n v="1480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FUR-CH-10002602"/>
    <x v="1"/>
    <x v="5"/>
    <s v="DMI Arturo Collection Mission-style Design Wood Chair"/>
    <n v="135.88200000000001"/>
    <n v="1"/>
    <n v="0.1"/>
    <n v="24.156800000000004"/>
    <x v="0"/>
    <x v="10"/>
    <n v="24.156800000000004"/>
    <s v="Profit"/>
    <s v="Low"/>
  </r>
  <r>
    <n v="1481"/>
    <s v="US-2023-149244"/>
    <x v="252"/>
    <d v="2023-11-08T00:00:00"/>
    <s v="Standard Class"/>
    <s v="MS-17530"/>
    <s v="MaryBeth Skach"/>
    <x v="0"/>
    <s v="United States"/>
    <s v="San Diego"/>
    <s v="California"/>
    <n v="92037"/>
    <x v="3"/>
    <s v="FUR-FU-10004671"/>
    <x v="1"/>
    <x v="8"/>
    <s v="Executive Impressions 12&quot; Wall Clock"/>
    <n v="35.340000000000003"/>
    <n v="2"/>
    <n v="0"/>
    <n v="13.429200000000002"/>
    <x v="0"/>
    <x v="10"/>
    <n v="6.7146000000000008"/>
    <s v="Profit"/>
    <s v="No Discount"/>
  </r>
  <r>
    <n v="1482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FUR-TA-10002041"/>
    <x v="1"/>
    <x v="13"/>
    <s v="Bevis Round Conference Table Top, X-Base"/>
    <n v="573.72799999999995"/>
    <n v="4"/>
    <n v="0.2"/>
    <n v="-64.544399999999968"/>
    <x v="0"/>
    <x v="10"/>
    <n v="-16.136099999999992"/>
    <s v="Loss"/>
    <s v="Low"/>
  </r>
  <r>
    <n v="1483"/>
    <s v="US-2023-121286"/>
    <x v="252"/>
    <d v="2023-11-08T00:00:00"/>
    <s v="Second Class"/>
    <s v="ON-18715"/>
    <s v="Odella Nelson"/>
    <x v="2"/>
    <s v="United States"/>
    <s v="Cary"/>
    <s v="North Carolina"/>
    <n v="27511"/>
    <x v="2"/>
    <s v="OFF-AP-10004859"/>
    <x v="0"/>
    <x v="12"/>
    <s v="Acco 6 Outlet Guardian Premium Surge Suppressor"/>
    <n v="58.240000000000009"/>
    <n v="5"/>
    <n v="0.2"/>
    <n v="5.0960000000000001"/>
    <x v="0"/>
    <x v="10"/>
    <n v="1.0192000000000001"/>
    <s v="Profit"/>
    <s v="Low"/>
  </r>
  <r>
    <n v="1484"/>
    <s v="US-2023-134187"/>
    <x v="252"/>
    <d v="2023-11-11T00:00:00"/>
    <s v="Standard Class"/>
    <s v="TH-21235"/>
    <s v="Tiffany House"/>
    <x v="2"/>
    <s v="United States"/>
    <s v="Long Beach"/>
    <s v="California"/>
    <n v="90805"/>
    <x v="3"/>
    <s v="OFF-AR-10000940"/>
    <x v="0"/>
    <x v="4"/>
    <s v="Newell 343"/>
    <n v="2.94"/>
    <n v="1"/>
    <n v="0"/>
    <n v="0.79380000000000006"/>
    <x v="0"/>
    <x v="10"/>
    <n v="0.79380000000000006"/>
    <s v="Profit"/>
    <s v="No Discount"/>
  </r>
  <r>
    <n v="1485"/>
    <s v="US-2023-132227"/>
    <x v="252"/>
    <d v="2023-11-10T00:00:00"/>
    <s v="Standard Class"/>
    <s v="SZ-20035"/>
    <s v="Sam Zeldin"/>
    <x v="1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n v="0.2"/>
    <n v="18.873199999999997"/>
    <x v="0"/>
    <x v="10"/>
    <n v="4.7182999999999993"/>
    <s v="Profit"/>
    <s v="Low"/>
  </r>
  <r>
    <n v="1486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OFF-BI-10001036"/>
    <x v="0"/>
    <x v="1"/>
    <s v="Cardinal EasyOpen D-Ring Binders"/>
    <n v="21.936000000000003"/>
    <n v="3"/>
    <n v="0.2"/>
    <n v="8.2259999999999991"/>
    <x v="0"/>
    <x v="10"/>
    <n v="2.7419999999999995"/>
    <s v="Profit"/>
    <s v="Low"/>
  </r>
  <r>
    <n v="1487"/>
    <s v="US-2023-121286"/>
    <x v="252"/>
    <d v="2023-11-08T00:00:00"/>
    <s v="Second Class"/>
    <s v="ON-18715"/>
    <s v="Odella Nelson"/>
    <x v="2"/>
    <s v="United States"/>
    <s v="Cary"/>
    <s v="North Carolina"/>
    <n v="27511"/>
    <x v="2"/>
    <s v="OFF-FA-10000585"/>
    <x v="0"/>
    <x v="6"/>
    <s v="OIC Bulk Pack Metal Binder Clips"/>
    <n v="8.3760000000000012"/>
    <n v="3"/>
    <n v="0.2"/>
    <n v="2.7222"/>
    <x v="0"/>
    <x v="10"/>
    <n v="0.90739999999999998"/>
    <s v="Profit"/>
    <s v="Low"/>
  </r>
  <r>
    <n v="1488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OFF-PA-10000223"/>
    <x v="0"/>
    <x v="0"/>
    <s v="Xerox 2000"/>
    <n v="19.440000000000001"/>
    <n v="3"/>
    <n v="0"/>
    <n v="9.3312000000000008"/>
    <x v="0"/>
    <x v="10"/>
    <n v="3.1104000000000003"/>
    <s v="Profit"/>
    <s v="No Discount"/>
  </r>
  <r>
    <n v="1489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OFF-ST-10002974"/>
    <x v="0"/>
    <x v="3"/>
    <s v="Trav-L-File Heavy-Duty Shuttle II, Black"/>
    <n v="43.57"/>
    <n v="1"/>
    <n v="0"/>
    <n v="13.070999999999998"/>
    <x v="0"/>
    <x v="10"/>
    <n v="13.070999999999998"/>
    <s v="Profit"/>
    <s v="No Discount"/>
  </r>
  <r>
    <n v="1490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AC-10000892"/>
    <x v="2"/>
    <x v="9"/>
    <s v="NETGEAR N750 Dual Band Wi-Fi Gigabit Router"/>
    <n v="360"/>
    <n v="4"/>
    <n v="0"/>
    <n v="129.6"/>
    <x v="0"/>
    <x v="10"/>
    <n v="32.4"/>
    <s v="Profit"/>
    <s v="No Discount"/>
  </r>
  <r>
    <n v="1491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MA-10002927"/>
    <x v="2"/>
    <x v="15"/>
    <s v="Canon imageCLASS MF7460 Monochrome Digital Laser Multifunction Copier"/>
    <n v="3991.98"/>
    <n v="2"/>
    <n v="0"/>
    <n v="1995.99"/>
    <x v="0"/>
    <x v="10"/>
    <n v="997.995"/>
    <s v="Profit"/>
    <s v="No Discount"/>
  </r>
  <r>
    <n v="1492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TEC-MA-10003246"/>
    <x v="2"/>
    <x v="15"/>
    <s v="Hewlett-Packard Deskjet D4360 Printer"/>
    <n v="447.96800000000007"/>
    <n v="4"/>
    <n v="0.2"/>
    <n v="139.98999999999995"/>
    <x v="0"/>
    <x v="10"/>
    <n v="34.997499999999988"/>
    <s v="Profit"/>
    <s v="Low"/>
  </r>
  <r>
    <n v="1493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TEC-PH-10001079"/>
    <x v="2"/>
    <x v="7"/>
    <s v="Polycom SoundPoint Pro SE-225 Corded phone"/>
    <n v="666.34400000000005"/>
    <n v="7"/>
    <n v="0.2"/>
    <n v="66.634399999999971"/>
    <x v="0"/>
    <x v="10"/>
    <n v="9.5191999999999961"/>
    <s v="Profit"/>
    <s v="Low"/>
  </r>
  <r>
    <n v="1494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PH-10004093"/>
    <x v="2"/>
    <x v="7"/>
    <s v="Panasonic Kx-TS550"/>
    <n v="275.94"/>
    <n v="6"/>
    <n v="0"/>
    <n v="80.022599999999997"/>
    <x v="0"/>
    <x v="10"/>
    <n v="13.3371"/>
    <s v="Profit"/>
    <s v="No Discount"/>
  </r>
  <r>
    <n v="1495"/>
    <s v="US-2023-114377"/>
    <x v="253"/>
    <d v="2023-11-05T00:00:00"/>
    <s v="Same Day"/>
    <s v="BG-11035"/>
    <s v="Barry Gonzalez"/>
    <x v="0"/>
    <s v="United States"/>
    <s v="Hampton"/>
    <s v="Virginia"/>
    <n v="23666"/>
    <x v="2"/>
    <s v="FUR-CH-10004754"/>
    <x v="1"/>
    <x v="5"/>
    <s v="Global Stack Chair with Arms, Black"/>
    <n v="149.9"/>
    <n v="5"/>
    <n v="0"/>
    <n v="40.472999999999999"/>
    <x v="0"/>
    <x v="10"/>
    <n v="8.0945999999999998"/>
    <s v="Profit"/>
    <s v="No Discount"/>
  </r>
  <r>
    <n v="1496"/>
    <s v="US-2023-109134"/>
    <x v="253"/>
    <d v="2023-11-10T00:00:00"/>
    <s v="Standard Class"/>
    <s v="DE-13255"/>
    <s v="Deanra Eno"/>
    <x v="1"/>
    <s v="United States"/>
    <s v="Los Angeles"/>
    <s v="California"/>
    <n v="90008"/>
    <x v="3"/>
    <s v="FUR-FU-10000320"/>
    <x v="1"/>
    <x v="8"/>
    <s v="OIC Stacking Trays"/>
    <n v="20.04"/>
    <n v="6"/>
    <n v="0"/>
    <n v="8.8176000000000023"/>
    <x v="0"/>
    <x v="10"/>
    <n v="1.4696000000000005"/>
    <s v="Profit"/>
    <s v="No Discount"/>
  </r>
  <r>
    <n v="1497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FUR-FU-10001468"/>
    <x v="1"/>
    <x v="8"/>
    <s v="Tenex Antistatic Computer Chair Mats"/>
    <n v="273.56799999999998"/>
    <n v="2"/>
    <n v="0.2"/>
    <n v="-34.196000000000026"/>
    <x v="0"/>
    <x v="10"/>
    <n v="-17.098000000000013"/>
    <s v="Loss"/>
    <s v="Low"/>
  </r>
  <r>
    <n v="1498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OFF-BI-10003684"/>
    <x v="0"/>
    <x v="1"/>
    <s v="Wilson Jones Legal Size Ring Binders"/>
    <n v="13.194000000000001"/>
    <n v="2"/>
    <n v="0.7"/>
    <n v="-8.7959999999999958"/>
    <x v="0"/>
    <x v="10"/>
    <n v="-4.3979999999999979"/>
    <s v="Loss"/>
    <s v="High"/>
  </r>
  <r>
    <n v="1499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OFF-ST-10003716"/>
    <x v="0"/>
    <x v="3"/>
    <s v="Tennsco Double-Tier Lockers"/>
    <n v="1080.096"/>
    <n v="6"/>
    <n v="0.2"/>
    <n v="-94.508399999999995"/>
    <x v="0"/>
    <x v="10"/>
    <n v="-15.751399999999999"/>
    <s v="Loss"/>
    <s v="Low"/>
  </r>
  <r>
    <n v="1500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TEC-AC-10001101"/>
    <x v="2"/>
    <x v="9"/>
    <s v="Sony 16GB Class 10 Micro SDHC R40 Memory Card"/>
    <n v="51.56"/>
    <n v="5"/>
    <n v="0.2"/>
    <n v="-6.4450000000000021"/>
    <x v="0"/>
    <x v="10"/>
    <n v="-1.2890000000000004"/>
    <s v="Loss"/>
    <s v="Low"/>
  </r>
  <r>
    <n v="1501"/>
    <s v="US-2023-133634"/>
    <x v="253"/>
    <d v="2023-11-10T00:00:00"/>
    <s v="Standard Class"/>
    <s v="SR-20740"/>
    <s v="Steven Roelle"/>
    <x v="1"/>
    <s v="United States"/>
    <s v="Arlington"/>
    <s v="Virginia"/>
    <n v="22204"/>
    <x v="2"/>
    <s v="TEC-AC-10002550"/>
    <x v="2"/>
    <x v="9"/>
    <s v="Maxell 4.7GB DVD-RW 3/Pack"/>
    <n v="47.79"/>
    <n v="3"/>
    <n v="0"/>
    <n v="16.2486"/>
    <x v="0"/>
    <x v="10"/>
    <n v="5.4161999999999999"/>
    <s v="Profit"/>
    <s v="No Discount"/>
  </r>
  <r>
    <n v="1502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TEC-AC-10004864"/>
    <x v="2"/>
    <x v="9"/>
    <s v="Memorex Micro Travel Drive 32 GB"/>
    <n v="58.415999999999997"/>
    <n v="2"/>
    <n v="0.2"/>
    <n v="16.794600000000003"/>
    <x v="0"/>
    <x v="10"/>
    <n v="8.3973000000000013"/>
    <s v="Profit"/>
    <s v="Low"/>
  </r>
  <r>
    <n v="1503"/>
    <s v="US-2023-120950"/>
    <x v="254"/>
    <d v="2023-11-11T00:00:00"/>
    <s v="Standard Class"/>
    <s v="GA-14515"/>
    <s v="George Ashbrook"/>
    <x v="0"/>
    <s v="United States"/>
    <s v="Columbus"/>
    <s v="Georgia"/>
    <n v="31907"/>
    <x v="2"/>
    <s v="OFF-PA-10000587"/>
    <x v="0"/>
    <x v="0"/>
    <s v="Array Parchment Paper, Assorted Colors"/>
    <n v="43.68"/>
    <n v="6"/>
    <n v="0"/>
    <n v="20.9664"/>
    <x v="0"/>
    <x v="10"/>
    <n v="3.4944000000000002"/>
    <s v="Profit"/>
    <s v="No Discount"/>
  </r>
  <r>
    <n v="1504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FUR-CH-10002758"/>
    <x v="1"/>
    <x v="5"/>
    <s v="Hon Deluxe Fabric Upholstered Stacking Chairs, Squared Back"/>
    <n v="683.14399999999989"/>
    <n v="4"/>
    <n v="0.3"/>
    <n v="0"/>
    <x v="0"/>
    <x v="10"/>
    <n v="0"/>
    <s v="Break-even"/>
    <s v="Medium"/>
  </r>
  <r>
    <n v="1505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AP-10001293"/>
    <x v="0"/>
    <x v="12"/>
    <s v="Belkin 8 Outlet Surge Protector"/>
    <n v="245.88"/>
    <n v="6"/>
    <n v="0"/>
    <n v="68.846399999999988"/>
    <x v="0"/>
    <x v="10"/>
    <n v="11.474399999999997"/>
    <s v="Profit"/>
    <s v="No Discount"/>
  </r>
  <r>
    <n v="1506"/>
    <s v="US-2023-139640"/>
    <x v="255"/>
    <d v="2023-11-11T00:00:00"/>
    <s v="Second Class"/>
    <s v="TB-21595"/>
    <s v="Troy Blackwell"/>
    <x v="0"/>
    <s v="United States"/>
    <s v="Portland"/>
    <s v="Oregon"/>
    <n v="97206"/>
    <x v="3"/>
    <s v="OFF-AR-10002240"/>
    <x v="0"/>
    <x v="4"/>
    <s v="Panasonic KP-150 Electric Pencil Sharpener"/>
    <n v="120.76800000000001"/>
    <n v="4"/>
    <n v="0.2"/>
    <n v="9.0575999999999972"/>
    <x v="0"/>
    <x v="10"/>
    <n v="2.2643999999999993"/>
    <s v="Profit"/>
    <s v="Low"/>
  </r>
  <r>
    <n v="1507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OFF-BI-10000201"/>
    <x v="0"/>
    <x v="1"/>
    <s v="Avery Triangle Shaped Sheet Lifters, Black, 2/Pack"/>
    <n v="1.4759999999999995"/>
    <n v="3"/>
    <n v="0.8"/>
    <n v="-2.214"/>
    <x v="0"/>
    <x v="10"/>
    <n v="-0.73799999999999999"/>
    <s v="Loss"/>
    <s v="High"/>
  </r>
  <r>
    <n v="1508"/>
    <s v="US-2023-123498"/>
    <x v="255"/>
    <d v="2023-11-09T00:00:00"/>
    <s v="First Class"/>
    <s v="TC-20980"/>
    <s v="Tamara Chand"/>
    <x v="2"/>
    <s v="United States"/>
    <s v="Houston"/>
    <s v="Texas"/>
    <n v="77041"/>
    <x v="0"/>
    <s v="OFF-BI-10000632"/>
    <x v="0"/>
    <x v="1"/>
    <s v="Satellite Sectional Post Binders"/>
    <n v="26.045999999999992"/>
    <n v="3"/>
    <n v="0.8"/>
    <n v="-44.278199999999998"/>
    <x v="0"/>
    <x v="10"/>
    <n v="-14.759399999999999"/>
    <s v="Loss"/>
    <s v="High"/>
  </r>
  <r>
    <n v="1509"/>
    <s v="US-2023-123323"/>
    <x v="255"/>
    <d v="2023-11-12T00:00:00"/>
    <s v="Standard Class"/>
    <s v="LH-16900"/>
    <s v="Lena Hernandez"/>
    <x v="0"/>
    <s v="United States"/>
    <s v="San Francisco"/>
    <s v="California"/>
    <n v="94110"/>
    <x v="3"/>
    <s v="OFF-BI-10003684"/>
    <x v="0"/>
    <x v="1"/>
    <s v="Wilson Jones Legal Size Ring Binders"/>
    <n v="123.14399999999999"/>
    <n v="7"/>
    <n v="0.2"/>
    <n v="46.178999999999988"/>
    <x v="0"/>
    <x v="10"/>
    <n v="6.5969999999999986"/>
    <s v="Profit"/>
    <s v="Low"/>
  </r>
  <r>
    <n v="1510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BI-10004970"/>
    <x v="0"/>
    <x v="1"/>
    <s v="ACCOHIDE 3-Ring Binder, Blue, 1&quot;"/>
    <n v="12.39"/>
    <n v="3"/>
    <n v="0"/>
    <n v="5.8232999999999997"/>
    <x v="0"/>
    <x v="10"/>
    <n v="1.9410999999999998"/>
    <s v="Profit"/>
    <s v="No Discount"/>
  </r>
  <r>
    <n v="1511"/>
    <s v="US-2023-123498"/>
    <x v="255"/>
    <d v="2023-11-09T00:00:00"/>
    <s v="First Class"/>
    <s v="TC-20980"/>
    <s v="Tamara Chand"/>
    <x v="2"/>
    <s v="United States"/>
    <s v="Houston"/>
    <s v="Texas"/>
    <n v="77041"/>
    <x v="0"/>
    <s v="OFF-EN-10004773"/>
    <x v="0"/>
    <x v="11"/>
    <s v="Staple envelope"/>
    <n v="74.352000000000004"/>
    <n v="3"/>
    <n v="0.2"/>
    <n v="26.952599999999997"/>
    <x v="0"/>
    <x v="10"/>
    <n v="8.9841999999999995"/>
    <s v="Profit"/>
    <s v="Low"/>
  </r>
  <r>
    <n v="1512"/>
    <s v="US-2023-146990"/>
    <x v="255"/>
    <d v="2023-11-08T00:00:00"/>
    <s v="First Class"/>
    <s v="BP-11095"/>
    <s v="Bart Pistole"/>
    <x v="2"/>
    <s v="United States"/>
    <s v="New York City"/>
    <s v="New York"/>
    <n v="10024"/>
    <x v="1"/>
    <s v="OFF-FA-10000611"/>
    <x v="0"/>
    <x v="6"/>
    <s v="Binder Clips by OIC"/>
    <n v="5.92"/>
    <n v="4"/>
    <n v="0"/>
    <n v="2.8415999999999997"/>
    <x v="0"/>
    <x v="10"/>
    <n v="0.71039999999999992"/>
    <s v="Profit"/>
    <s v="No Discount"/>
  </r>
  <r>
    <n v="1513"/>
    <s v="US-2023-146990"/>
    <x v="255"/>
    <d v="2023-11-08T00:00:00"/>
    <s v="First Class"/>
    <s v="BP-11095"/>
    <s v="Bart Pistole"/>
    <x v="2"/>
    <s v="United States"/>
    <s v="New York City"/>
    <s v="New York"/>
    <n v="10024"/>
    <x v="1"/>
    <s v="OFF-PA-10000246"/>
    <x v="0"/>
    <x v="0"/>
    <s v="Riverleaf Stik-Withit Designer Note Cubes"/>
    <n v="30.18"/>
    <n v="3"/>
    <n v="0"/>
    <n v="13.8828"/>
    <x v="0"/>
    <x v="10"/>
    <n v="4.6276000000000002"/>
    <s v="Profit"/>
    <s v="No Discount"/>
  </r>
  <r>
    <n v="1514"/>
    <s v="US-2023-139640"/>
    <x v="255"/>
    <d v="2023-11-11T00:00:00"/>
    <s v="Second Class"/>
    <s v="TB-21595"/>
    <s v="Troy Blackwell"/>
    <x v="0"/>
    <s v="United States"/>
    <s v="Portland"/>
    <s v="Oregon"/>
    <n v="97206"/>
    <x v="3"/>
    <s v="OFF-PA-10000304"/>
    <x v="0"/>
    <x v="0"/>
    <s v="Xerox 1995"/>
    <n v="25.920000000000005"/>
    <n v="5"/>
    <n v="0.2"/>
    <n v="9.0719999999999992"/>
    <x v="0"/>
    <x v="10"/>
    <n v="1.8143999999999998"/>
    <s v="Profit"/>
    <s v="Low"/>
  </r>
  <r>
    <n v="1515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ST-10002214"/>
    <x v="0"/>
    <x v="3"/>
    <s v="X-Rack File for Hanging Folders"/>
    <n v="22.58"/>
    <n v="2"/>
    <n v="0"/>
    <n v="5.8707999999999991"/>
    <x v="0"/>
    <x v="10"/>
    <n v="2.9353999999999996"/>
    <s v="Profit"/>
    <s v="No Discount"/>
  </r>
  <r>
    <n v="1516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ST-10004258"/>
    <x v="0"/>
    <x v="3"/>
    <s v="Portable Personal File Box"/>
    <n v="36.630000000000003"/>
    <n v="3"/>
    <n v="0"/>
    <n v="9.8901000000000039"/>
    <x v="0"/>
    <x v="10"/>
    <n v="3.2967000000000013"/>
    <s v="Profit"/>
    <s v="No Discount"/>
  </r>
  <r>
    <n v="1517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OFF-SU-10004115"/>
    <x v="0"/>
    <x v="14"/>
    <s v="Acme Stainless Steel Office Snips"/>
    <n v="40.711999999999996"/>
    <n v="7"/>
    <n v="0.2"/>
    <n v="3.5623000000000022"/>
    <x v="0"/>
    <x v="10"/>
    <n v="0.50890000000000035"/>
    <s v="Profit"/>
    <s v="Low"/>
  </r>
  <r>
    <n v="1518"/>
    <s v="US-2023-126340"/>
    <x v="256"/>
    <d v="2023-11-14T00:00:00"/>
    <s v="Standard Class"/>
    <s v="EB-13870"/>
    <s v="Emily Burns"/>
    <x v="0"/>
    <s v="United States"/>
    <s v="Redding"/>
    <s v="California"/>
    <n v="96003"/>
    <x v="3"/>
    <s v="TEC-PH-10004447"/>
    <x v="2"/>
    <x v="7"/>
    <s v="Toshiba IPT2010-SD IP Telephone"/>
    <n v="333.57600000000002"/>
    <n v="3"/>
    <n v="0.2"/>
    <n v="25.018199999999993"/>
    <x v="0"/>
    <x v="10"/>
    <n v="8.3393999999999977"/>
    <s v="Profit"/>
    <s v="Low"/>
  </r>
  <r>
    <n v="1519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FUR-BO-10001601"/>
    <x v="1"/>
    <x v="10"/>
    <s v="Sauder Mission Library with Doors, Fruitwood Finish"/>
    <n v="222.66599999999997"/>
    <n v="2"/>
    <n v="0.15"/>
    <n v="10.478399999999979"/>
    <x v="0"/>
    <x v="10"/>
    <n v="5.2391999999999896"/>
    <s v="Profit"/>
    <s v="Low"/>
  </r>
  <r>
    <n v="1520"/>
    <s v="US-2023-103219"/>
    <x v="257"/>
    <d v="2023-11-13T00:00:00"/>
    <s v="Standard Class"/>
    <s v="BF-11215"/>
    <s v="Benjamin Farhat"/>
    <x v="1"/>
    <s v="United States"/>
    <s v="New York City"/>
    <s v="New York"/>
    <n v="10035"/>
    <x v="1"/>
    <s v="FUR-FU-10004091"/>
    <x v="1"/>
    <x v="8"/>
    <s v="Eldon 200 Class Desk Accessories, Black"/>
    <n v="56.52"/>
    <n v="9"/>
    <n v="0"/>
    <n v="21.477600000000002"/>
    <x v="0"/>
    <x v="10"/>
    <n v="2.3864000000000001"/>
    <s v="Profit"/>
    <s v="No Discount"/>
  </r>
  <r>
    <n v="1521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PA-10001509"/>
    <x v="0"/>
    <x v="0"/>
    <s v="Recycled Desk Saver Line &quot;While You Were Out&quot; Book, 5 1/2&quot; X 4&quot;"/>
    <n v="62.649999999999991"/>
    <n v="7"/>
    <n v="0"/>
    <n v="28.818999999999996"/>
    <x v="0"/>
    <x v="10"/>
    <n v="4.1169999999999991"/>
    <s v="Profit"/>
    <s v="No Discount"/>
  </r>
  <r>
    <n v="1522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PA-10003465"/>
    <x v="0"/>
    <x v="0"/>
    <s v="Xerox 1912"/>
    <n v="94.85"/>
    <n v="5"/>
    <n v="0"/>
    <n v="45.527999999999992"/>
    <x v="0"/>
    <x v="10"/>
    <n v="9.105599999999999"/>
    <s v="Profit"/>
    <s v="No Discount"/>
  </r>
  <r>
    <n v="1523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ST-10001321"/>
    <x v="0"/>
    <x v="3"/>
    <s v="Decoflex Hanging Personal Folder File, Blue"/>
    <n v="92.52"/>
    <n v="6"/>
    <n v="0"/>
    <n v="24.980400000000007"/>
    <x v="0"/>
    <x v="10"/>
    <n v="4.1634000000000011"/>
    <s v="Profit"/>
    <s v="No Discount"/>
  </r>
  <r>
    <n v="1524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ST-10002743"/>
    <x v="0"/>
    <x v="3"/>
    <s v="SAFCO Boltless Steel Shelving"/>
    <n v="340.92"/>
    <n v="3"/>
    <n v="0"/>
    <n v="3.4091999999999842"/>
    <x v="0"/>
    <x v="10"/>
    <n v="1.1363999999999947"/>
    <s v="Profit"/>
    <s v="No Discount"/>
  </r>
  <r>
    <n v="1525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TEC-PH-10002680"/>
    <x v="2"/>
    <x v="7"/>
    <s v="Samsung Galaxy Note 3"/>
    <n v="703.96800000000007"/>
    <n v="4"/>
    <n v="0.2"/>
    <n v="87.995999999999924"/>
    <x v="0"/>
    <x v="10"/>
    <n v="21.998999999999981"/>
    <s v="Profit"/>
    <s v="Low"/>
  </r>
  <r>
    <n v="1526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FUR-CH-10004997"/>
    <x v="1"/>
    <x v="5"/>
    <s v="Hon Every-Day Series Multi-Task Chairs"/>
    <n v="563.93999999999994"/>
    <n v="3"/>
    <n v="0"/>
    <n v="112.78800000000001"/>
    <x v="0"/>
    <x v="10"/>
    <n v="37.596000000000004"/>
    <s v="Profit"/>
    <s v="No Discount"/>
  </r>
  <r>
    <n v="1527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FUR-FU-10000397"/>
    <x v="1"/>
    <x v="8"/>
    <s v="Luxo Economy Swing Arm Lamp"/>
    <n v="39.880000000000003"/>
    <n v="2"/>
    <n v="0"/>
    <n v="11.166400000000003"/>
    <x v="0"/>
    <x v="10"/>
    <n v="5.5832000000000015"/>
    <s v="Profit"/>
    <s v="No Discount"/>
  </r>
  <r>
    <n v="1528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FUR-FU-10001867"/>
    <x v="1"/>
    <x v="8"/>
    <s v="Eldon Expressions Punched Metal &amp; Wood Desk Accessories, Pewter &amp; Cherry"/>
    <n v="53.2"/>
    <n v="5"/>
    <n v="0"/>
    <n v="14.896000000000003"/>
    <x v="0"/>
    <x v="10"/>
    <n v="2.9792000000000005"/>
    <s v="Profit"/>
    <s v="No Discount"/>
  </r>
  <r>
    <n v="1529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AR-10001149"/>
    <x v="0"/>
    <x v="4"/>
    <s v="Avery Hi-Liter Comfort Grip Fluorescent Highlighter, Yellow Ink"/>
    <n v="3.9"/>
    <n v="2"/>
    <n v="0"/>
    <n v="1.5209999999999999"/>
    <x v="0"/>
    <x v="10"/>
    <n v="0.76049999999999995"/>
    <s v="Profit"/>
    <s v="No Discount"/>
  </r>
  <r>
    <n v="1530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OFF-LA-10000407"/>
    <x v="0"/>
    <x v="2"/>
    <s v="Avery White Multi-Purpose Labels"/>
    <n v="39.840000000000003"/>
    <n v="8"/>
    <n v="0"/>
    <n v="18.3264"/>
    <x v="0"/>
    <x v="10"/>
    <n v="2.2907999999999999"/>
    <s v="Profit"/>
    <s v="No Discount"/>
  </r>
  <r>
    <n v="1531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PA-10000130"/>
    <x v="0"/>
    <x v="0"/>
    <s v="Xerox 199"/>
    <n v="12.84"/>
    <n v="3"/>
    <n v="0"/>
    <n v="5.7779999999999987"/>
    <x v="0"/>
    <x v="10"/>
    <n v="1.9259999999999995"/>
    <s v="Profit"/>
    <s v="No Discount"/>
  </r>
  <r>
    <n v="1532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OFF-PA-10002137"/>
    <x v="0"/>
    <x v="0"/>
    <s v="Southworth 100% Résumé Paper, 24lb."/>
    <n v="62.24"/>
    <n v="8"/>
    <n v="0"/>
    <n v="28.007999999999996"/>
    <x v="0"/>
    <x v="10"/>
    <n v="3.5009999999999994"/>
    <s v="Profit"/>
    <s v="No Discount"/>
  </r>
  <r>
    <n v="1533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PA-10002479"/>
    <x v="0"/>
    <x v="0"/>
    <s v="Xerox 4200 Series MultiUse Premium Copy Paper (20Lb. and 84 Bright)"/>
    <n v="15.84"/>
    <n v="3"/>
    <n v="0"/>
    <n v="7.1280000000000001"/>
    <x v="0"/>
    <x v="10"/>
    <n v="2.3759999999999999"/>
    <s v="Profit"/>
    <s v="No Discount"/>
  </r>
  <r>
    <n v="1534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ST-10001490"/>
    <x v="0"/>
    <x v="3"/>
    <s v="Hot File 7-Pocket, Floor Stand"/>
    <n v="535.41"/>
    <n v="3"/>
    <n v="0"/>
    <n v="160.62299999999993"/>
    <x v="0"/>
    <x v="10"/>
    <n v="53.540999999999976"/>
    <s v="Profit"/>
    <s v="No Discount"/>
  </r>
  <r>
    <n v="1535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ST-10004950"/>
    <x v="0"/>
    <x v="3"/>
    <s v="Acco Perma 3000 Stacking Storage Drawers"/>
    <n v="62.94"/>
    <n v="3"/>
    <n v="0"/>
    <n v="11.958600000000001"/>
    <x v="0"/>
    <x v="10"/>
    <n v="3.9862000000000002"/>
    <s v="Profit"/>
    <s v="No Discount"/>
  </r>
  <r>
    <n v="1536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TEC-AC-10004209"/>
    <x v="2"/>
    <x v="9"/>
    <s v="Memorex Froggy Flash Drive 4 GB"/>
    <n v="10.99"/>
    <n v="1"/>
    <n v="0"/>
    <n v="4.2861000000000002"/>
    <x v="0"/>
    <x v="10"/>
    <n v="4.2861000000000002"/>
    <s v="Profit"/>
    <s v="No Discount"/>
  </r>
  <r>
    <n v="1537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TEC-PH-10002103"/>
    <x v="2"/>
    <x v="7"/>
    <s v="Jabra SPEAK 410"/>
    <n v="601.53599999999994"/>
    <n v="8"/>
    <n v="0.2"/>
    <n v="60.153600000000012"/>
    <x v="0"/>
    <x v="10"/>
    <n v="7.5192000000000014"/>
    <s v="Profit"/>
    <s v="Low"/>
  </r>
  <r>
    <n v="1538"/>
    <s v="US-2023-155796"/>
    <x v="259"/>
    <d v="2023-11-15T00:00:00"/>
    <s v="Second Class"/>
    <s v="TS-21430"/>
    <s v="Tom Stivers"/>
    <x v="2"/>
    <s v="United States"/>
    <s v="Reading"/>
    <s v="Pennsylvania"/>
    <n v="19601"/>
    <x v="1"/>
    <s v="FUR-BO-10002545"/>
    <x v="1"/>
    <x v="10"/>
    <s v="Atlantic Metals Mobile 3-Shelf Bookcases, Custom Colors"/>
    <n v="521.96"/>
    <n v="4"/>
    <n v="0.5"/>
    <n v="-250.54079999999999"/>
    <x v="0"/>
    <x v="10"/>
    <n v="-62.635199999999998"/>
    <s v="Loss"/>
    <s v="High"/>
  </r>
  <r>
    <n v="1539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FUR-CH-10000665"/>
    <x v="1"/>
    <x v="5"/>
    <s v="Global Airflow Leather Mesh Back Chair, Black"/>
    <n v="603.91999999999996"/>
    <n v="5"/>
    <n v="0.2"/>
    <n v="75.489999999999924"/>
    <x v="0"/>
    <x v="10"/>
    <n v="15.097999999999985"/>
    <s v="Profit"/>
    <s v="Low"/>
  </r>
  <r>
    <n v="1540"/>
    <s v="US-2023-105270"/>
    <x v="259"/>
    <d v="2023-11-18T00:00:00"/>
    <s v="Standard Class"/>
    <s v="AP-10915"/>
    <s v="Arthur Prichep"/>
    <x v="0"/>
    <s v="United States"/>
    <s v="Los Angeles"/>
    <s v="California"/>
    <n v="90008"/>
    <x v="3"/>
    <s v="FUR-CH-10000988"/>
    <x v="1"/>
    <x v="5"/>
    <s v="Hon Olson Stacker Stools"/>
    <n v="112.64800000000001"/>
    <n v="1"/>
    <n v="0.2"/>
    <n v="11.264799999999997"/>
    <x v="0"/>
    <x v="10"/>
    <n v="11.264799999999997"/>
    <s v="Profit"/>
    <s v="Low"/>
  </r>
  <r>
    <n v="1541"/>
    <s v="US-2023-140914"/>
    <x v="259"/>
    <d v="2023-11-15T00:00:00"/>
    <s v="Standard Class"/>
    <s v="BH-11710"/>
    <s v="Brosina Hoffman"/>
    <x v="0"/>
    <s v="United States"/>
    <s v="Chicago"/>
    <s v="Illinois"/>
    <n v="60653"/>
    <x v="0"/>
    <s v="FUR-CH-10003379"/>
    <x v="1"/>
    <x v="5"/>
    <s v="Global Commerce Series High-Back Swivel/Tilt Chairs"/>
    <n v="797.94399999999996"/>
    <n v="4"/>
    <n v="0.3"/>
    <n v="-56.995999999999981"/>
    <x v="0"/>
    <x v="10"/>
    <n v="-14.248999999999995"/>
    <s v="Loss"/>
    <s v="Medium"/>
  </r>
  <r>
    <n v="1542"/>
    <s v="US-2023-140914"/>
    <x v="259"/>
    <d v="2023-11-15T00:00:00"/>
    <s v="Standard Class"/>
    <s v="BH-11710"/>
    <s v="Brosina Hoffman"/>
    <x v="0"/>
    <s v="United States"/>
    <s v="Chicago"/>
    <s v="Illinois"/>
    <n v="60653"/>
    <x v="0"/>
    <s v="FUR-FU-10000175"/>
    <x v="1"/>
    <x v="8"/>
    <s v="DAX Wood Document Frame"/>
    <n v="10.984000000000002"/>
    <n v="2"/>
    <n v="0.6"/>
    <n v="-7.9634"/>
    <x v="0"/>
    <x v="10"/>
    <n v="-3.9817"/>
    <s v="Loss"/>
    <s v="High"/>
  </r>
  <r>
    <n v="1543"/>
    <s v="US-2023-155796"/>
    <x v="259"/>
    <d v="2023-11-15T00:00:00"/>
    <s v="Second Class"/>
    <s v="TS-21430"/>
    <s v="Tom Stivers"/>
    <x v="2"/>
    <s v="United States"/>
    <s v="Reading"/>
    <s v="Pennsylvania"/>
    <n v="19601"/>
    <x v="1"/>
    <s v="FUR-FU-10000409"/>
    <x v="1"/>
    <x v="8"/>
    <s v="GE 4 Foot Flourescent Tube, 40 Watt"/>
    <n v="23.968000000000004"/>
    <n v="2"/>
    <n v="0.2"/>
    <n v="7.7896000000000001"/>
    <x v="0"/>
    <x v="10"/>
    <n v="3.8948"/>
    <s v="Profit"/>
    <s v="Low"/>
  </r>
  <r>
    <n v="1544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OFF-AP-10001626"/>
    <x v="0"/>
    <x v="12"/>
    <s v="Commercial WindTunnel Clean Air Upright Vacuum, Replacement Belts, Filtration Bags"/>
    <n v="7.78"/>
    <n v="2"/>
    <n v="0"/>
    <n v="2.0228000000000002"/>
    <x v="0"/>
    <x v="10"/>
    <n v="1.0114000000000001"/>
    <s v="Profit"/>
    <s v="No Discount"/>
  </r>
  <r>
    <n v="1545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OFF-AP-10002892"/>
    <x v="0"/>
    <x v="12"/>
    <s v="Belkin F5C206VTEL 6 Outlet Surge"/>
    <n v="22.98"/>
    <n v="1"/>
    <n v="0"/>
    <n v="6.8939999999999984"/>
    <x v="0"/>
    <x v="10"/>
    <n v="6.8939999999999984"/>
    <s v="Profit"/>
    <s v="No Discount"/>
  </r>
  <r>
    <n v="1546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OFF-AR-10000034"/>
    <x v="0"/>
    <x v="4"/>
    <s v="BIC Brite Liner Grip Highlighters, Assorted, 5/Pack"/>
    <n v="3.3920000000000003"/>
    <n v="1"/>
    <n v="0.2"/>
    <n v="0.80559999999999987"/>
    <x v="0"/>
    <x v="10"/>
    <n v="0.80559999999999987"/>
    <s v="Profit"/>
    <s v="Low"/>
  </r>
  <r>
    <n v="1547"/>
    <s v="US-2023-105270"/>
    <x v="259"/>
    <d v="2023-11-18T00:00:00"/>
    <s v="Standard Class"/>
    <s v="AP-10915"/>
    <s v="Arthur Prichep"/>
    <x v="0"/>
    <s v="United States"/>
    <s v="Los Angeles"/>
    <s v="California"/>
    <n v="90008"/>
    <x v="3"/>
    <s v="OFF-AR-10003156"/>
    <x v="0"/>
    <x v="4"/>
    <s v="50 Colored Long Pencils"/>
    <n v="30.48"/>
    <n v="3"/>
    <n v="0"/>
    <n v="7.9248000000000012"/>
    <x v="0"/>
    <x v="10"/>
    <n v="2.6416000000000004"/>
    <s v="Profit"/>
    <s v="No Discount"/>
  </r>
  <r>
    <n v="1548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AR-10003582"/>
    <x v="0"/>
    <x v="4"/>
    <s v="Boston Electric Pencil Sharpener, Model 1818, Charcoal Black"/>
    <n v="67.56"/>
    <n v="3"/>
    <n v="0.2"/>
    <n v="6.7560000000000038"/>
    <x v="0"/>
    <x v="10"/>
    <n v="2.2520000000000011"/>
    <s v="Profit"/>
    <s v="Low"/>
  </r>
  <r>
    <n v="1549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BI-10001267"/>
    <x v="0"/>
    <x v="1"/>
    <s v="Universal Recycled Hanging Pressboard Report Binders, Letter Size"/>
    <n v="1.2339999999999998"/>
    <n v="1"/>
    <n v="0.8"/>
    <n v="-1.9744000000000002"/>
    <x v="0"/>
    <x v="10"/>
    <n v="-1.9744000000000002"/>
    <s v="Loss"/>
    <s v="High"/>
  </r>
  <r>
    <n v="1550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BI-10001359"/>
    <x v="0"/>
    <x v="1"/>
    <s v="GBC DocuBind TL300 Electric Binding System"/>
    <n v="896.98999999999978"/>
    <n v="5"/>
    <n v="0.8"/>
    <n v="-1480.0335000000009"/>
    <x v="0"/>
    <x v="10"/>
    <n v="-296.00670000000019"/>
    <s v="Loss"/>
    <s v="High"/>
  </r>
  <r>
    <n v="1551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OFF-BI-10003527"/>
    <x v="0"/>
    <x v="1"/>
    <s v="Fellowes PB500 Electric Punch Plastic Comb Binding Machine with Manual Bind"/>
    <n v="2033.5840000000001"/>
    <n v="2"/>
    <n v="0.2"/>
    <n v="762.59400000000005"/>
    <x v="0"/>
    <x v="10"/>
    <n v="381.29700000000003"/>
    <s v="Profit"/>
    <s v="Low"/>
  </r>
  <r>
    <n v="1552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PA-10001033"/>
    <x v="0"/>
    <x v="0"/>
    <s v="Xerox 1893"/>
    <n v="262.33600000000001"/>
    <n v="8"/>
    <n v="0.2"/>
    <n v="95.096800000000002"/>
    <x v="0"/>
    <x v="10"/>
    <n v="11.8871"/>
    <s v="Profit"/>
    <s v="Low"/>
  </r>
  <r>
    <n v="1553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PA-10001776"/>
    <x v="0"/>
    <x v="0"/>
    <s v="Wirebound Message Books, Four 2 3/4&quot; x 5&quot; Forms per Page, 600 Sets per Book"/>
    <n v="46.349999999999994"/>
    <n v="5"/>
    <n v="0"/>
    <n v="21.784499999999998"/>
    <x v="0"/>
    <x v="10"/>
    <n v="4.3568999999999996"/>
    <s v="Profit"/>
    <s v="No Discount"/>
  </r>
  <r>
    <n v="1554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OFF-PA-10003625"/>
    <x v="0"/>
    <x v="0"/>
    <s v="Xerox 1979"/>
    <n v="123.92"/>
    <n v="4"/>
    <n v="0"/>
    <n v="55.763999999999996"/>
    <x v="0"/>
    <x v="10"/>
    <n v="13.940999999999999"/>
    <s v="Profit"/>
    <s v="No Discount"/>
  </r>
  <r>
    <n v="1555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PA-10003724"/>
    <x v="0"/>
    <x v="0"/>
    <s v="Wirebound Message Book, 4 per Page"/>
    <n v="21.720000000000002"/>
    <n v="5"/>
    <n v="0.2"/>
    <n v="7.8734999999999991"/>
    <x v="0"/>
    <x v="10"/>
    <n v="1.5746999999999998"/>
    <s v="Profit"/>
    <s v="Low"/>
  </r>
  <r>
    <n v="1556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PA-10004039"/>
    <x v="0"/>
    <x v="0"/>
    <s v="Xerox 1882"/>
    <n v="223.92"/>
    <n v="4"/>
    <n v="0"/>
    <n v="109.7208"/>
    <x v="0"/>
    <x v="10"/>
    <n v="27.430199999999999"/>
    <s v="Profit"/>
    <s v="No Discount"/>
  </r>
  <r>
    <n v="1557"/>
    <s v="US-2023-105893"/>
    <x v="259"/>
    <d v="2023-11-18T00:00:00"/>
    <s v="Standard Class"/>
    <s v="PK-19075"/>
    <s v="Pete Kriz"/>
    <x v="0"/>
    <s v="United States"/>
    <s v="Madison"/>
    <s v="Wisconsin"/>
    <n v="53711"/>
    <x v="0"/>
    <s v="OFF-ST-10004186"/>
    <x v="0"/>
    <x v="3"/>
    <s v="Stur-D-Stor Shelving, Vertical 5-Shelf: 72&quot;H x 36&quot;W x 18 1/2&quot;D"/>
    <n v="665.88"/>
    <n v="6"/>
    <n v="0"/>
    <n v="13.317599999999999"/>
    <x v="0"/>
    <x v="10"/>
    <n v="2.2195999999999998"/>
    <s v="Profit"/>
    <s v="No Discount"/>
  </r>
  <r>
    <n v="1558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SU-10001574"/>
    <x v="0"/>
    <x v="14"/>
    <s v="Acme Value Line Scissors"/>
    <n v="7.3"/>
    <n v="2"/>
    <n v="0"/>
    <n v="2.1899999999999995"/>
    <x v="0"/>
    <x v="10"/>
    <n v="1.0949999999999998"/>
    <s v="Profit"/>
    <s v="No Discount"/>
  </r>
  <r>
    <n v="1559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TEC-AC-10002718"/>
    <x v="2"/>
    <x v="9"/>
    <s v="Belkin Standard 104 key USB Keyboard"/>
    <n v="102.13"/>
    <n v="7"/>
    <n v="0"/>
    <n v="15.319499999999996"/>
    <x v="0"/>
    <x v="10"/>
    <n v="2.1884999999999994"/>
    <s v="Profit"/>
    <s v="No Discount"/>
  </r>
  <r>
    <n v="1560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TEC-PH-10000560"/>
    <x v="2"/>
    <x v="7"/>
    <s v="Samsung Galaxy S III - 16GB - pebble blue (T-Mobile)"/>
    <n v="559.98400000000004"/>
    <n v="2"/>
    <n v="0.2"/>
    <n v="55.998400000000032"/>
    <x v="0"/>
    <x v="10"/>
    <n v="27.999200000000016"/>
    <s v="Profit"/>
    <s v="Low"/>
  </r>
  <r>
    <n v="1561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TEC-PH-10001425"/>
    <x v="2"/>
    <x v="7"/>
    <s v="Mophie Juice Pack Helium for iPhone"/>
    <n v="575.928"/>
    <n v="9"/>
    <n v="0.2"/>
    <n v="57.592799999999983"/>
    <x v="0"/>
    <x v="10"/>
    <n v="6.3991999999999978"/>
    <s v="Profit"/>
    <s v="Low"/>
  </r>
  <r>
    <n v="1562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TEC-PH-10003505"/>
    <x v="2"/>
    <x v="7"/>
    <s v="Geemarc AmpliPOWER60"/>
    <n v="148.47999999999999"/>
    <n v="2"/>
    <n v="0.2"/>
    <n v="16.703999999999986"/>
    <x v="0"/>
    <x v="10"/>
    <n v="8.3519999999999932"/>
    <s v="Profit"/>
    <s v="Low"/>
  </r>
  <r>
    <n v="1563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TEC-PH-10004959"/>
    <x v="2"/>
    <x v="7"/>
    <s v="Classic Ivory Antique Telephone ZL1810"/>
    <n v="241.17599999999999"/>
    <n v="3"/>
    <n v="0.2"/>
    <n v="15.07350000000001"/>
    <x v="0"/>
    <x v="10"/>
    <n v="5.0245000000000033"/>
    <s v="Profit"/>
    <s v="Low"/>
  </r>
  <r>
    <n v="1564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FUR-BO-10004467"/>
    <x v="1"/>
    <x v="10"/>
    <s v="Bestar Classic Bookcase"/>
    <n v="67.993199999999987"/>
    <n v="1"/>
    <n v="0.32"/>
    <n v="-12.998700000000007"/>
    <x v="0"/>
    <x v="10"/>
    <n v="-12.998700000000007"/>
    <s v="Loss"/>
    <s v="Medium"/>
  </r>
  <r>
    <n v="1565"/>
    <s v="US-2023-122609"/>
    <x v="260"/>
    <d v="2023-11-18T00:00:00"/>
    <s v="Standard Class"/>
    <s v="DP-13000"/>
    <s v="Darren Powers"/>
    <x v="0"/>
    <s v="United States"/>
    <s v="Carrollton"/>
    <s v="Texas"/>
    <n v="75007"/>
    <x v="0"/>
    <s v="FUR-FU-10004587"/>
    <x v="1"/>
    <x v="8"/>
    <s v="GE General Use Halogen Bulbs, 100 Watts, 1 Bulb per Pack"/>
    <n v="25.128000000000004"/>
    <n v="3"/>
    <n v="0.6"/>
    <n v="-6.9101999999999997"/>
    <x v="0"/>
    <x v="10"/>
    <n v="-2.3033999999999999"/>
    <s v="Loss"/>
    <s v="High"/>
  </r>
  <r>
    <n v="1566"/>
    <s v="US-2023-151295"/>
    <x v="260"/>
    <d v="2023-11-16T00:00:00"/>
    <s v="Standard Class"/>
    <s v="JA-15970"/>
    <s v="Joseph Airdo"/>
    <x v="0"/>
    <s v="United States"/>
    <s v="Los Angeles"/>
    <s v="California"/>
    <n v="90045"/>
    <x v="3"/>
    <s v="FUR-TA-10002356"/>
    <x v="1"/>
    <x v="13"/>
    <s v="Bevis Boat-Shaped Conference Table"/>
    <n v="629.06400000000008"/>
    <n v="3"/>
    <n v="0.2"/>
    <n v="31.453199999999953"/>
    <x v="0"/>
    <x v="10"/>
    <n v="10.484399999999985"/>
    <s v="Profit"/>
    <s v="Low"/>
  </r>
  <r>
    <n v="1567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AR-10003183"/>
    <x v="0"/>
    <x v="4"/>
    <s v="Avery Fluorescent Highlighter Four-Color Set"/>
    <n v="2.6720000000000002"/>
    <n v="1"/>
    <n v="0.2"/>
    <n v="0.33399999999999974"/>
    <x v="0"/>
    <x v="10"/>
    <n v="0.33399999999999974"/>
    <s v="Profit"/>
    <s v="Low"/>
  </r>
  <r>
    <n v="1568"/>
    <s v="US-2023-164910"/>
    <x v="260"/>
    <d v="2023-11-17T00:00:00"/>
    <s v="Second Class"/>
    <s v="DM-13345"/>
    <s v="Denise Monton"/>
    <x v="2"/>
    <s v="United States"/>
    <s v="Asheville"/>
    <s v="North Carolina"/>
    <n v="28806"/>
    <x v="2"/>
    <s v="OFF-AR-10003651"/>
    <x v="0"/>
    <x v="4"/>
    <s v="Newell 350"/>
    <n v="7.8719999999999999"/>
    <n v="3"/>
    <n v="0.2"/>
    <n v="0.88559999999999883"/>
    <x v="0"/>
    <x v="10"/>
    <n v="0.29519999999999963"/>
    <s v="Profit"/>
    <s v="Low"/>
  </r>
  <r>
    <n v="1569"/>
    <s v="US-2023-151295"/>
    <x v="260"/>
    <d v="2023-11-16T00:00:00"/>
    <s v="Standard Class"/>
    <s v="JA-15970"/>
    <s v="Joseph Airdo"/>
    <x v="0"/>
    <s v="United States"/>
    <s v="Los Angeles"/>
    <s v="California"/>
    <n v="90045"/>
    <x v="3"/>
    <s v="OFF-PA-10001947"/>
    <x v="0"/>
    <x v="0"/>
    <s v="Xerox 1974"/>
    <n v="11.96"/>
    <n v="2"/>
    <n v="0"/>
    <n v="5.8604000000000003"/>
    <x v="0"/>
    <x v="10"/>
    <n v="2.9302000000000001"/>
    <s v="Profit"/>
    <s v="No Discount"/>
  </r>
  <r>
    <n v="1570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PA-10004100"/>
    <x v="0"/>
    <x v="0"/>
    <s v="Xerox 216"/>
    <n v="36.288000000000011"/>
    <n v="7"/>
    <n v="0.2"/>
    <n v="12.700800000000001"/>
    <x v="0"/>
    <x v="10"/>
    <n v="1.8144000000000002"/>
    <s v="Profit"/>
    <s v="Low"/>
  </r>
  <r>
    <n v="1571"/>
    <s v="US-2023-151078"/>
    <x v="260"/>
    <d v="2023-11-12T00:00:00"/>
    <s v="Same Day"/>
    <s v="RF-19840"/>
    <s v="Roy Französisch"/>
    <x v="0"/>
    <s v="United States"/>
    <s v="San Antonio"/>
    <s v="Texas"/>
    <n v="78207"/>
    <x v="0"/>
    <s v="OFF-ST-10001328"/>
    <x v="0"/>
    <x v="3"/>
    <s v="Personal Filing Tote with Lid, Black/Gray"/>
    <n v="49.632000000000005"/>
    <n v="4"/>
    <n v="0.2"/>
    <n v="4.9632000000000005"/>
    <x v="0"/>
    <x v="10"/>
    <n v="1.2408000000000001"/>
    <s v="Profit"/>
    <s v="Low"/>
  </r>
  <r>
    <n v="1572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SU-10000432"/>
    <x v="0"/>
    <x v="14"/>
    <s v="Acco Side-Punched Conventional Columnar Pads"/>
    <n v="16.656000000000002"/>
    <n v="6"/>
    <n v="0.2"/>
    <n v="-3.123000000000002"/>
    <x v="0"/>
    <x v="10"/>
    <n v="-0.5205000000000003"/>
    <s v="Loss"/>
    <s v="Low"/>
  </r>
  <r>
    <n v="1573"/>
    <s v="US-2023-122609"/>
    <x v="260"/>
    <d v="2023-11-18T00:00:00"/>
    <s v="Standard Class"/>
    <s v="DP-13000"/>
    <s v="Darren Powers"/>
    <x v="0"/>
    <s v="United States"/>
    <s v="Carrollton"/>
    <s v="Texas"/>
    <n v="75007"/>
    <x v="0"/>
    <s v="TEC-AC-10002567"/>
    <x v="2"/>
    <x v="9"/>
    <s v="Logitech G602 Wireless Gaming Mouse"/>
    <n v="127.98399999999999"/>
    <n v="2"/>
    <n v="0.2"/>
    <n v="25.596799999999998"/>
    <x v="0"/>
    <x v="10"/>
    <n v="12.798399999999999"/>
    <s v="Profit"/>
    <s v="Low"/>
  </r>
  <r>
    <n v="1574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TEC-AC-10003832"/>
    <x v="2"/>
    <x v="9"/>
    <s v="Imation 16GB Mini TravelDrive USB 2.0 Flash Drive"/>
    <n v="79.512000000000015"/>
    <n v="3"/>
    <n v="0.2"/>
    <n v="20.8719"/>
    <x v="0"/>
    <x v="10"/>
    <n v="6.9573"/>
    <s v="Profit"/>
    <s v="Low"/>
  </r>
  <r>
    <n v="1575"/>
    <s v="US-2023-166989"/>
    <x v="261"/>
    <d v="2023-11-18T00:00:00"/>
    <s v="Standard Class"/>
    <s v="RM-19675"/>
    <s v="Robert Marley"/>
    <x v="1"/>
    <s v="United States"/>
    <s v="New York City"/>
    <s v="New York"/>
    <n v="10011"/>
    <x v="1"/>
    <s v="FUR-CH-10001797"/>
    <x v="1"/>
    <x v="5"/>
    <s v="Safco Chair Connectors, 6/Carton"/>
    <n v="69.263999999999996"/>
    <n v="2"/>
    <n v="0.1"/>
    <n v="14.62239999999999"/>
    <x v="0"/>
    <x v="10"/>
    <n v="7.311199999999995"/>
    <s v="Profit"/>
    <s v="Low"/>
  </r>
  <r>
    <n v="1576"/>
    <s v="US-2023-162362"/>
    <x v="261"/>
    <d v="2023-11-18T00:00:00"/>
    <s v="Standard Class"/>
    <s v="JL-15505"/>
    <s v="Jeremy Lonsdale"/>
    <x v="0"/>
    <s v="United States"/>
    <s v="Midland"/>
    <s v="Michigan"/>
    <n v="48640"/>
    <x v="0"/>
    <s v="OFF-BI-10000546"/>
    <x v="0"/>
    <x v="1"/>
    <s v="Avery Durable Binders"/>
    <n v="11.52"/>
    <n v="4"/>
    <n v="0"/>
    <n v="5.6448"/>
    <x v="0"/>
    <x v="10"/>
    <n v="1.4112"/>
    <s v="Profit"/>
    <s v="No Discount"/>
  </r>
  <r>
    <n v="1577"/>
    <s v="US-2023-162362"/>
    <x v="261"/>
    <d v="2023-11-18T00:00:00"/>
    <s v="Standard Class"/>
    <s v="JL-15505"/>
    <s v="Jeremy Lonsdale"/>
    <x v="0"/>
    <s v="United States"/>
    <s v="Midland"/>
    <s v="Michigan"/>
    <n v="48640"/>
    <x v="0"/>
    <s v="OFF-BI-10000756"/>
    <x v="0"/>
    <x v="1"/>
    <s v="Storex DuraTech Recycled Plastic Frosted Binders"/>
    <n v="12.72"/>
    <n v="3"/>
    <n v="0"/>
    <n v="6.36"/>
    <x v="0"/>
    <x v="10"/>
    <n v="2.12"/>
    <s v="Profit"/>
    <s v="No Discount"/>
  </r>
  <r>
    <n v="1578"/>
    <s v="US-2023-125556"/>
    <x v="261"/>
    <d v="2023-11-16T00:00:00"/>
    <s v="Second Class"/>
    <s v="ML-17410"/>
    <s v="Maris LaWare"/>
    <x v="0"/>
    <s v="United States"/>
    <s v="Fairfield"/>
    <s v="Connecticut"/>
    <n v="6824"/>
    <x v="1"/>
    <s v="OFF-BI-10003460"/>
    <x v="0"/>
    <x v="1"/>
    <s v="Acco 3-Hole Punch"/>
    <n v="43.8"/>
    <n v="10"/>
    <n v="0"/>
    <n v="21.023999999999997"/>
    <x v="0"/>
    <x v="10"/>
    <n v="2.1023999999999998"/>
    <s v="Profit"/>
    <s v="No Discount"/>
  </r>
  <r>
    <n v="1579"/>
    <s v="US-2023-161634"/>
    <x v="261"/>
    <d v="2023-11-20T00:00:00"/>
    <s v="Standard Class"/>
    <s v="CC-12220"/>
    <s v="Chris Cortes"/>
    <x v="0"/>
    <s v="United States"/>
    <s v="Chesapeake"/>
    <s v="Virginia"/>
    <n v="23320"/>
    <x v="2"/>
    <s v="OFF-PA-10002262"/>
    <x v="0"/>
    <x v="0"/>
    <s v="Xerox 192"/>
    <n v="32.400000000000006"/>
    <n v="5"/>
    <n v="0"/>
    <n v="15.552000000000001"/>
    <x v="0"/>
    <x v="10"/>
    <n v="3.1104000000000003"/>
    <s v="Profit"/>
    <s v="No Discount"/>
  </r>
  <r>
    <n v="1580"/>
    <s v="US-2023-166989"/>
    <x v="261"/>
    <d v="2023-11-18T00:00:00"/>
    <s v="Standard Class"/>
    <s v="RM-19675"/>
    <s v="Robert Marley"/>
    <x v="1"/>
    <s v="United States"/>
    <s v="New York City"/>
    <s v="New York"/>
    <n v="10011"/>
    <x v="1"/>
    <s v="OFF-PA-10004470"/>
    <x v="0"/>
    <x v="0"/>
    <s v="Adams Write n' Stick Phone Message Book, 11&quot; X 5 1/4&quot;, 200 Messages"/>
    <n v="11.36"/>
    <n v="2"/>
    <n v="0"/>
    <n v="5.2255999999999991"/>
    <x v="0"/>
    <x v="10"/>
    <n v="2.6127999999999996"/>
    <s v="Profit"/>
    <s v="No Discount"/>
  </r>
  <r>
    <n v="1581"/>
    <s v="US-2023-151554"/>
    <x v="261"/>
    <d v="2023-11-15T00:00:00"/>
    <s v="First Class"/>
    <s v="CM-11815"/>
    <s v="Candace McMahon"/>
    <x v="2"/>
    <s v="United States"/>
    <s v="Pasadena"/>
    <s v="Texas"/>
    <n v="77506"/>
    <x v="0"/>
    <s v="OFF-PA-10004609"/>
    <x v="0"/>
    <x v="0"/>
    <s v="Xerox 221"/>
    <n v="20.736000000000004"/>
    <n v="4"/>
    <n v="0.2"/>
    <n v="7.2576000000000001"/>
    <x v="0"/>
    <x v="10"/>
    <n v="1.8144"/>
    <s v="Profit"/>
    <s v="Low"/>
  </r>
  <r>
    <n v="1582"/>
    <s v="US-2023-125556"/>
    <x v="261"/>
    <d v="2023-11-16T00:00:00"/>
    <s v="Second Class"/>
    <s v="ML-17410"/>
    <s v="Maris LaWare"/>
    <x v="0"/>
    <s v="United States"/>
    <s v="Fairfield"/>
    <s v="Connecticut"/>
    <n v="6824"/>
    <x v="1"/>
    <s v="TEC-PH-10001079"/>
    <x v="2"/>
    <x v="7"/>
    <s v="Polycom SoundPoint Pro SE-225 Corded phone"/>
    <n v="832.93"/>
    <n v="7"/>
    <n v="0"/>
    <n v="233.22039999999998"/>
    <x v="0"/>
    <x v="10"/>
    <n v="33.3172"/>
    <s v="Profit"/>
    <s v="No Discount"/>
  </r>
  <r>
    <n v="1583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FUR-FU-10002505"/>
    <x v="1"/>
    <x v="8"/>
    <s v="Eldon 100 Class Desk Accessories"/>
    <n v="10.11"/>
    <n v="3"/>
    <n v="0"/>
    <n v="3.2351999999999994"/>
    <x v="0"/>
    <x v="10"/>
    <n v="1.0783999999999998"/>
    <s v="Profit"/>
    <s v="No Discount"/>
  </r>
  <r>
    <n v="1584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AP-10002118"/>
    <x v="0"/>
    <x v="12"/>
    <s v="1.7 Cubic Foot Compact &quot;Cube&quot; Office Refrigerators"/>
    <n v="333.05600000000004"/>
    <n v="2"/>
    <n v="0.2"/>
    <n v="29.142400000000009"/>
    <x v="0"/>
    <x v="10"/>
    <n v="14.571200000000005"/>
    <s v="Profit"/>
    <s v="Low"/>
  </r>
  <r>
    <n v="1585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AR-10001315"/>
    <x v="0"/>
    <x v="4"/>
    <s v="Newell 310"/>
    <n v="4.2240000000000002"/>
    <n v="3"/>
    <n v="0.2"/>
    <n v="0.47519999999999984"/>
    <x v="0"/>
    <x v="10"/>
    <n v="0.15839999999999996"/>
    <s v="Profit"/>
    <s v="Low"/>
  </r>
  <r>
    <n v="1586"/>
    <s v="US-2023-128888"/>
    <x v="262"/>
    <d v="2023-11-22T00:00:00"/>
    <s v="Standard Class"/>
    <s v="PB-19105"/>
    <s v="Peter Bühler"/>
    <x v="0"/>
    <s v="United States"/>
    <s v="Houston"/>
    <s v="Texas"/>
    <n v="77095"/>
    <x v="0"/>
    <s v="OFF-EN-10003001"/>
    <x v="0"/>
    <x v="11"/>
    <s v="Ames Color-File Green Diamond Border X-ray Mailers"/>
    <n v="604.65600000000006"/>
    <n v="9"/>
    <n v="0.2"/>
    <n v="204.07139999999995"/>
    <x v="0"/>
    <x v="10"/>
    <n v="22.674599999999995"/>
    <s v="Profit"/>
    <s v="Low"/>
  </r>
  <r>
    <n v="1587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PA-10002137"/>
    <x v="0"/>
    <x v="0"/>
    <s v="Southworth 100% Résumé Paper, 24lb."/>
    <n v="24.896000000000001"/>
    <n v="4"/>
    <n v="0.2"/>
    <n v="7.7799999999999976"/>
    <x v="0"/>
    <x v="10"/>
    <n v="1.9449999999999994"/>
    <s v="Profit"/>
    <s v="Low"/>
  </r>
  <r>
    <n v="1588"/>
    <s v="US-2023-128622"/>
    <x v="262"/>
    <d v="2023-11-17T00:00:00"/>
    <s v="Second Class"/>
    <s v="SC-20260"/>
    <s v="Scott Cohen"/>
    <x v="2"/>
    <s v="United States"/>
    <s v="San Francisco"/>
    <s v="California"/>
    <n v="94110"/>
    <x v="3"/>
    <s v="OFF-SU-10001574"/>
    <x v="0"/>
    <x v="14"/>
    <s v="Acme Value Line Scissors"/>
    <n v="10.95"/>
    <n v="3"/>
    <n v="0"/>
    <n v="3.2849999999999993"/>
    <x v="0"/>
    <x v="10"/>
    <n v="1.0949999999999998"/>
    <s v="Profit"/>
    <s v="No Discount"/>
  </r>
  <r>
    <n v="1589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OFF-SU-10002537"/>
    <x v="0"/>
    <x v="14"/>
    <s v="Acme Box Cutter Scissors"/>
    <n v="20.46"/>
    <n v="2"/>
    <n v="0"/>
    <n v="5.3196000000000012"/>
    <x v="0"/>
    <x v="10"/>
    <n v="2.6598000000000006"/>
    <s v="Profit"/>
    <s v="No Discount"/>
  </r>
  <r>
    <n v="1590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TEC-AC-10003832"/>
    <x v="2"/>
    <x v="9"/>
    <s v="Logitech P710e Mobile Speakerphone"/>
    <n v="772.47"/>
    <n v="3"/>
    <n v="0"/>
    <n v="146.76929999999993"/>
    <x v="0"/>
    <x v="10"/>
    <n v="48.923099999999977"/>
    <s v="Profit"/>
    <s v="No Discount"/>
  </r>
  <r>
    <n v="1591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FUR-BO-10004015"/>
    <x v="1"/>
    <x v="10"/>
    <s v="Bush Andora Bookcase, Maple/Graphite Gray Finish"/>
    <n v="305.97449999999998"/>
    <n v="3"/>
    <n v="0.15"/>
    <n v="25.197899999999969"/>
    <x v="0"/>
    <x v="10"/>
    <n v="8.3992999999999896"/>
    <s v="Profit"/>
    <s v="Low"/>
  </r>
  <r>
    <n v="1592"/>
    <s v="US-2023-139500"/>
    <x v="263"/>
    <d v="2023-11-20T00:00:00"/>
    <s v="Standard Class"/>
    <s v="AB-10165"/>
    <s v="Alan Barnes"/>
    <x v="0"/>
    <s v="United States"/>
    <s v="Decatur"/>
    <s v="Illinois"/>
    <n v="62521"/>
    <x v="0"/>
    <s v="FUR-CH-10002017"/>
    <x v="1"/>
    <x v="5"/>
    <s v="SAFCO Optional Arm Kit for Workspace Cribbage Stacking Chair"/>
    <n v="37.295999999999999"/>
    <n v="2"/>
    <n v="0.3"/>
    <n v="-1.0656000000000017"/>
    <x v="0"/>
    <x v="10"/>
    <n v="-0.53280000000000083"/>
    <s v="Loss"/>
    <s v="Medium"/>
  </r>
  <r>
    <n v="1593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BI-10001634"/>
    <x v="0"/>
    <x v="1"/>
    <s v="Wilson Jones Active Use Binders"/>
    <n v="29.12"/>
    <n v="4"/>
    <n v="0"/>
    <n v="14.268800000000001"/>
    <x v="0"/>
    <x v="10"/>
    <n v="3.5672000000000001"/>
    <s v="Profit"/>
    <s v="No Discount"/>
  </r>
  <r>
    <n v="1594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EN-10004483"/>
    <x v="0"/>
    <x v="11"/>
    <s v="#10 White Business Envelopes,4 1/8 x 9 1/2"/>
    <n v="78.349999999999994"/>
    <n v="5"/>
    <n v="0"/>
    <n v="36.824499999999993"/>
    <x v="0"/>
    <x v="10"/>
    <n v="7.3648999999999987"/>
    <s v="Profit"/>
    <s v="No Discount"/>
  </r>
  <r>
    <n v="1595"/>
    <s v="US-2023-160066"/>
    <x v="263"/>
    <d v="2023-11-22T00:00:00"/>
    <s v="Standard Class"/>
    <s v="AH-10075"/>
    <s v="Adam Hart"/>
    <x v="2"/>
    <s v="United States"/>
    <s v="Huntington Beach"/>
    <s v="California"/>
    <n v="92646"/>
    <x v="3"/>
    <s v="OFF-LA-10001045"/>
    <x v="0"/>
    <x v="2"/>
    <s v="Permanent Self-Adhesive File Folder Labels for Typewriters by Universal"/>
    <n v="5.22"/>
    <n v="2"/>
    <n v="0"/>
    <n v="2.4011999999999998"/>
    <x v="0"/>
    <x v="10"/>
    <n v="1.2005999999999999"/>
    <s v="Profit"/>
    <s v="No Discount"/>
  </r>
  <r>
    <n v="1596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PA-10003270"/>
    <x v="0"/>
    <x v="0"/>
    <s v="Xerox 1954"/>
    <n v="31.68"/>
    <n v="6"/>
    <n v="0"/>
    <n v="14.256"/>
    <x v="0"/>
    <x v="10"/>
    <n v="2.3759999999999999"/>
    <s v="Profit"/>
    <s v="No Discount"/>
  </r>
  <r>
    <n v="1597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ST-10000675"/>
    <x v="0"/>
    <x v="3"/>
    <s v="File Shuttle II and Handi-File, Black"/>
    <n v="169.45"/>
    <n v="5"/>
    <n v="0"/>
    <n v="42.362499999999997"/>
    <x v="0"/>
    <x v="10"/>
    <n v="8.4725000000000001"/>
    <s v="Profit"/>
    <s v="No Discount"/>
  </r>
  <r>
    <n v="1598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OFF-ST-10000991"/>
    <x v="0"/>
    <x v="3"/>
    <s v="Space Solutions HD Industrial Steel Shelving."/>
    <n v="344.90999999999997"/>
    <n v="3"/>
    <n v="0"/>
    <n v="10.347300000000004"/>
    <x v="0"/>
    <x v="10"/>
    <n v="3.4491000000000014"/>
    <s v="Profit"/>
    <s v="No Discount"/>
  </r>
  <r>
    <n v="1599"/>
    <s v="US-2023-149643"/>
    <x v="263"/>
    <d v="2023-11-20T00:00:00"/>
    <s v="Standard Class"/>
    <s v="RH-19510"/>
    <s v="Rick Huthwaite"/>
    <x v="1"/>
    <s v="United States"/>
    <s v="Manhattan"/>
    <s v="Kansas"/>
    <n v="66502"/>
    <x v="0"/>
    <s v="TEC-PH-10000038"/>
    <x v="2"/>
    <x v="7"/>
    <s v="Jawbone MINI JAMBOX Wireless Bluetooth Speaker"/>
    <n v="273.95999999999998"/>
    <n v="2"/>
    <n v="0"/>
    <n v="10.958399999999983"/>
    <x v="0"/>
    <x v="10"/>
    <n v="5.4791999999999916"/>
    <s v="Profit"/>
    <s v="No Discount"/>
  </r>
  <r>
    <n v="1600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TEC-PH-10004188"/>
    <x v="2"/>
    <x v="7"/>
    <s v="OtterBox Commuter Series Case - Samsung Galaxy S4"/>
    <n v="79.968000000000004"/>
    <n v="4"/>
    <n v="0.2"/>
    <n v="-17.992799999999999"/>
    <x v="0"/>
    <x v="10"/>
    <n v="-4.4981999999999998"/>
    <s v="Loss"/>
    <s v="Low"/>
  </r>
  <r>
    <n v="1601"/>
    <s v="US-2023-128209"/>
    <x v="264"/>
    <d v="2023-11-22T00:00:00"/>
    <s v="Standard Class"/>
    <s v="GT-14710"/>
    <s v="Greg Tran"/>
    <x v="0"/>
    <s v="United States"/>
    <s v="Buffalo"/>
    <s v="New York"/>
    <n v="14215"/>
    <x v="1"/>
    <s v="FUR-BO-10002213"/>
    <x v="1"/>
    <x v="10"/>
    <s v="DMI Eclipse Executive Suite Bookcases"/>
    <n v="4007.8400000000006"/>
    <n v="10"/>
    <n v="0.2"/>
    <n v="-50.098000000000297"/>
    <x v="0"/>
    <x v="10"/>
    <n v="-5.0098000000000296"/>
    <s v="Loss"/>
    <s v="Low"/>
  </r>
  <r>
    <n v="1602"/>
    <s v="US-2023-145926"/>
    <x v="264"/>
    <d v="2023-11-21T00:00:00"/>
    <s v="Standard Class"/>
    <s v="MP-17470"/>
    <s v="Mark Packer"/>
    <x v="1"/>
    <s v="United States"/>
    <s v="Moorhead"/>
    <s v="Minnesota"/>
    <n v="56560"/>
    <x v="0"/>
    <s v="FUR-CH-10004289"/>
    <x v="1"/>
    <x v="5"/>
    <s v="Global Super Steno Chair"/>
    <n v="479.90000000000003"/>
    <n v="5"/>
    <n v="0"/>
    <n v="81.58299999999997"/>
    <x v="0"/>
    <x v="10"/>
    <n v="16.316599999999994"/>
    <s v="Profit"/>
    <s v="No Discount"/>
  </r>
  <r>
    <n v="1603"/>
    <s v="US-2023-159835"/>
    <x v="264"/>
    <d v="2023-11-24T00:00:00"/>
    <s v="Standard Class"/>
    <s v="RB-19330"/>
    <s v="Randy Bradley"/>
    <x v="0"/>
    <s v="United States"/>
    <s v="Philadelphia"/>
    <s v="Pennsylvania"/>
    <n v="19143"/>
    <x v="1"/>
    <s v="FUR-CH-10004997"/>
    <x v="1"/>
    <x v="5"/>
    <s v="Hon Every-Day Series Multi-Task Chairs"/>
    <n v="657.93"/>
    <n v="5"/>
    <n v="0.3"/>
    <n v="-93.989999999999952"/>
    <x v="0"/>
    <x v="10"/>
    <n v="-18.797999999999991"/>
    <s v="Loss"/>
    <s v="Medium"/>
  </r>
  <r>
    <n v="1604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FUR-FU-10002379"/>
    <x v="1"/>
    <x v="8"/>
    <s v="Eldon Econocleat Chair Mats for Low Pile Carpets"/>
    <n v="124.41"/>
    <n v="3"/>
    <n v="0"/>
    <n v="14.929199999999994"/>
    <x v="0"/>
    <x v="10"/>
    <n v="4.9763999999999982"/>
    <s v="Profit"/>
    <s v="No Discount"/>
  </r>
  <r>
    <n v="1605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OFF-AP-10001242"/>
    <x v="0"/>
    <x v="12"/>
    <s v="APC 7 Outlet Network SurgeArrest Surge Protector"/>
    <n v="241.44"/>
    <n v="3"/>
    <n v="0"/>
    <n v="72.431999999999988"/>
    <x v="0"/>
    <x v="10"/>
    <n v="24.143999999999995"/>
    <s v="Profit"/>
    <s v="No Discount"/>
  </r>
  <r>
    <n v="1606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OFF-AR-10003752"/>
    <x v="0"/>
    <x v="4"/>
    <s v="Deluxe Chalkboard Eraser Cleaner"/>
    <n v="57.75"/>
    <n v="5"/>
    <n v="0"/>
    <n v="26.564999999999998"/>
    <x v="0"/>
    <x v="10"/>
    <n v="5.3129999999999997"/>
    <s v="Profit"/>
    <s v="No Discount"/>
  </r>
  <r>
    <n v="1607"/>
    <s v="US-2023-128209"/>
    <x v="264"/>
    <d v="2023-11-22T00:00:00"/>
    <s v="Standard Class"/>
    <s v="GT-14710"/>
    <s v="Greg Tran"/>
    <x v="0"/>
    <s v="United States"/>
    <s v="Buffalo"/>
    <s v="New York"/>
    <n v="14215"/>
    <x v="1"/>
    <s v="OFF-BI-10001359"/>
    <x v="0"/>
    <x v="1"/>
    <s v="GBC DocuBind TL300 Electric Binding System"/>
    <n v="2152.7760000000003"/>
    <n v="3"/>
    <n v="0.2"/>
    <n v="726.56189999999981"/>
    <x v="0"/>
    <x v="10"/>
    <n v="242.18729999999994"/>
    <s v="Profit"/>
    <s v="Low"/>
  </r>
  <r>
    <n v="1608"/>
    <s v="US-2023-130869"/>
    <x v="264"/>
    <d v="2023-11-21T00:00:00"/>
    <s v="Standard Class"/>
    <s v="CB-12025"/>
    <s v="Cassandra Brandow"/>
    <x v="0"/>
    <s v="United States"/>
    <s v="Cedar Hill"/>
    <s v="Texas"/>
    <n v="75104"/>
    <x v="0"/>
    <s v="OFF-EN-10002600"/>
    <x v="0"/>
    <x v="11"/>
    <s v="Redi-Strip #10 Envelopes, 4 1/8 x 9 1/2"/>
    <n v="7.080000000000001"/>
    <n v="3"/>
    <n v="0.2"/>
    <n v="2.4779999999999989"/>
    <x v="0"/>
    <x v="10"/>
    <n v="0.82599999999999962"/>
    <s v="Profit"/>
    <s v="Low"/>
  </r>
  <r>
    <n v="1609"/>
    <s v="US-2023-159835"/>
    <x v="264"/>
    <d v="2023-11-24T00:00:00"/>
    <s v="Standard Class"/>
    <s v="RB-19330"/>
    <s v="Randy Bradley"/>
    <x v="0"/>
    <s v="United States"/>
    <s v="Philadelphia"/>
    <s v="Pennsylvania"/>
    <n v="19143"/>
    <x v="1"/>
    <s v="OFF-PA-10002137"/>
    <x v="0"/>
    <x v="0"/>
    <s v="Southworth 100% Résumé Paper, 24lb."/>
    <n v="12.448"/>
    <n v="2"/>
    <n v="0.2"/>
    <n v="3.8899999999999988"/>
    <x v="0"/>
    <x v="10"/>
    <n v="1.9449999999999994"/>
    <s v="Profit"/>
    <s v="Low"/>
  </r>
  <r>
    <n v="1610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OFF-PA-10003395"/>
    <x v="0"/>
    <x v="0"/>
    <s v="Xerox 1941"/>
    <n v="733.94999999999993"/>
    <n v="7"/>
    <n v="0"/>
    <n v="352.29599999999999"/>
    <x v="0"/>
    <x v="10"/>
    <n v="50.327999999999996"/>
    <s v="Profit"/>
    <s v="No Discount"/>
  </r>
  <r>
    <n v="1611"/>
    <s v="US-2023-101833"/>
    <x v="264"/>
    <d v="2023-11-22T00:00:00"/>
    <s v="Second Class"/>
    <s v="FG-14260"/>
    <s v="Frank Gastineau"/>
    <x v="1"/>
    <s v="United States"/>
    <s v="New York City"/>
    <s v="New York"/>
    <n v="10024"/>
    <x v="1"/>
    <s v="OFF-PA-10003591"/>
    <x v="0"/>
    <x v="0"/>
    <s v="Southworth 100% Cotton The Best Paper"/>
    <n v="34.44"/>
    <n v="3"/>
    <n v="0"/>
    <n v="17.22"/>
    <x v="0"/>
    <x v="10"/>
    <n v="5.7399999999999993"/>
    <s v="Profit"/>
    <s v="No Discount"/>
  </r>
  <r>
    <n v="1612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OFF-ST-10002011"/>
    <x v="0"/>
    <x v="3"/>
    <s v="Smead Adjustable Mobile File Trolley with Lockable Top"/>
    <n v="2934.33"/>
    <n v="7"/>
    <n v="0"/>
    <n v="792.26910000000021"/>
    <x v="0"/>
    <x v="10"/>
    <n v="113.18130000000004"/>
    <s v="Profit"/>
    <s v="No Discount"/>
  </r>
  <r>
    <n v="1613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TEC-AC-10001314"/>
    <x v="2"/>
    <x v="9"/>
    <s v="Case Logic 2.4GHz Wireless Keyboard"/>
    <n v="99.98"/>
    <n v="2"/>
    <n v="0"/>
    <n v="7.9983999999999895"/>
    <x v="0"/>
    <x v="10"/>
    <n v="3.9991999999999948"/>
    <s v="Profit"/>
    <s v="No Discount"/>
  </r>
  <r>
    <n v="1614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BO-10003546"/>
    <x v="1"/>
    <x v="10"/>
    <s v="Hon 4-Shelf Metal Bookcases"/>
    <n v="424.11599999999999"/>
    <n v="6"/>
    <n v="0.3"/>
    <n v="-30.293999999999983"/>
    <x v="0"/>
    <x v="10"/>
    <n v="-5.0489999999999968"/>
    <s v="Loss"/>
    <s v="Medium"/>
  </r>
  <r>
    <n v="1615"/>
    <s v="US-2023-161032"/>
    <x v="265"/>
    <d v="2023-11-23T00:00:00"/>
    <s v="Standard Class"/>
    <s v="MK-17905"/>
    <s v="Michael Kennedy"/>
    <x v="2"/>
    <s v="United States"/>
    <s v="Franklin"/>
    <s v="Wisconsin"/>
    <n v="53132"/>
    <x v="0"/>
    <s v="FUR-CH-10001482"/>
    <x v="1"/>
    <x v="5"/>
    <s v="Office Star - Mesh Screen back chair with Vinyl seat"/>
    <n v="392.93999999999994"/>
    <n v="3"/>
    <n v="0"/>
    <n v="43.223399999999984"/>
    <x v="0"/>
    <x v="10"/>
    <n v="14.407799999999995"/>
    <s v="Profit"/>
    <s v="No Discount"/>
  </r>
  <r>
    <n v="1616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FUR-FU-10001473"/>
    <x v="1"/>
    <x v="8"/>
    <s v="Eldon Executive Woodline II Desk Accessories, Mahogany"/>
    <n v="60.311999999999998"/>
    <n v="3"/>
    <n v="0.2"/>
    <n v="5.2773000000000003"/>
    <x v="0"/>
    <x v="10"/>
    <n v="1.7591000000000001"/>
    <s v="Profit"/>
    <s v="Low"/>
  </r>
  <r>
    <n v="1617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FU-10001546"/>
    <x v="1"/>
    <x v="8"/>
    <s v="Dana Swing-Arm Lamps"/>
    <n v="8.5440000000000005"/>
    <n v="2"/>
    <n v="0.6"/>
    <n v="-7.4759999999999991"/>
    <x v="0"/>
    <x v="10"/>
    <n v="-3.7379999999999995"/>
    <s v="Loss"/>
    <s v="High"/>
  </r>
  <r>
    <n v="1618"/>
    <s v="US-2023-124702"/>
    <x v="265"/>
    <d v="2023-11-25T00:00:00"/>
    <s v="Standard Class"/>
    <s v="MH-17785"/>
    <s v="Maya Herman"/>
    <x v="2"/>
    <s v="United States"/>
    <s v="Seattle"/>
    <s v="Washington"/>
    <n v="98105"/>
    <x v="3"/>
    <s v="FUR-FU-10003553"/>
    <x v="1"/>
    <x v="8"/>
    <s v="Howard Miller 13-1/2&quot; Diameter Rosebrook Wall Clock"/>
    <n v="137.54"/>
    <n v="2"/>
    <n v="0"/>
    <n v="55.016000000000005"/>
    <x v="0"/>
    <x v="10"/>
    <n v="27.508000000000003"/>
    <s v="Profit"/>
    <s v="No Discount"/>
  </r>
  <r>
    <n v="1619"/>
    <s v="US-2023-164210"/>
    <x v="265"/>
    <d v="2023-11-20T00:00:00"/>
    <s v="Second Class"/>
    <s v="PW-19240"/>
    <s v="Pierre Wener"/>
    <x v="0"/>
    <s v="United States"/>
    <s v="Louisville"/>
    <s v="Colorado"/>
    <n v="80027"/>
    <x v="3"/>
    <s v="FUR-TA-10000849"/>
    <x v="1"/>
    <x v="13"/>
    <s v="Bevis Rectangular Conference Tables"/>
    <n v="145.97999999999999"/>
    <n v="2"/>
    <n v="0.5"/>
    <n v="-99.266399999999976"/>
    <x v="0"/>
    <x v="10"/>
    <n v="-49.633199999999988"/>
    <s v="Loss"/>
    <s v="High"/>
  </r>
  <r>
    <n v="1620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TA-10002533"/>
    <x v="1"/>
    <x v="13"/>
    <s v="BPI Conference Tables"/>
    <n v="292.10000000000002"/>
    <n v="4"/>
    <n v="0.5"/>
    <n v="-175.26000000000005"/>
    <x v="0"/>
    <x v="10"/>
    <n v="-43.815000000000012"/>
    <s v="Loss"/>
    <s v="High"/>
  </r>
  <r>
    <n v="1621"/>
    <s v="US-2023-124702"/>
    <x v="265"/>
    <d v="2023-11-25T00:00:00"/>
    <s v="Standard Class"/>
    <s v="MH-17785"/>
    <s v="Maya Herman"/>
    <x v="2"/>
    <s v="United States"/>
    <s v="Seattle"/>
    <s v="Washington"/>
    <n v="98105"/>
    <x v="3"/>
    <s v="FUR-TA-10003008"/>
    <x v="1"/>
    <x v="13"/>
    <s v="Lesro Round Back Collection Coffee Table, End Table"/>
    <n v="730.2"/>
    <n v="4"/>
    <n v="0"/>
    <n v="94.926000000000045"/>
    <x v="0"/>
    <x v="10"/>
    <n v="23.731500000000011"/>
    <s v="Profit"/>
    <s v="No Discount"/>
  </r>
  <r>
    <n v="1622"/>
    <s v="US-2023-115336"/>
    <x v="265"/>
    <d v="2023-11-25T00:00:00"/>
    <s v="Standard Class"/>
    <s v="AB-10600"/>
    <s v="Ann Blume"/>
    <x v="2"/>
    <s v="United States"/>
    <s v="Chicago"/>
    <s v="Illinois"/>
    <n v="60623"/>
    <x v="0"/>
    <s v="OFF-BI-10001107"/>
    <x v="0"/>
    <x v="1"/>
    <s v="GBC White Gloss Covers, Plain Front"/>
    <n v="14.479999999999997"/>
    <n v="5"/>
    <n v="0.8"/>
    <n v="-23.89200000000001"/>
    <x v="0"/>
    <x v="10"/>
    <n v="-4.7784000000000022"/>
    <s v="Loss"/>
    <s v="High"/>
  </r>
  <r>
    <n v="1623"/>
    <s v="US-2023-133809"/>
    <x v="265"/>
    <d v="2023-11-23T00:00:00"/>
    <s v="Second Class"/>
    <s v="MS-17530"/>
    <s v="MaryBeth Skach"/>
    <x v="0"/>
    <s v="United States"/>
    <s v="Fairfield"/>
    <s v="Ohio"/>
    <n v="45014"/>
    <x v="1"/>
    <s v="OFF-BI-10001757"/>
    <x v="0"/>
    <x v="1"/>
    <s v="Pressboard Hanging Data Binders for Unburst Sheets"/>
    <n v="11.808000000000002"/>
    <n v="8"/>
    <n v="0.7"/>
    <n v="-8.659200000000002"/>
    <x v="0"/>
    <x v="10"/>
    <n v="-1.0824000000000003"/>
    <s v="Loss"/>
    <s v="High"/>
  </r>
  <r>
    <n v="1624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BI-10003656"/>
    <x v="0"/>
    <x v="1"/>
    <s v="Fellowes PB200 Plastic Comb Binding Machine"/>
    <n v="50.997000000000007"/>
    <n v="1"/>
    <n v="0.7"/>
    <n v="-40.797600000000003"/>
    <x v="0"/>
    <x v="10"/>
    <n v="-40.797600000000003"/>
    <s v="Loss"/>
    <s v="High"/>
  </r>
  <r>
    <n v="1625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BI-10004656"/>
    <x v="0"/>
    <x v="1"/>
    <s v="Peel &amp; Stick Add-On Corner Pockets"/>
    <n v="1.9440000000000004"/>
    <n v="3"/>
    <n v="0.7"/>
    <n v="-1.4255999999999998"/>
    <x v="0"/>
    <x v="10"/>
    <n v="-0.4751999999999999"/>
    <s v="Loss"/>
    <s v="High"/>
  </r>
  <r>
    <n v="1626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OFF-BI-10004728"/>
    <x v="0"/>
    <x v="1"/>
    <s v="Wilson Jones Turn Tabs Binder Tool for Ring Binders"/>
    <n v="2.8919999999999995"/>
    <n v="3"/>
    <n v="0.8"/>
    <n v="-4.9164000000000012"/>
    <x v="0"/>
    <x v="10"/>
    <n v="-1.6388000000000005"/>
    <s v="Loss"/>
    <s v="High"/>
  </r>
  <r>
    <n v="1627"/>
    <s v="US-2023-164210"/>
    <x v="265"/>
    <d v="2023-11-20T00:00:00"/>
    <s v="Second Class"/>
    <s v="PW-19240"/>
    <s v="Pierre Wener"/>
    <x v="0"/>
    <s v="United States"/>
    <s v="Louisville"/>
    <s v="Colorado"/>
    <n v="80027"/>
    <x v="3"/>
    <s v="OFF-PA-10002259"/>
    <x v="0"/>
    <x v="0"/>
    <s v="Geographics Note Cards, Blank, White, 8 1/2&quot; x 11&quot;"/>
    <n v="35.808"/>
    <n v="4"/>
    <n v="0.2"/>
    <n v="12.5328"/>
    <x v="0"/>
    <x v="10"/>
    <n v="3.1332"/>
    <s v="Profit"/>
    <s v="Low"/>
  </r>
  <r>
    <n v="1628"/>
    <s v="US-2023-104829"/>
    <x v="265"/>
    <d v="2023-11-21T00:00:00"/>
    <s v="Second Class"/>
    <s v="JG-15805"/>
    <s v="John Grady"/>
    <x v="2"/>
    <s v="United States"/>
    <s v="Provo"/>
    <s v="Utah"/>
    <n v="84604"/>
    <x v="3"/>
    <s v="OFF-PA-10003016"/>
    <x v="0"/>
    <x v="0"/>
    <s v="Adams &quot;While You Were Out&quot; Message Pads"/>
    <n v="21.98"/>
    <n v="7"/>
    <n v="0"/>
    <n v="9.8909999999999982"/>
    <x v="0"/>
    <x v="10"/>
    <n v="1.4129999999999998"/>
    <s v="Profit"/>
    <s v="No Discount"/>
  </r>
  <r>
    <n v="1629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OFF-ST-10000025"/>
    <x v="0"/>
    <x v="3"/>
    <s v="Fellowes Stor/Drawer Steel Plus Storage Drawers"/>
    <n v="381.72"/>
    <n v="5"/>
    <n v="0.2"/>
    <n v="-66.801000000000045"/>
    <x v="0"/>
    <x v="10"/>
    <n v="-13.36020000000001"/>
    <s v="Loss"/>
    <s v="Low"/>
  </r>
  <r>
    <n v="1630"/>
    <s v="US-2023-141173"/>
    <x v="265"/>
    <d v="2023-11-20T00:00:00"/>
    <s v="Second Class"/>
    <s v="JC-16105"/>
    <s v="Julie Creighton"/>
    <x v="2"/>
    <s v="United States"/>
    <s v="Minneapolis"/>
    <s v="Minnesota"/>
    <n v="55407"/>
    <x v="0"/>
    <s v="OFF-ST-10000885"/>
    <x v="0"/>
    <x v="3"/>
    <s v="Fellowes Desktop Hanging File Manager"/>
    <n v="67.150000000000006"/>
    <n v="5"/>
    <n v="0"/>
    <n v="16.787500000000001"/>
    <x v="0"/>
    <x v="10"/>
    <n v="3.3575000000000004"/>
    <s v="Profit"/>
    <s v="No Discount"/>
  </r>
  <r>
    <n v="1631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ST-10003656"/>
    <x v="0"/>
    <x v="3"/>
    <s v="Safco Industrial Wire Shelving"/>
    <n v="76.792000000000002"/>
    <n v="1"/>
    <n v="0.2"/>
    <n v="-16.318300000000001"/>
    <x v="0"/>
    <x v="10"/>
    <n v="-16.318300000000001"/>
    <s v="Loss"/>
    <s v="Low"/>
  </r>
  <r>
    <n v="1632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TEC-PH-10001128"/>
    <x v="2"/>
    <x v="7"/>
    <s v="Motorola Droid Maxx"/>
    <n v="539.96399999999994"/>
    <n v="6"/>
    <n v="0.4"/>
    <n v="-107.99280000000002"/>
    <x v="0"/>
    <x v="10"/>
    <n v="-17.998800000000003"/>
    <s v="Loss"/>
    <s v="Medium"/>
  </r>
  <r>
    <n v="1633"/>
    <s v="US-2023-133809"/>
    <x v="265"/>
    <d v="2023-11-23T00:00:00"/>
    <s v="Second Class"/>
    <s v="MS-17530"/>
    <s v="MaryBeth Skach"/>
    <x v="0"/>
    <s v="United States"/>
    <s v="Fairfield"/>
    <s v="Ohio"/>
    <n v="45014"/>
    <x v="1"/>
    <s v="TEC-PH-10004875"/>
    <x v="2"/>
    <x v="7"/>
    <s v="PNY Rapid USB Car Charger - Black"/>
    <n v="9.5879999999999992"/>
    <n v="2"/>
    <n v="0.4"/>
    <n v="-2.0773999999999999"/>
    <x v="0"/>
    <x v="10"/>
    <n v="-1.0387"/>
    <s v="Loss"/>
    <s v="Medium"/>
  </r>
  <r>
    <n v="1634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FUR-BO-10000362"/>
    <x v="1"/>
    <x v="10"/>
    <s v="Sauder Inglewood Library Bookcases"/>
    <n v="1025.8799999999999"/>
    <n v="6"/>
    <n v="0"/>
    <n v="235.95240000000001"/>
    <x v="0"/>
    <x v="10"/>
    <n v="39.325400000000002"/>
    <s v="Profit"/>
    <s v="No Discount"/>
  </r>
  <r>
    <n v="1635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BI-10002429"/>
    <x v="0"/>
    <x v="1"/>
    <s v="Premier Elliptical Ring Binder, Black"/>
    <n v="213.08"/>
    <n v="7"/>
    <n v="0"/>
    <n v="102.2784"/>
    <x v="0"/>
    <x v="10"/>
    <n v="14.6112"/>
    <s v="Profit"/>
    <s v="No Discount"/>
  </r>
  <r>
    <n v="1636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LA-10001569"/>
    <x v="0"/>
    <x v="2"/>
    <s v="Avery 499"/>
    <n v="9.9600000000000009"/>
    <n v="2"/>
    <n v="0"/>
    <n v="4.5815999999999999"/>
    <x v="0"/>
    <x v="10"/>
    <n v="2.2907999999999999"/>
    <s v="Profit"/>
    <s v="No Discount"/>
  </r>
  <r>
    <n v="1637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LA-10002787"/>
    <x v="0"/>
    <x v="2"/>
    <s v="Avery 480"/>
    <n v="22.5"/>
    <n v="6"/>
    <n v="0"/>
    <n v="10.799999999999999"/>
    <x v="0"/>
    <x v="10"/>
    <n v="1.7999999999999998"/>
    <s v="Profit"/>
    <s v="No Discount"/>
  </r>
  <r>
    <n v="1638"/>
    <s v="US-2023-100972"/>
    <x v="266"/>
    <d v="2023-11-24T00:00:00"/>
    <s v="Second Class"/>
    <s v="DB-13360"/>
    <s v="Dennis Bolton"/>
    <x v="1"/>
    <s v="United States"/>
    <s v="Salt Lake City"/>
    <s v="Utah"/>
    <n v="84106"/>
    <x v="3"/>
    <s v="OFF-PA-10000357"/>
    <x v="0"/>
    <x v="0"/>
    <s v="Xerox 1888"/>
    <n v="166.44"/>
    <n v="3"/>
    <n v="0"/>
    <n v="79.891199999999998"/>
    <x v="0"/>
    <x v="10"/>
    <n v="26.630399999999998"/>
    <s v="Profit"/>
    <s v="No Discount"/>
  </r>
  <r>
    <n v="1639"/>
    <s v="US-2023-128062"/>
    <x v="266"/>
    <d v="2023-11-22T00:00:00"/>
    <s v="Second Class"/>
    <s v="AD-10180"/>
    <s v="Alan Dominguez"/>
    <x v="1"/>
    <s v="United States"/>
    <s v="Philadelphia"/>
    <s v="Pennsylvania"/>
    <n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5"/>
    <x v="0"/>
    <x v="10"/>
    <n v="1.9844999999999995"/>
    <s v="Profit"/>
    <s v="Low"/>
  </r>
  <r>
    <n v="1640"/>
    <s v="US-2023-150518"/>
    <x v="266"/>
    <d v="2023-11-24T00:00:00"/>
    <s v="Standard Class"/>
    <s v="MW-18220"/>
    <s v="Mitch Webber"/>
    <x v="0"/>
    <s v="United States"/>
    <s v="Coon Rapids"/>
    <s v="Minnesota"/>
    <n v="55433"/>
    <x v="0"/>
    <s v="OFF-ST-10000877"/>
    <x v="0"/>
    <x v="3"/>
    <s v="Recycled Steel Personal File for Standard File Folders"/>
    <n v="221.16"/>
    <n v="4"/>
    <n v="0"/>
    <n v="57.501599999999996"/>
    <x v="0"/>
    <x v="10"/>
    <n v="14.375399999999999"/>
    <s v="Profit"/>
    <s v="No Discount"/>
  </r>
  <r>
    <n v="1641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AC-10002345"/>
    <x v="2"/>
    <x v="9"/>
    <s v="HP Standard 104 key PS/2 Keyboard"/>
    <n v="29"/>
    <n v="2"/>
    <n v="0"/>
    <n v="7.25"/>
    <x v="0"/>
    <x v="10"/>
    <n v="3.625"/>
    <s v="Profit"/>
    <s v="No Discount"/>
  </r>
  <r>
    <n v="1642"/>
    <s v="US-2023-149034"/>
    <x v="266"/>
    <d v="2023-11-21T00:00:00"/>
    <s v="First Class"/>
    <s v="RD-19900"/>
    <s v="Ruben Dartt"/>
    <x v="0"/>
    <s v="United States"/>
    <s v="Philadelphia"/>
    <s v="Pennsylvania"/>
    <n v="19120"/>
    <x v="1"/>
    <s v="TEC-AC-10003023"/>
    <x v="2"/>
    <x v="9"/>
    <s v="Logitech G105 Gaming Keyboard"/>
    <n v="47.496000000000002"/>
    <n v="1"/>
    <n v="0.2"/>
    <n v="-1.187400000000002"/>
    <x v="0"/>
    <x v="10"/>
    <n v="-1.187400000000002"/>
    <s v="Loss"/>
    <s v="Low"/>
  </r>
  <r>
    <n v="1643"/>
    <s v="US-2023-150518"/>
    <x v="266"/>
    <d v="2023-11-24T00:00:00"/>
    <s v="Standard Class"/>
    <s v="MW-18220"/>
    <s v="Mitch Webber"/>
    <x v="0"/>
    <s v="United States"/>
    <s v="Coon Rapids"/>
    <s v="Minnesota"/>
    <n v="55433"/>
    <x v="0"/>
    <s v="TEC-PH-10002103"/>
    <x v="2"/>
    <x v="7"/>
    <s v="Jabra SPEAK 410"/>
    <n v="281.96999999999997"/>
    <n v="3"/>
    <n v="0"/>
    <n v="78.951599999999999"/>
    <x v="0"/>
    <x v="10"/>
    <n v="26.3172"/>
    <s v="Profit"/>
    <s v="No Discount"/>
  </r>
  <r>
    <n v="1644"/>
    <s v="US-2023-144624"/>
    <x v="266"/>
    <d v="2023-11-23T00:00:00"/>
    <s v="Standard Class"/>
    <s v="JM-15865"/>
    <s v="John Murray"/>
    <x v="0"/>
    <s v="United States"/>
    <s v="Jamestown"/>
    <s v="New York"/>
    <n v="14701"/>
    <x v="1"/>
    <s v="TEC-PH-10002885"/>
    <x v="2"/>
    <x v="7"/>
    <s v="Apple iPhone 5"/>
    <n v="4548.8100000000004"/>
    <n v="7"/>
    <n v="0"/>
    <n v="1228.1787000000004"/>
    <x v="0"/>
    <x v="10"/>
    <n v="175.45410000000007"/>
    <s v="Profit"/>
    <s v="No Discount"/>
  </r>
  <r>
    <n v="1645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PH-10003273"/>
    <x v="2"/>
    <x v="7"/>
    <s v="AT&amp;T TR1909W"/>
    <n v="503.96"/>
    <n v="4"/>
    <n v="0"/>
    <n v="131.02960000000002"/>
    <x v="0"/>
    <x v="10"/>
    <n v="32.757400000000004"/>
    <s v="Profit"/>
    <s v="No Discount"/>
  </r>
  <r>
    <n v="1646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PH-10004896"/>
    <x v="2"/>
    <x v="7"/>
    <s v="Nokia Lumia 521 (T-Mobile)"/>
    <n v="149.94999999999999"/>
    <n v="5"/>
    <n v="0"/>
    <n v="41.986000000000004"/>
    <x v="0"/>
    <x v="10"/>
    <n v="8.3972000000000016"/>
    <s v="Profit"/>
    <s v="No Discount"/>
  </r>
  <r>
    <n v="1647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BI-10003669"/>
    <x v="0"/>
    <x v="1"/>
    <s v="3M Organizer Strips"/>
    <n v="12.96"/>
    <n v="3"/>
    <n v="0.2"/>
    <n v="4.5359999999999996"/>
    <x v="0"/>
    <x v="10"/>
    <n v="1.5119999999999998"/>
    <s v="Profit"/>
    <s v="Low"/>
  </r>
  <r>
    <n v="1648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EN-10002592"/>
    <x v="0"/>
    <x v="11"/>
    <s v="Peel &amp; Seel Recycled Catalog Envelopes, Brown"/>
    <n v="34.74"/>
    <n v="3"/>
    <n v="0"/>
    <n v="17.37"/>
    <x v="0"/>
    <x v="10"/>
    <n v="5.79"/>
    <s v="Profit"/>
    <s v="No Discount"/>
  </r>
  <r>
    <n v="1649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PA-10000223"/>
    <x v="0"/>
    <x v="0"/>
    <s v="Xerox 2000"/>
    <n v="25.92"/>
    <n v="4"/>
    <n v="0"/>
    <n v="12.441600000000001"/>
    <x v="0"/>
    <x v="10"/>
    <n v="3.1104000000000003"/>
    <s v="Profit"/>
    <s v="No Discount"/>
  </r>
  <r>
    <n v="1650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TEC-PH-10004447"/>
    <x v="2"/>
    <x v="7"/>
    <s v="Toshiba IPT2010-SD IP Telephone"/>
    <n v="833.94"/>
    <n v="6"/>
    <n v="0"/>
    <n v="216.8244"/>
    <x v="0"/>
    <x v="10"/>
    <n v="36.1374"/>
    <s v="Profit"/>
    <s v="No Discount"/>
  </r>
  <r>
    <n v="1651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AR-10002833"/>
    <x v="0"/>
    <x v="4"/>
    <s v="Newell 322"/>
    <n v="5.46"/>
    <n v="3"/>
    <n v="0"/>
    <n v="1.4742000000000002"/>
    <x v="0"/>
    <x v="10"/>
    <n v="0.49140000000000006"/>
    <s v="Profit"/>
    <s v="No Discount"/>
  </r>
  <r>
    <n v="1652"/>
    <s v="US-2023-168501"/>
    <x v="268"/>
    <d v="2023-11-27T00:00:00"/>
    <s v="Standard Class"/>
    <s v="JK-15325"/>
    <s v="Jason Klamczynski"/>
    <x v="2"/>
    <s v="United States"/>
    <s v="Dallas"/>
    <s v="Texas"/>
    <n v="75220"/>
    <x v="0"/>
    <s v="OFF-EN-10001509"/>
    <x v="0"/>
    <x v="11"/>
    <s v="Poly String Tie Envelopes"/>
    <n v="1.6320000000000001"/>
    <n v="1"/>
    <n v="0.2"/>
    <n v="0.55079999999999985"/>
    <x v="0"/>
    <x v="10"/>
    <n v="0.55079999999999985"/>
    <s v="Profit"/>
    <s v="Low"/>
  </r>
  <r>
    <n v="1653"/>
    <s v="US-2023-154781"/>
    <x v="268"/>
    <d v="2023-11-26T00:00:00"/>
    <s v="Standard Class"/>
    <s v="SC-20680"/>
    <s v="Steve Carroll"/>
    <x v="1"/>
    <s v="United States"/>
    <s v="San Francisco"/>
    <s v="California"/>
    <n v="94110"/>
    <x v="3"/>
    <s v="OFF-PA-10001609"/>
    <x v="0"/>
    <x v="0"/>
    <s v="Tops Wirebound Message Log Books"/>
    <n v="6.58"/>
    <n v="2"/>
    <n v="0"/>
    <n v="3.0267999999999997"/>
    <x v="0"/>
    <x v="10"/>
    <n v="1.5133999999999999"/>
    <s v="Profit"/>
    <s v="No Discount"/>
  </r>
  <r>
    <n v="1654"/>
    <s v="US-2023-103401"/>
    <x v="268"/>
    <d v="2023-11-26T00:00:00"/>
    <s v="Standard Class"/>
    <s v="GR-14560"/>
    <s v="Georgia Rosenberg"/>
    <x v="2"/>
    <s v="United States"/>
    <s v="San Francisco"/>
    <s v="California"/>
    <n v="94110"/>
    <x v="3"/>
    <s v="OFF-PA-10003309"/>
    <x v="0"/>
    <x v="0"/>
    <s v="Xerox 211"/>
    <n v="12.96"/>
    <n v="2"/>
    <n v="0"/>
    <n v="6.2208000000000006"/>
    <x v="0"/>
    <x v="10"/>
    <n v="3.1104000000000003"/>
    <s v="Profit"/>
    <s v="No Discount"/>
  </r>
  <r>
    <n v="1655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PA-10004359"/>
    <x v="0"/>
    <x v="0"/>
    <s v="Multicolor Computer Printout Paper"/>
    <n v="629.09999999999991"/>
    <n v="6"/>
    <n v="0"/>
    <n v="301.96799999999996"/>
    <x v="0"/>
    <x v="10"/>
    <n v="50.327999999999996"/>
    <s v="Profit"/>
    <s v="No Discount"/>
  </r>
  <r>
    <n v="1656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ST-10001511"/>
    <x v="0"/>
    <x v="3"/>
    <s v="Space Solutions Commercial Steel Shelving"/>
    <n v="193.95000000000002"/>
    <n v="3"/>
    <n v="0"/>
    <n v="9.6974999999999838"/>
    <x v="0"/>
    <x v="10"/>
    <n v="3.2324999999999946"/>
    <s v="Profit"/>
    <s v="No Discount"/>
  </r>
  <r>
    <n v="1657"/>
    <s v="US-2023-154781"/>
    <x v="268"/>
    <d v="2023-11-26T00:00:00"/>
    <s v="Standard Class"/>
    <s v="SC-20680"/>
    <s v="Steve Carroll"/>
    <x v="1"/>
    <s v="United States"/>
    <s v="San Francisco"/>
    <s v="California"/>
    <n v="94110"/>
    <x v="3"/>
    <s v="TEC-AC-10000474"/>
    <x v="2"/>
    <x v="9"/>
    <s v="Kensington Expert Mouse Optical USB Trackball for PC or Mac"/>
    <n v="94.99"/>
    <n v="1"/>
    <n v="0"/>
    <n v="28.496999999999986"/>
    <x v="0"/>
    <x v="10"/>
    <n v="28.496999999999986"/>
    <s v="Profit"/>
    <s v="No Discount"/>
  </r>
  <r>
    <n v="1658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TEC-PH-10002923"/>
    <x v="2"/>
    <x v="7"/>
    <s v="Logitech B530 USB Headset - headset - Full size, Binaural"/>
    <n v="36.99"/>
    <n v="1"/>
    <n v="0"/>
    <n v="9.9873000000000012"/>
    <x v="0"/>
    <x v="10"/>
    <n v="9.9873000000000012"/>
    <s v="Profit"/>
    <s v="No Discount"/>
  </r>
  <r>
    <n v="1659"/>
    <s v="US-2023-168501"/>
    <x v="268"/>
    <d v="2023-11-27T00:00:00"/>
    <s v="Standard Class"/>
    <s v="JK-15325"/>
    <s v="Jason Klamczynski"/>
    <x v="2"/>
    <s v="United States"/>
    <s v="Dallas"/>
    <s v="Texas"/>
    <n v="75220"/>
    <x v="0"/>
    <s v="TEC-PH-10004922"/>
    <x v="2"/>
    <x v="7"/>
    <s v="RCA Visys Integrated PBX 8-Line Router"/>
    <n v="267.95999999999998"/>
    <n v="5"/>
    <n v="0.2"/>
    <n v="16.747500000000016"/>
    <x v="0"/>
    <x v="10"/>
    <n v="3.3495000000000035"/>
    <s v="Profit"/>
    <s v="Low"/>
  </r>
  <r>
    <n v="1660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AP-10002734"/>
    <x v="0"/>
    <x v="12"/>
    <s v="Holmes Harmony HEPA Air Purifier for 17 x 20 Room"/>
    <n v="675.12"/>
    <n v="3"/>
    <n v="0"/>
    <n v="290.30160000000001"/>
    <x v="0"/>
    <x v="10"/>
    <n v="96.767200000000003"/>
    <s v="Profit"/>
    <s v="No Discount"/>
  </r>
  <r>
    <n v="1661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BI-10001071"/>
    <x v="0"/>
    <x v="1"/>
    <s v="GBC ProClick Punch Binding System"/>
    <n v="319.89999999999998"/>
    <n v="5"/>
    <n v="0"/>
    <n v="156.751"/>
    <x v="0"/>
    <x v="10"/>
    <n v="31.350200000000001"/>
    <s v="Profit"/>
    <s v="No Discount"/>
  </r>
  <r>
    <n v="1662"/>
    <s v="US-2023-105340"/>
    <x v="269"/>
    <d v="2023-11-25T00:00:00"/>
    <s v="First Class"/>
    <s v="EH-14185"/>
    <s v="Evan Henry"/>
    <x v="0"/>
    <s v="United States"/>
    <s v="Pasadena"/>
    <s v="Texas"/>
    <n v="77506"/>
    <x v="0"/>
    <s v="OFF-BI-10001765"/>
    <x v="0"/>
    <x v="1"/>
    <s v="Wilson Jones Heavy-Duty Casebound Ring Binders with Metal Hinges"/>
    <n v="6.9279999999999982"/>
    <n v="1"/>
    <n v="0.8"/>
    <n v="-11.084800000000005"/>
    <x v="0"/>
    <x v="10"/>
    <n v="-11.084800000000005"/>
    <s v="Loss"/>
    <s v="High"/>
  </r>
  <r>
    <n v="1663"/>
    <s v="US-2023-112200"/>
    <x v="269"/>
    <d v="2023-11-28T00:00:00"/>
    <s v="Standard Class"/>
    <s v="TC-21475"/>
    <s v="Tony Chapman"/>
    <x v="1"/>
    <s v="United States"/>
    <s v="Bolingbrook"/>
    <s v="Illinois"/>
    <n v="60440"/>
    <x v="0"/>
    <s v="OFF-BI-10002571"/>
    <x v="0"/>
    <x v="1"/>
    <s v="Avery Framed View Binder, EZD Ring (Locking), Navy, 1 1/2&quot;"/>
    <n v="9.9799999999999969"/>
    <n v="5"/>
    <n v="0.8"/>
    <n v="-16.467000000000002"/>
    <x v="0"/>
    <x v="10"/>
    <n v="-3.2934000000000005"/>
    <s v="Loss"/>
    <s v="High"/>
  </r>
  <r>
    <n v="1664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EN-10001990"/>
    <x v="0"/>
    <x v="11"/>
    <s v="Staple envelope"/>
    <n v="11.36"/>
    <n v="2"/>
    <n v="0"/>
    <n v="5.3391999999999991"/>
    <x v="0"/>
    <x v="10"/>
    <n v="2.6695999999999995"/>
    <s v="Profit"/>
    <s v="No Discount"/>
  </r>
  <r>
    <n v="1665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EN-10004955"/>
    <x v="0"/>
    <x v="11"/>
    <s v="Fashion Color Clasp Envelopes"/>
    <n v="16.23"/>
    <n v="3"/>
    <n v="0"/>
    <n v="7.9527000000000001"/>
    <x v="0"/>
    <x v="10"/>
    <n v="2.6509"/>
    <s v="Profit"/>
    <s v="No Discount"/>
  </r>
  <r>
    <n v="1666"/>
    <s v="US-2023-125682"/>
    <x v="269"/>
    <d v="2023-11-25T00:00:00"/>
    <s v="First Class"/>
    <s v="RB-19645"/>
    <s v="Robert Barroso"/>
    <x v="2"/>
    <s v="United States"/>
    <s v="Atlanta"/>
    <s v="Georgia"/>
    <n v="30318"/>
    <x v="2"/>
    <s v="OFF-PA-10001752"/>
    <x v="0"/>
    <x v="0"/>
    <s v="Hammermill CopyPlus Copy Paper (20Lb. and 84 Bright)"/>
    <n v="9.9600000000000009"/>
    <n v="2"/>
    <n v="0"/>
    <n v="4.8804000000000007"/>
    <x v="0"/>
    <x v="10"/>
    <n v="2.4402000000000004"/>
    <s v="Profit"/>
    <s v="No Discount"/>
  </r>
  <r>
    <n v="1667"/>
    <s v="US-2023-135090"/>
    <x v="269"/>
    <d v="2023-11-26T00:00:00"/>
    <s v="Standard Class"/>
    <s v="SP-20920"/>
    <s v="Susan Pistek"/>
    <x v="0"/>
    <s v="United States"/>
    <s v="Los Angeles"/>
    <s v="California"/>
    <n v="90036"/>
    <x v="3"/>
    <s v="OFF-PA-10002245"/>
    <x v="0"/>
    <x v="0"/>
    <s v="Xerox 1895"/>
    <n v="53.820000000000007"/>
    <n v="9"/>
    <n v="0"/>
    <n v="24.218999999999998"/>
    <x v="0"/>
    <x v="10"/>
    <n v="2.6909999999999998"/>
    <s v="Profit"/>
    <s v="No Discount"/>
  </r>
  <r>
    <n v="1668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FUR-CH-10000595"/>
    <x v="1"/>
    <x v="5"/>
    <s v="Safco Contoured Stacking Chairs"/>
    <n v="381.44000000000005"/>
    <n v="2"/>
    <n v="0.2"/>
    <n v="23.839999999999975"/>
    <x v="0"/>
    <x v="10"/>
    <n v="11.919999999999987"/>
    <s v="Profit"/>
    <s v="Low"/>
  </r>
  <r>
    <n v="1669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FUR-CH-10000863"/>
    <x v="1"/>
    <x v="5"/>
    <s v="Novimex Swivel Fabric Task Chair"/>
    <n v="603.91999999999996"/>
    <n v="5"/>
    <n v="0.2"/>
    <n v="-67.941000000000003"/>
    <x v="0"/>
    <x v="10"/>
    <n v="-13.588200000000001"/>
    <s v="Loss"/>
    <s v="Low"/>
  </r>
  <r>
    <n v="1670"/>
    <s v="US-2023-143721"/>
    <x v="270"/>
    <d v="2023-11-26T00:00:00"/>
    <s v="Second Class"/>
    <s v="DK-12835"/>
    <s v="Damala Kotsonis"/>
    <x v="2"/>
    <s v="United States"/>
    <s v="Houston"/>
    <s v="Texas"/>
    <n v="77095"/>
    <x v="0"/>
    <s v="FUR-CH-10001973"/>
    <x v="1"/>
    <x v="5"/>
    <s v="Office Star Flex Back Scooter Chair with White Frame"/>
    <n v="155.37199999999999"/>
    <n v="2"/>
    <n v="0.3"/>
    <n v="-35.513599999999997"/>
    <x v="0"/>
    <x v="10"/>
    <n v="-17.756799999999998"/>
    <s v="Loss"/>
    <s v="Medium"/>
  </r>
  <r>
    <n v="1671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FUR-FU-10001940"/>
    <x v="1"/>
    <x v="8"/>
    <s v="Staple-based wall hangings"/>
    <n v="6.3680000000000003"/>
    <n v="2"/>
    <n v="0.6"/>
    <n v="-2.5471999999999984"/>
    <x v="0"/>
    <x v="10"/>
    <n v="-1.2735999999999992"/>
    <s v="Loss"/>
    <s v="High"/>
  </r>
  <r>
    <n v="1672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OFF-AP-10004336"/>
    <x v="0"/>
    <x v="12"/>
    <s v="Conquest 14 Commercial Heavy-Duty Upright Vacuum, Collection System, Accessory Kit"/>
    <n v="34.175999999999995"/>
    <n v="3"/>
    <n v="0.8"/>
    <n v="-87.148800000000023"/>
    <x v="0"/>
    <x v="10"/>
    <n v="-29.049600000000009"/>
    <s v="Loss"/>
    <s v="High"/>
  </r>
  <r>
    <n v="1673"/>
    <s v="US-2023-139283"/>
    <x v="270"/>
    <d v="2023-11-27T00:00:00"/>
    <s v="Standard Class"/>
    <s v="BT-11440"/>
    <s v="Bobby Trafton"/>
    <x v="0"/>
    <s v="United States"/>
    <s v="Detroit"/>
    <s v="Michigan"/>
    <n v="48227"/>
    <x v="0"/>
    <s v="OFF-BI-10002049"/>
    <x v="0"/>
    <x v="1"/>
    <s v="UniKeep View Case Binders"/>
    <n v="14.669999999999998"/>
    <n v="3"/>
    <n v="0"/>
    <n v="6.7481999999999989"/>
    <x v="0"/>
    <x v="10"/>
    <n v="2.2493999999999996"/>
    <s v="Profit"/>
    <s v="No Discount"/>
  </r>
  <r>
    <n v="1674"/>
    <s v="US-2023-159625"/>
    <x v="270"/>
    <d v="2023-11-28T00:00:00"/>
    <s v="Standard Class"/>
    <s v="SM-20005"/>
    <s v="Sally Matthias"/>
    <x v="0"/>
    <s v="United States"/>
    <s v="Scottsdale"/>
    <s v="Arizona"/>
    <n v="85254"/>
    <x v="3"/>
    <s v="OFF-EN-10002621"/>
    <x v="0"/>
    <x v="11"/>
    <s v="Staple envelope"/>
    <n v="23.472000000000001"/>
    <n v="3"/>
    <n v="0.2"/>
    <n v="8.8019999999999978"/>
    <x v="0"/>
    <x v="10"/>
    <n v="2.9339999999999993"/>
    <s v="Profit"/>
    <s v="Low"/>
  </r>
  <r>
    <n v="1675"/>
    <s v="US-2023-149055"/>
    <x v="270"/>
    <d v="2023-11-28T00:00:00"/>
    <s v="Standard Class"/>
    <s v="PB-19210"/>
    <s v="Phillip Breyer"/>
    <x v="2"/>
    <s v="United States"/>
    <s v="Philadelphia"/>
    <s v="Pennsylvania"/>
    <n v="19134"/>
    <x v="1"/>
    <s v="OFF-EN-10003040"/>
    <x v="0"/>
    <x v="11"/>
    <s v="Quality Park Security Envelopes"/>
    <n v="62.808000000000007"/>
    <n v="3"/>
    <n v="0.2"/>
    <n v="21.197700000000001"/>
    <x v="0"/>
    <x v="10"/>
    <n v="7.0659000000000001"/>
    <s v="Profit"/>
    <s v="Low"/>
  </r>
  <r>
    <n v="1676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OFF-EN-10003160"/>
    <x v="0"/>
    <x v="11"/>
    <s v="Pastel Pink Envelopes"/>
    <n v="21.84"/>
    <n v="3"/>
    <n v="0"/>
    <n v="10.4832"/>
    <x v="0"/>
    <x v="10"/>
    <n v="3.4944000000000002"/>
    <s v="Profit"/>
    <s v="No Discount"/>
  </r>
  <r>
    <n v="1677"/>
    <s v="US-2023-110352"/>
    <x v="270"/>
    <d v="2023-11-29T00:00:00"/>
    <s v="Standard Class"/>
    <s v="ED-13885"/>
    <s v="Emily Ducich"/>
    <x v="1"/>
    <s v="United States"/>
    <s v="Houston"/>
    <s v="Texas"/>
    <n v="77036"/>
    <x v="0"/>
    <s v="OFF-LA-10003923"/>
    <x v="0"/>
    <x v="2"/>
    <s v="Alphabetical Labels for Top Tab Filing"/>
    <n v="23.680000000000003"/>
    <n v="2"/>
    <n v="0.2"/>
    <n v="8.879999999999999"/>
    <x v="0"/>
    <x v="10"/>
    <n v="4.4399999999999995"/>
    <s v="Profit"/>
    <s v="Low"/>
  </r>
  <r>
    <n v="1678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TEC-AC-10003280"/>
    <x v="2"/>
    <x v="9"/>
    <s v="Belkin F8E887 USB Wired Ergonomic Keyboard"/>
    <n v="29.99"/>
    <n v="1"/>
    <n v="0"/>
    <n v="6.2978999999999985"/>
    <x v="0"/>
    <x v="10"/>
    <n v="6.2978999999999985"/>
    <s v="Profit"/>
    <s v="No Discount"/>
  </r>
  <r>
    <n v="1679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TEC-AC-10003709"/>
    <x v="2"/>
    <x v="9"/>
    <s v="Maxell 4.7GB DVD-R 5/Pack"/>
    <n v="5.5440000000000005"/>
    <n v="7"/>
    <n v="0.2"/>
    <n v="1.6632000000000007"/>
    <x v="0"/>
    <x v="10"/>
    <n v="0.23760000000000009"/>
    <s v="Profit"/>
    <s v="Low"/>
  </r>
  <r>
    <n v="1680"/>
    <s v="US-2023-105984"/>
    <x v="271"/>
    <d v="2023-11-24T00:00:00"/>
    <s v="Same Day"/>
    <s v="MY-18295"/>
    <s v="Muhammed Yedwab"/>
    <x v="2"/>
    <s v="United States"/>
    <s v="Columbus"/>
    <s v="Ohio"/>
    <n v="43229"/>
    <x v="1"/>
    <s v="FUR-CH-10000847"/>
    <x v="1"/>
    <x v="5"/>
    <s v="Global Executive Mid-Back Manager's Chair"/>
    <n v="611.05799999999999"/>
    <n v="3"/>
    <n v="0.3"/>
    <n v="-34.917600000000022"/>
    <x v="0"/>
    <x v="10"/>
    <n v="-11.639200000000008"/>
    <s v="Loss"/>
    <s v="Medium"/>
  </r>
  <r>
    <n v="1681"/>
    <s v="US-2023-102295"/>
    <x v="271"/>
    <d v="2023-11-26T00:00:00"/>
    <s v="Second Class"/>
    <s v="EH-13990"/>
    <s v="Erica Hackney"/>
    <x v="0"/>
    <s v="United States"/>
    <s v="Sacramento"/>
    <s v="California"/>
    <n v="95823"/>
    <x v="3"/>
    <s v="FUR-CH-10001714"/>
    <x v="1"/>
    <x v="5"/>
    <s v="Global Leather &amp; Oak Executive Chair, Burgundy"/>
    <n v="120.71199999999999"/>
    <n v="1"/>
    <n v="0.2"/>
    <n v="-18.106799999999993"/>
    <x v="0"/>
    <x v="10"/>
    <n v="-18.106799999999993"/>
    <s v="Loss"/>
    <s v="Low"/>
  </r>
  <r>
    <n v="1682"/>
    <s v="US-2023-158540"/>
    <x v="271"/>
    <d v="2023-11-26T00:00:00"/>
    <s v="First Class"/>
    <s v="VG-21790"/>
    <s v="Vivek Gonzalez"/>
    <x v="0"/>
    <s v="United States"/>
    <s v="San Diego"/>
    <s v="California"/>
    <n v="92037"/>
    <x v="3"/>
    <s v="FUR-FU-10001602"/>
    <x v="1"/>
    <x v="8"/>
    <s v="Eldon Delta Triangular Chair Mat, 52&quot; x 58&quot;, Clear"/>
    <n v="151.72"/>
    <n v="4"/>
    <n v="0"/>
    <n v="27.309599999999989"/>
    <x v="0"/>
    <x v="10"/>
    <n v="6.8273999999999972"/>
    <s v="Profit"/>
    <s v="No Discount"/>
  </r>
  <r>
    <n v="1683"/>
    <s v="US-2023-122217"/>
    <x v="271"/>
    <d v="2023-11-29T00:00:00"/>
    <s v="Standard Class"/>
    <s v="HP-14815"/>
    <s v="Harold Pawlan"/>
    <x v="1"/>
    <s v="United States"/>
    <s v="Virginia Beach"/>
    <s v="Virginia"/>
    <n v="23464"/>
    <x v="2"/>
    <s v="FUR-FU-10002045"/>
    <x v="1"/>
    <x v="8"/>
    <s v="Executive Impressions 14&quot;"/>
    <n v="111.15"/>
    <n v="5"/>
    <n v="0"/>
    <n v="48.906000000000006"/>
    <x v="0"/>
    <x v="10"/>
    <n v="9.7812000000000019"/>
    <s v="Profit"/>
    <s v="No Discount"/>
  </r>
  <r>
    <n v="1684"/>
    <s v="US-2023-153850"/>
    <x v="271"/>
    <d v="2023-11-29T00:00:00"/>
    <s v="Standard Class"/>
    <s v="TH-21100"/>
    <s v="Thea Hendricks"/>
    <x v="0"/>
    <s v="United States"/>
    <s v="Toledo"/>
    <s v="Ohio"/>
    <n v="43615"/>
    <x v="1"/>
    <s v="FUR-FU-10002960"/>
    <x v="1"/>
    <x v="8"/>
    <s v="Eldon 200 Class Desk Accessories, Burgundy"/>
    <n v="35.168000000000006"/>
    <n v="7"/>
    <n v="0.2"/>
    <n v="9.6712000000000025"/>
    <x v="0"/>
    <x v="10"/>
    <n v="1.3816000000000004"/>
    <s v="Profit"/>
    <s v="Low"/>
  </r>
  <r>
    <n v="1685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AR-10000380"/>
    <x v="0"/>
    <x v="4"/>
    <s v="Hunt PowerHouse Electric Pencil Sharpener, Blue"/>
    <n v="151.91999999999999"/>
    <n v="4"/>
    <n v="0"/>
    <n v="45.575999999999979"/>
    <x v="0"/>
    <x v="10"/>
    <n v="11.393999999999995"/>
    <s v="Profit"/>
    <s v="No Discount"/>
  </r>
  <r>
    <n v="1686"/>
    <s v="US-2023-115973"/>
    <x v="271"/>
    <d v="2023-11-26T00:00:00"/>
    <s v="First Class"/>
    <s v="NG-18430"/>
    <s v="Nathan Gelder"/>
    <x v="0"/>
    <s v="United States"/>
    <s v="Cincinnati"/>
    <s v="Ohio"/>
    <n v="45231"/>
    <x v="1"/>
    <s v="OFF-AR-10004757"/>
    <x v="0"/>
    <x v="4"/>
    <s v="Crayola Colored Pencils"/>
    <n v="2.6240000000000001"/>
    <n v="1"/>
    <n v="0.2"/>
    <n v="0.42639999999999978"/>
    <x v="0"/>
    <x v="10"/>
    <n v="0.42639999999999978"/>
    <s v="Profit"/>
    <s v="Low"/>
  </r>
  <r>
    <n v="1687"/>
    <s v="US-2023-111360"/>
    <x v="271"/>
    <d v="2023-11-30T00:00:00"/>
    <s v="Standard Class"/>
    <s v="AT-10435"/>
    <s v="Alyssa Tate"/>
    <x v="1"/>
    <s v="United States"/>
    <s v="Akron"/>
    <s v="Ohio"/>
    <n v="44312"/>
    <x v="1"/>
    <s v="OFF-BI-10003350"/>
    <x v="0"/>
    <x v="1"/>
    <s v="Acco Expandable Hanging Binders"/>
    <n v="5.7420000000000009"/>
    <n v="3"/>
    <n v="0.7"/>
    <n v="-4.5935999999999986"/>
    <x v="0"/>
    <x v="10"/>
    <n v="-1.5311999999999995"/>
    <s v="Loss"/>
    <s v="High"/>
  </r>
  <r>
    <n v="1688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BI-10004656"/>
    <x v="0"/>
    <x v="1"/>
    <s v="Peel &amp; Stick Add-On Corner Pockets"/>
    <n v="12.096000000000002"/>
    <n v="7"/>
    <n v="0.2"/>
    <n v="4.2335999999999991"/>
    <x v="0"/>
    <x v="10"/>
    <n v="0.60479999999999989"/>
    <s v="Profit"/>
    <s v="Low"/>
  </r>
  <r>
    <n v="1689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LA-10003930"/>
    <x v="0"/>
    <x v="2"/>
    <s v="Dot Matrix Printer Tape Reel Labels, White, 5000/Box"/>
    <n v="196.62"/>
    <n v="2"/>
    <n v="0"/>
    <n v="96.343800000000002"/>
    <x v="0"/>
    <x v="10"/>
    <n v="48.171900000000001"/>
    <s v="Profit"/>
    <s v="No Discount"/>
  </r>
  <r>
    <n v="1690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PA-10001800"/>
    <x v="0"/>
    <x v="0"/>
    <s v="Xerox 220"/>
    <n v="25.92"/>
    <n v="4"/>
    <n v="0"/>
    <n v="12.441600000000001"/>
    <x v="0"/>
    <x v="10"/>
    <n v="3.1104000000000003"/>
    <s v="Profit"/>
    <s v="No Discount"/>
  </r>
  <r>
    <n v="1691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PA-10001815"/>
    <x v="0"/>
    <x v="0"/>
    <s v="Xerox 1885"/>
    <n v="144.12"/>
    <n v="3"/>
    <n v="0"/>
    <n v="69.177599999999984"/>
    <x v="0"/>
    <x v="10"/>
    <n v="23.059199999999993"/>
    <s v="Profit"/>
    <s v="No Discount"/>
  </r>
  <r>
    <n v="1692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PA-10004082"/>
    <x v="0"/>
    <x v="0"/>
    <s v="Adams Telephone Message Book w/Frequently-Called Numbers Space, 400 Messages per Book"/>
    <n v="15.96"/>
    <n v="2"/>
    <n v="0"/>
    <n v="7.98"/>
    <x v="0"/>
    <x v="10"/>
    <n v="3.99"/>
    <s v="Profit"/>
    <s v="No Discount"/>
  </r>
  <r>
    <n v="1693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ST-10000036"/>
    <x v="0"/>
    <x v="3"/>
    <s v="Recycled Data-Pak for Archival Bound Computer Printouts, 12-1/2 x 12-1/2 x 16"/>
    <n v="197.58"/>
    <n v="2"/>
    <n v="0"/>
    <n v="53.346599999999995"/>
    <x v="0"/>
    <x v="10"/>
    <n v="26.673299999999998"/>
    <s v="Profit"/>
    <s v="No Discount"/>
  </r>
  <r>
    <n v="1694"/>
    <s v="US-2023-163034"/>
    <x v="271"/>
    <d v="2023-11-28T00:00:00"/>
    <s v="Standard Class"/>
    <s v="DK-12985"/>
    <s v="Darren Koutras"/>
    <x v="0"/>
    <s v="United States"/>
    <s v="Chicago"/>
    <s v="Illinois"/>
    <n v="60610"/>
    <x v="0"/>
    <s v="OFF-ST-10000046"/>
    <x v="0"/>
    <x v="3"/>
    <s v="Fellowes Super Stor/Drawer Files"/>
    <n v="646.20000000000005"/>
    <n v="5"/>
    <n v="0.2"/>
    <n v="-8.0774999999999864"/>
    <x v="0"/>
    <x v="10"/>
    <n v="-1.6154999999999973"/>
    <s v="Loss"/>
    <s v="Low"/>
  </r>
  <r>
    <n v="1695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ST-10002344"/>
    <x v="0"/>
    <x v="3"/>
    <s v="Carina 42&quot;Hx23 3/4&quot;W Media Storage Unit"/>
    <n v="485.88"/>
    <n v="6"/>
    <n v="0"/>
    <n v="9.7176000000000329"/>
    <x v="0"/>
    <x v="10"/>
    <n v="1.6196000000000055"/>
    <s v="Profit"/>
    <s v="No Discount"/>
  </r>
  <r>
    <n v="1696"/>
    <s v="US-2023-167360"/>
    <x v="271"/>
    <d v="2023-11-29T00:00:00"/>
    <s v="Second Class"/>
    <s v="RB-19435"/>
    <s v="Richard Bierner"/>
    <x v="0"/>
    <s v="United States"/>
    <s v="Saint Louis"/>
    <s v="Missouri"/>
    <n v="63116"/>
    <x v="0"/>
    <s v="TEC-AC-10001772"/>
    <x v="2"/>
    <x v="9"/>
    <s v="Memorex Mini Travel Drive 16 GB USB 2.0 Flash Drive"/>
    <n v="111.79"/>
    <n v="7"/>
    <n v="0"/>
    <n v="43.598100000000002"/>
    <x v="0"/>
    <x v="10"/>
    <n v="6.2282999999999999"/>
    <s v="Profit"/>
    <s v="No Discount"/>
  </r>
  <r>
    <n v="1697"/>
    <s v="US-2023-105984"/>
    <x v="271"/>
    <d v="2023-11-24T00:00:00"/>
    <s v="Same Day"/>
    <s v="MY-18295"/>
    <s v="Muhammed Yedwab"/>
    <x v="2"/>
    <s v="United States"/>
    <s v="Columbus"/>
    <s v="Ohio"/>
    <n v="43229"/>
    <x v="1"/>
    <s v="TEC-PH-10000560"/>
    <x v="2"/>
    <x v="7"/>
    <s v="Samsung Galaxy S III - 16GB - pebble blue (T-Mobile)"/>
    <n v="1049.97"/>
    <n v="5"/>
    <n v="0.4"/>
    <n v="-209.99399999999991"/>
    <x v="0"/>
    <x v="10"/>
    <n v="-41.998799999999981"/>
    <s v="Loss"/>
    <s v="Medium"/>
  </r>
  <r>
    <n v="1698"/>
    <s v="US-2023-153850"/>
    <x v="271"/>
    <d v="2023-11-29T00:00:00"/>
    <s v="Standard Class"/>
    <s v="TH-21100"/>
    <s v="Thea Hendricks"/>
    <x v="0"/>
    <s v="United States"/>
    <s v="Toledo"/>
    <s v="Ohio"/>
    <n v="43615"/>
    <x v="1"/>
    <s v="TEC-PH-10002584"/>
    <x v="2"/>
    <x v="7"/>
    <s v="Samsung Galaxy S4"/>
    <n v="1502.376"/>
    <n v="4"/>
    <n v="0.4"/>
    <n v="-250.39600000000019"/>
    <x v="0"/>
    <x v="10"/>
    <n v="-62.599000000000046"/>
    <s v="Loss"/>
    <s v="Medium"/>
  </r>
  <r>
    <n v="1699"/>
    <s v="CA-2023-153623"/>
    <x v="271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0"/>
    <x v="10"/>
    <n v="4.4268000000000001"/>
    <s v="Profit"/>
    <s v="No Discount"/>
  </r>
  <r>
    <n v="1700"/>
    <s v="CA-2023-153623"/>
    <x v="271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  <x v="0"/>
    <x v="10"/>
    <n v="4.4268000000000001"/>
    <s v="Profit"/>
    <s v="No Discount"/>
  </r>
  <r>
    <n v="1701"/>
    <s v="US-2023-119151"/>
    <x v="272"/>
    <d v="2023-11-29T00:00:00"/>
    <s v="Second Class"/>
    <s v="MP-18175"/>
    <s v="Mike Pelletier"/>
    <x v="1"/>
    <s v="United States"/>
    <s v="New York City"/>
    <s v="New York"/>
    <n v="10009"/>
    <x v="1"/>
    <s v="FUR-BO-10003159"/>
    <x v="1"/>
    <x v="10"/>
    <s v="Sauder Camden County Collection Libraries, Planked Cherry Finish"/>
    <n v="275.952"/>
    <n v="3"/>
    <n v="0.2"/>
    <n v="-37.943400000000025"/>
    <x v="0"/>
    <x v="10"/>
    <n v="-12.647800000000009"/>
    <s v="Loss"/>
    <s v="Low"/>
  </r>
  <r>
    <n v="1702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FUR-CH-10002335"/>
    <x v="1"/>
    <x v="5"/>
    <s v="Hon GuestStacker Chair"/>
    <n v="725.34400000000005"/>
    <n v="4"/>
    <n v="0.2"/>
    <n v="54.400800000000004"/>
    <x v="0"/>
    <x v="10"/>
    <n v="13.600200000000001"/>
    <s v="Profit"/>
    <s v="Low"/>
  </r>
  <r>
    <n v="1703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FUR-FU-10000221"/>
    <x v="1"/>
    <x v="8"/>
    <s v="Master Caster Door Stop, Brown"/>
    <n v="6.0960000000000001"/>
    <n v="3"/>
    <n v="0.6"/>
    <n v="-3.9624000000000006"/>
    <x v="0"/>
    <x v="10"/>
    <n v="-1.3208000000000002"/>
    <s v="Loss"/>
    <s v="High"/>
  </r>
  <r>
    <n v="1704"/>
    <s v="US-2023-122588"/>
    <x v="272"/>
    <d v="2023-11-27T00:00:00"/>
    <s v="Second Class"/>
    <s v="AR-10540"/>
    <s v="Andy Reiter"/>
    <x v="0"/>
    <s v="United States"/>
    <s v="Woonsocket"/>
    <s v="Rhode Island"/>
    <n v="2895"/>
    <x v="1"/>
    <s v="FUR-FU-10001095"/>
    <x v="1"/>
    <x v="8"/>
    <s v="DAX Black Cherry Wood-Tone Poster Frame"/>
    <n v="52.96"/>
    <n v="2"/>
    <n v="0"/>
    <n v="20.1248"/>
    <x v="0"/>
    <x v="10"/>
    <n v="10.0624"/>
    <s v="Profit"/>
    <s v="No Discount"/>
  </r>
  <r>
    <n v="1705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FUR-FU-10001940"/>
    <x v="1"/>
    <x v="8"/>
    <s v="Staple-based wall hangings"/>
    <n v="23.88"/>
    <n v="3"/>
    <n v="0"/>
    <n v="10.507200000000001"/>
    <x v="0"/>
    <x v="10"/>
    <n v="3.5024000000000002"/>
    <s v="Profit"/>
    <s v="No Discount"/>
  </r>
  <r>
    <n v="1706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FUR-TA-10000577"/>
    <x v="1"/>
    <x v="13"/>
    <s v="Bretford CR4500 Series Slim Rectangular Table"/>
    <n v="1218.7349999999997"/>
    <n v="5"/>
    <n v="0.3"/>
    <n v="-121.87349999999992"/>
    <x v="0"/>
    <x v="10"/>
    <n v="-24.374699999999983"/>
    <s v="Loss"/>
    <s v="Medium"/>
  </r>
  <r>
    <n v="1707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OFF-AP-10000240"/>
    <x v="0"/>
    <x v="12"/>
    <s v="Belkin F9G930V10-GRY 9 Outlet Surge"/>
    <n v="320.88"/>
    <n v="6"/>
    <n v="0"/>
    <n v="93.055199999999957"/>
    <x v="0"/>
    <x v="10"/>
    <n v="15.509199999999993"/>
    <s v="Profit"/>
    <s v="No Discount"/>
  </r>
  <r>
    <n v="1708"/>
    <s v="US-2023-107993"/>
    <x v="272"/>
    <d v="2023-11-30T00:00:00"/>
    <s v="Standard Class"/>
    <s v="SE-20110"/>
    <s v="Sanjit Engle"/>
    <x v="0"/>
    <s v="United States"/>
    <s v="Springfield"/>
    <s v="Oregon"/>
    <n v="97477"/>
    <x v="3"/>
    <s v="OFF-AR-10003179"/>
    <x v="0"/>
    <x v="4"/>
    <s v="Dixon Ticonderoga Core-Lock Colored Pencils"/>
    <n v="51.016000000000005"/>
    <n v="7"/>
    <n v="0.2"/>
    <n v="8.2900999999999954"/>
    <x v="0"/>
    <x v="10"/>
    <n v="1.1842999999999992"/>
    <s v="Profit"/>
    <s v="Low"/>
  </r>
  <r>
    <n v="1709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OFF-AR-10004707"/>
    <x v="0"/>
    <x v="4"/>
    <s v="Staples in misc. colors"/>
    <n v="7.4399999999999995"/>
    <n v="3"/>
    <n v="0"/>
    <n v="2.6039999999999996"/>
    <x v="0"/>
    <x v="10"/>
    <n v="0.86799999999999988"/>
    <s v="Profit"/>
    <s v="No Discount"/>
  </r>
  <r>
    <n v="1710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LA-10000248"/>
    <x v="0"/>
    <x v="2"/>
    <s v="Avery 52"/>
    <n v="5.9039999999999999"/>
    <n v="2"/>
    <n v="0.2"/>
    <n v="1.9925999999999999"/>
    <x v="0"/>
    <x v="10"/>
    <n v="0.99629999999999996"/>
    <s v="Profit"/>
    <s v="Low"/>
  </r>
  <r>
    <n v="1711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LA-10001317"/>
    <x v="0"/>
    <x v="2"/>
    <s v="Avery 520"/>
    <n v="2.52"/>
    <n v="1"/>
    <n v="0.2"/>
    <n v="0.88200000000000001"/>
    <x v="0"/>
    <x v="10"/>
    <n v="0.88200000000000001"/>
    <s v="Profit"/>
    <s v="Low"/>
  </r>
  <r>
    <n v="1712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OFF-PA-10000575"/>
    <x v="0"/>
    <x v="0"/>
    <s v="Wirebound Message Books, Four 2 3/4 x 5 White Forms per Page"/>
    <n v="26.76"/>
    <n v="4"/>
    <n v="0"/>
    <n v="12.3096"/>
    <x v="0"/>
    <x v="10"/>
    <n v="3.0773999999999999"/>
    <s v="Profit"/>
    <s v="No Discount"/>
  </r>
  <r>
    <n v="1713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PA-10000955"/>
    <x v="0"/>
    <x v="0"/>
    <s v="Southworth 25% Cotton Granite Paper &amp; Envelopes"/>
    <n v="15.696000000000002"/>
    <n v="3"/>
    <n v="0.2"/>
    <n v="5.1011999999999995"/>
    <x v="0"/>
    <x v="10"/>
    <n v="1.7003999999999999"/>
    <s v="Profit"/>
    <s v="Low"/>
  </r>
  <r>
    <n v="1714"/>
    <s v="US-2023-119151"/>
    <x v="272"/>
    <d v="2023-11-29T00:00:00"/>
    <s v="Second Class"/>
    <s v="MP-18175"/>
    <s v="Mike Pelletier"/>
    <x v="1"/>
    <s v="United States"/>
    <s v="New York City"/>
    <s v="New York"/>
    <n v="10009"/>
    <x v="1"/>
    <s v="OFF-ST-10003470"/>
    <x v="0"/>
    <x v="3"/>
    <s v="Tennsco Snap-Together Open Shelving Units, Starter Sets and Add-On Units"/>
    <n v="1117.92"/>
    <n v="4"/>
    <n v="0"/>
    <n v="55.895999999999958"/>
    <x v="0"/>
    <x v="10"/>
    <n v="13.97399999999999"/>
    <s v="Profit"/>
    <s v="No Discount"/>
  </r>
  <r>
    <n v="1715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TEC-AC-10001635"/>
    <x v="2"/>
    <x v="9"/>
    <s v="KeyTronic KT400U2 - Keyboard - Black"/>
    <n v="24.672000000000001"/>
    <n v="3"/>
    <n v="0.2"/>
    <n v="0"/>
    <x v="0"/>
    <x v="10"/>
    <n v="0"/>
    <s v="Break-even"/>
    <s v="Low"/>
  </r>
  <r>
    <n v="1716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TEC-PH-10001580"/>
    <x v="2"/>
    <x v="7"/>
    <s v="Logitech Mobile Speakerphone P710e - speaker phone"/>
    <n v="539.91999999999996"/>
    <n v="5"/>
    <n v="0.2"/>
    <n v="47.242999999999967"/>
    <x v="0"/>
    <x v="10"/>
    <n v="9.4485999999999937"/>
    <s v="Profit"/>
    <s v="Low"/>
  </r>
  <r>
    <n v="1717"/>
    <s v="US-2023-147606"/>
    <x v="273"/>
    <d v="2023-12-01T00:00:00"/>
    <s v="Second Class"/>
    <s v="JE-15745"/>
    <s v="Joel Eaton"/>
    <x v="0"/>
    <s v="United States"/>
    <s v="Houston"/>
    <s v="Texas"/>
    <n v="77070"/>
    <x v="0"/>
    <s v="FUR-FU-10003194"/>
    <x v="1"/>
    <x v="8"/>
    <s v="Eldon Expressions Desk Accessory, Wood Pencil Holder, Oak"/>
    <n v="19.3"/>
    <n v="5"/>
    <n v="0.6"/>
    <n v="-14.475000000000001"/>
    <x v="0"/>
    <x v="10"/>
    <n v="-2.8950000000000005"/>
    <s v="Loss"/>
    <s v="High"/>
  </r>
  <r>
    <n v="1718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AP-10000692"/>
    <x v="0"/>
    <x v="12"/>
    <s v="Fellowes Mighty 8 Compact Surge Protector"/>
    <n v="40.54"/>
    <n v="2"/>
    <n v="0"/>
    <n v="11.351200000000002"/>
    <x v="0"/>
    <x v="10"/>
    <n v="5.6756000000000011"/>
    <s v="Profit"/>
    <s v="No Discount"/>
  </r>
  <r>
    <n v="1719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BI-10001031"/>
    <x v="0"/>
    <x v="1"/>
    <s v="Pressboard Data Binders by Wilson Jones"/>
    <n v="17.088000000000001"/>
    <n v="4"/>
    <n v="0.2"/>
    <n v="5.767199999999999"/>
    <x v="0"/>
    <x v="10"/>
    <n v="1.4417999999999997"/>
    <s v="Profit"/>
    <s v="Low"/>
  </r>
  <r>
    <n v="1720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n v="0.2"/>
    <n v="4.6806000000000001"/>
    <x v="0"/>
    <x v="10"/>
    <n v="1.5602"/>
    <s v="Profit"/>
    <s v="Low"/>
  </r>
  <r>
    <n v="1721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BI-10001553"/>
    <x v="0"/>
    <x v="1"/>
    <s v="SpineVue Locking Slant-D Ring Binders by Cardinal"/>
    <n v="7.3120000000000012"/>
    <n v="1"/>
    <n v="0.2"/>
    <n v="2.5591999999999997"/>
    <x v="0"/>
    <x v="10"/>
    <n v="2.5591999999999997"/>
    <s v="Profit"/>
    <s v="Low"/>
  </r>
  <r>
    <n v="1722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BI-10002012"/>
    <x v="0"/>
    <x v="1"/>
    <s v="Wilson Jones Easy Flow II Sheet Lifters"/>
    <n v="4.32"/>
    <n v="3"/>
    <n v="0.2"/>
    <n v="1.512"/>
    <x v="0"/>
    <x v="10"/>
    <n v="0.504"/>
    <s v="Profit"/>
    <s v="Low"/>
  </r>
  <r>
    <n v="1723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LA-10001158"/>
    <x v="0"/>
    <x v="2"/>
    <s v="Avery Address/Shipping Labels for Typewriters, 4&quot; x 2&quot;"/>
    <n v="93.149999999999991"/>
    <n v="9"/>
    <n v="0"/>
    <n v="44.712000000000003"/>
    <x v="0"/>
    <x v="10"/>
    <n v="4.968"/>
    <s v="Profit"/>
    <s v="No Discount"/>
  </r>
  <r>
    <n v="1724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LA-10001613"/>
    <x v="0"/>
    <x v="2"/>
    <s v="Avery File Folder Labels"/>
    <n v="11.52"/>
    <n v="4"/>
    <n v="0"/>
    <n v="5.6448"/>
    <x v="0"/>
    <x v="10"/>
    <n v="1.4112"/>
    <s v="Profit"/>
    <s v="No Discount"/>
  </r>
  <r>
    <n v="1725"/>
    <s v="US-2023-147648"/>
    <x v="273"/>
    <d v="2023-12-01T00:00:00"/>
    <s v="Standard Class"/>
    <s v="LS-16975"/>
    <s v="Lindsay Shagiari"/>
    <x v="1"/>
    <s v="United States"/>
    <s v="San Francisco"/>
    <s v="California"/>
    <n v="94109"/>
    <x v="3"/>
    <s v="OFF-PA-10001033"/>
    <x v="0"/>
    <x v="0"/>
    <s v="Xerox 1893"/>
    <n v="81.98"/>
    <n v="2"/>
    <n v="0"/>
    <n v="40.170200000000001"/>
    <x v="0"/>
    <x v="10"/>
    <n v="20.085100000000001"/>
    <s v="Profit"/>
    <s v="No Discount"/>
  </r>
  <r>
    <n v="1726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OFF-PA-10001166"/>
    <x v="0"/>
    <x v="0"/>
    <s v="Xerox 2"/>
    <n v="15.552000000000003"/>
    <n v="3"/>
    <n v="0.2"/>
    <n v="5.4432"/>
    <x v="0"/>
    <x v="10"/>
    <n v="1.8144"/>
    <s v="Profit"/>
    <s v="Low"/>
  </r>
  <r>
    <n v="1727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PA-10002586"/>
    <x v="0"/>
    <x v="0"/>
    <s v="Xerox 1970"/>
    <n v="14.940000000000001"/>
    <n v="3"/>
    <n v="0"/>
    <n v="7.0218000000000007"/>
    <x v="0"/>
    <x v="10"/>
    <n v="2.3406000000000002"/>
    <s v="Profit"/>
    <s v="No Discount"/>
  </r>
  <r>
    <n v="1728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OFF-ST-10001097"/>
    <x v="0"/>
    <x v="3"/>
    <s v="Office Impressions Heavy Duty Welded Shelving &amp; Multimedia Storage Drawers"/>
    <n v="669.08"/>
    <n v="5"/>
    <n v="0.2"/>
    <n v="-167.27"/>
    <x v="0"/>
    <x v="10"/>
    <n v="-33.454000000000001"/>
    <s v="Loss"/>
    <s v="Low"/>
  </r>
  <r>
    <n v="1729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TEC-PH-10000038"/>
    <x v="2"/>
    <x v="7"/>
    <s v="Jawbone MINI JAMBOX Wireless Bluetooth Speaker"/>
    <n v="438.33600000000001"/>
    <n v="4"/>
    <n v="0.2"/>
    <n v="-87.667200000000037"/>
    <x v="0"/>
    <x v="10"/>
    <n v="-21.916800000000009"/>
    <s v="Loss"/>
    <s v="Low"/>
  </r>
  <r>
    <n v="1730"/>
    <s v="US-2023-124730"/>
    <x v="273"/>
    <d v="2023-11-26T00:00:00"/>
    <s v="Same Day"/>
    <s v="LS-17245"/>
    <s v="Lynn Smith"/>
    <x v="0"/>
    <s v="United States"/>
    <s v="Utica"/>
    <s v="New York"/>
    <n v="13501"/>
    <x v="1"/>
    <s v="TEC-PH-10002170"/>
    <x v="2"/>
    <x v="7"/>
    <s v="ClearSounds CSC500 Amplified Spirit Phone Corded phone"/>
    <n v="279.95999999999998"/>
    <n v="4"/>
    <n v="0"/>
    <n v="78.388800000000003"/>
    <x v="0"/>
    <x v="10"/>
    <n v="19.597200000000001"/>
    <s v="Profit"/>
    <s v="No Discount"/>
  </r>
  <r>
    <n v="1731"/>
    <s v="US-2023-167486"/>
    <x v="274"/>
    <d v="2023-12-01T00:00:00"/>
    <s v="Standard Class"/>
    <s v="JO-15145"/>
    <s v="Jack O'Briant"/>
    <x v="2"/>
    <s v="United States"/>
    <s v="Buffalo"/>
    <s v="New York"/>
    <n v="14215"/>
    <x v="1"/>
    <s v="FUR-FU-10003268"/>
    <x v="1"/>
    <x v="8"/>
    <s v="Eldon Radial Chair Mat for Low to Medium Pile Carpets"/>
    <n v="199.89999999999998"/>
    <n v="5"/>
    <n v="0"/>
    <n v="39.97999999999999"/>
    <x v="0"/>
    <x v="10"/>
    <n v="7.9959999999999978"/>
    <s v="Profit"/>
    <s v="No Discount"/>
  </r>
  <r>
    <n v="1732"/>
    <s v="US-2023-119032"/>
    <x v="274"/>
    <d v="2023-12-03T00:00:00"/>
    <s v="Standard Class"/>
    <s v="MS-17770"/>
    <s v="Maxwell Schwartz"/>
    <x v="0"/>
    <s v="United States"/>
    <s v="New York City"/>
    <s v="New York"/>
    <n v="10035"/>
    <x v="1"/>
    <s v="OFF-FA-10003021"/>
    <x v="0"/>
    <x v="6"/>
    <s v="Staples"/>
    <n v="3.76"/>
    <n v="2"/>
    <n v="0"/>
    <n v="1.3159999999999998"/>
    <x v="0"/>
    <x v="10"/>
    <n v="0.65799999999999992"/>
    <s v="Profit"/>
    <s v="No Discount"/>
  </r>
  <r>
    <n v="1733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FUR-BO-10000330"/>
    <x v="1"/>
    <x v="10"/>
    <s v="Sauder Camden County Barrister Bookcase, Planked Cherry Finish"/>
    <n v="411.33199999999999"/>
    <n v="4"/>
    <n v="0.15"/>
    <n v="-4.8391999999999769"/>
    <x v="0"/>
    <x v="10"/>
    <n v="-1.2097999999999942"/>
    <s v="Loss"/>
    <s v="Low"/>
  </r>
  <r>
    <n v="1734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FUR-FU-10003773"/>
    <x v="1"/>
    <x v="8"/>
    <s v="Eldon Cleatmat Plus Chair Mats for High Pile Carpets"/>
    <n v="397.59999999999997"/>
    <n v="5"/>
    <n v="0"/>
    <n v="43.735999999999962"/>
    <x v="0"/>
    <x v="10"/>
    <n v="8.7471999999999923"/>
    <s v="Profit"/>
    <s v="No Discount"/>
  </r>
  <r>
    <n v="1735"/>
    <s v="US-2023-159800"/>
    <x v="275"/>
    <d v="2023-12-01T00:00:00"/>
    <s v="First Class"/>
    <s v="SG-20470"/>
    <s v="Sheri Gordon"/>
    <x v="0"/>
    <s v="United States"/>
    <s v="San Francisco"/>
    <s v="California"/>
    <n v="94109"/>
    <x v="3"/>
    <s v="OFF-AP-10004859"/>
    <x v="0"/>
    <x v="12"/>
    <s v="Acco 6 Outlet Guardian Premium Surge Suppressor"/>
    <n v="43.68"/>
    <n v="3"/>
    <n v="0"/>
    <n v="11.793600000000001"/>
    <x v="0"/>
    <x v="10"/>
    <n v="3.9312000000000005"/>
    <s v="Profit"/>
    <s v="No Discount"/>
  </r>
  <r>
    <n v="1736"/>
    <s v="US-2023-163013"/>
    <x v="275"/>
    <d v="2023-12-04T00:00:00"/>
    <s v="Standard Class"/>
    <s v="BF-11080"/>
    <s v="Bart Folk"/>
    <x v="0"/>
    <s v="United States"/>
    <s v="Montgomery"/>
    <s v="Alabama"/>
    <n v="36116"/>
    <x v="2"/>
    <s v="OFF-AR-10001954"/>
    <x v="0"/>
    <x v="4"/>
    <s v="Newell 331"/>
    <n v="14.669999999999998"/>
    <n v="3"/>
    <n v="0"/>
    <n v="3.9609000000000001"/>
    <x v="0"/>
    <x v="10"/>
    <n v="1.3203"/>
    <s v="Profit"/>
    <s v="No Discount"/>
  </r>
  <r>
    <n v="1737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AR-10004757"/>
    <x v="0"/>
    <x v="4"/>
    <s v="Crayola Colored Pencils"/>
    <n v="13.12"/>
    <n v="4"/>
    <n v="0"/>
    <n v="4.3295999999999992"/>
    <x v="0"/>
    <x v="10"/>
    <n v="1.0823999999999998"/>
    <s v="Profit"/>
    <s v="No Discount"/>
  </r>
  <r>
    <n v="1738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BI-10000309"/>
    <x v="0"/>
    <x v="1"/>
    <s v="GBC Twin Loop Wire Binding Elements, 9/16&quot; Spine, Black"/>
    <n v="45.660000000000004"/>
    <n v="3"/>
    <n v="0"/>
    <n v="22.3734"/>
    <x v="0"/>
    <x v="10"/>
    <n v="7.4577999999999998"/>
    <s v="Profit"/>
    <s v="No Discount"/>
  </r>
  <r>
    <n v="1739"/>
    <s v="US-2023-121167"/>
    <x v="275"/>
    <d v="2023-11-30T00:00:00"/>
    <s v="Second Class"/>
    <s v="MO-17500"/>
    <s v="Mary O'Rourke"/>
    <x v="0"/>
    <s v="United States"/>
    <s v="Freeport"/>
    <s v="New York"/>
    <n v="11520"/>
    <x v="1"/>
    <s v="OFF-BI-10003676"/>
    <x v="0"/>
    <x v="1"/>
    <s v="GBC Standard Recycled Report Covers, Clear Plastic Sheets"/>
    <n v="17.248000000000001"/>
    <n v="2"/>
    <n v="0.2"/>
    <n v="6.0367999999999986"/>
    <x v="0"/>
    <x v="10"/>
    <n v="3.0183999999999993"/>
    <s v="Profit"/>
    <s v="Low"/>
  </r>
  <r>
    <n v="1740"/>
    <s v="US-2023-120175"/>
    <x v="275"/>
    <d v="2023-12-03T00:00:00"/>
    <s v="Standard Class"/>
    <s v="MC-17635"/>
    <s v="Matthew Clasen"/>
    <x v="2"/>
    <s v="United States"/>
    <s v="Richmond"/>
    <s v="Indiana"/>
    <n v="47374"/>
    <x v="0"/>
    <s v="OFF-EN-10003862"/>
    <x v="0"/>
    <x v="11"/>
    <s v="Laser &amp; Ink Jet Business Envelopes"/>
    <n v="64.02"/>
    <n v="6"/>
    <n v="0"/>
    <n v="29.449199999999998"/>
    <x v="0"/>
    <x v="10"/>
    <n v="4.9081999999999999"/>
    <s v="Profit"/>
    <s v="No Discount"/>
  </r>
  <r>
    <n v="1741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OFF-LA-10002043"/>
    <x v="0"/>
    <x v="2"/>
    <s v="Avery 489"/>
    <n v="41.4"/>
    <n v="4"/>
    <n v="0"/>
    <n v="19.872"/>
    <x v="0"/>
    <x v="10"/>
    <n v="4.968"/>
    <s v="Profit"/>
    <s v="No Discount"/>
  </r>
  <r>
    <n v="1742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PA-10001363"/>
    <x v="0"/>
    <x v="0"/>
    <s v="Xerox 1933"/>
    <n v="85.96"/>
    <n v="7"/>
    <n v="0"/>
    <n v="40.401199999999996"/>
    <x v="0"/>
    <x v="10"/>
    <n v="5.7715999999999994"/>
    <s v="Profit"/>
    <s v="No Discount"/>
  </r>
  <r>
    <n v="1743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  <x v="0"/>
    <x v="10"/>
    <n v="7.3599999999999888E-2"/>
    <s v="Profit"/>
    <s v="No Discount"/>
  </r>
  <r>
    <n v="1744"/>
    <s v="US-2023-159800"/>
    <x v="275"/>
    <d v="2023-12-01T00:00:00"/>
    <s v="First Class"/>
    <s v="SG-20470"/>
    <s v="Sheri Gordon"/>
    <x v="0"/>
    <s v="United States"/>
    <s v="San Francisco"/>
    <s v="California"/>
    <n v="94109"/>
    <x v="3"/>
    <s v="TEC-AC-10003447"/>
    <x v="2"/>
    <x v="9"/>
    <s v="Micropad Numeric Keypads"/>
    <n v="139.92999999999998"/>
    <n v="7"/>
    <n v="0"/>
    <n v="34.982499999999987"/>
    <x v="0"/>
    <x v="10"/>
    <n v="4.9974999999999978"/>
    <s v="Profit"/>
    <s v="No Discount"/>
  </r>
  <r>
    <n v="1745"/>
    <s v="US-2023-121629"/>
    <x v="275"/>
    <d v="2023-12-02T00:00:00"/>
    <s v="Standard Class"/>
    <s v="BT-11680"/>
    <s v="Brian Thompson"/>
    <x v="0"/>
    <s v="United States"/>
    <s v="Houston"/>
    <s v="Texas"/>
    <n v="77041"/>
    <x v="0"/>
    <s v="TEC-MA-10004679"/>
    <x v="2"/>
    <x v="15"/>
    <s v="StarTech.com 10/100 VDSL2 Ethernet Extender Kit"/>
    <n v="998.84999999999991"/>
    <n v="5"/>
    <n v="0.4"/>
    <n v="-199.7700000000001"/>
    <x v="0"/>
    <x v="10"/>
    <n v="-39.954000000000022"/>
    <s v="Loss"/>
    <s v="Medium"/>
  </r>
  <r>
    <n v="1746"/>
    <s v="US-2023-134712"/>
    <x v="276"/>
    <d v="2023-12-04T00:00:00"/>
    <s v="Standard Class"/>
    <s v="BS-11380"/>
    <s v="Bill Stewart"/>
    <x v="2"/>
    <s v="United States"/>
    <s v="Skokie"/>
    <s v="Illinois"/>
    <n v="60076"/>
    <x v="0"/>
    <s v="OFF-FA-10003112"/>
    <x v="0"/>
    <x v="6"/>
    <s v="Staples"/>
    <n v="12.624000000000001"/>
    <n v="2"/>
    <n v="0.2"/>
    <n v="3.944999999999999"/>
    <x v="0"/>
    <x v="10"/>
    <n v="1.9724999999999995"/>
    <s v="Profit"/>
    <s v="Low"/>
  </r>
  <r>
    <n v="1747"/>
    <s v="US-2023-153983"/>
    <x v="276"/>
    <d v="2023-12-06T00:00:00"/>
    <s v="Standard Class"/>
    <s v="AH-10210"/>
    <s v="Alan Hwang"/>
    <x v="0"/>
    <s v="United States"/>
    <s v="San Francisco"/>
    <s v="California"/>
    <n v="94122"/>
    <x v="3"/>
    <s v="OFF-FA-10003495"/>
    <x v="0"/>
    <x v="6"/>
    <s v="Staples"/>
    <n v="30.4"/>
    <n v="5"/>
    <n v="0"/>
    <n v="15.2"/>
    <x v="0"/>
    <x v="10"/>
    <n v="3.04"/>
    <s v="Profit"/>
    <s v="No Discount"/>
  </r>
  <r>
    <n v="1748"/>
    <s v="US-2023-136280"/>
    <x v="276"/>
    <d v="2023-12-06T00:00:00"/>
    <s v="Standard Class"/>
    <s v="Co-12640"/>
    <s v="Corey-Lock"/>
    <x v="0"/>
    <s v="United States"/>
    <s v="Philadelphia"/>
    <s v="Pennsylvania"/>
    <n v="19143"/>
    <x v="1"/>
    <s v="OFF-LA-10000452"/>
    <x v="0"/>
    <x v="2"/>
    <s v="Avery 488"/>
    <n v="5.04"/>
    <n v="2"/>
    <n v="0.2"/>
    <n v="1.764"/>
    <x v="0"/>
    <x v="10"/>
    <n v="0.88200000000000001"/>
    <s v="Profit"/>
    <s v="Low"/>
  </r>
  <r>
    <n v="1749"/>
    <s v="US-2023-111353"/>
    <x v="276"/>
    <d v="2023-12-06T00:00:00"/>
    <s v="Standard Class"/>
    <s v="PB-19150"/>
    <s v="Philip Brown"/>
    <x v="0"/>
    <s v="United States"/>
    <s v="New York City"/>
    <s v="New York"/>
    <n v="10009"/>
    <x v="1"/>
    <s v="OFF-LA-10002762"/>
    <x v="0"/>
    <x v="2"/>
    <s v="Avery 485"/>
    <n v="25.06"/>
    <n v="2"/>
    <n v="0"/>
    <n v="11.778199999999998"/>
    <x v="0"/>
    <x v="10"/>
    <n v="5.8890999999999991"/>
    <s v="Profit"/>
    <s v="No Discount"/>
  </r>
  <r>
    <n v="1750"/>
    <s v="US-2023-153983"/>
    <x v="276"/>
    <d v="2023-12-06T00:00:00"/>
    <s v="Standard Class"/>
    <s v="AH-10210"/>
    <s v="Alan Hwang"/>
    <x v="0"/>
    <s v="United States"/>
    <s v="San Francisco"/>
    <s v="California"/>
    <n v="94122"/>
    <x v="3"/>
    <s v="TEC-PH-10004586"/>
    <x v="2"/>
    <x v="7"/>
    <s v="Wilson SignalBoost 841262 DB PRO Amplifier Kit"/>
    <n v="575.91999999999996"/>
    <n v="2"/>
    <n v="0.2"/>
    <n v="71.989999999999981"/>
    <x v="0"/>
    <x v="10"/>
    <n v="35.99499999999999"/>
    <s v="Profit"/>
    <s v="Low"/>
  </r>
  <r>
    <n v="1751"/>
    <s v="US-2023-148425"/>
    <x v="277"/>
    <d v="2023-12-04T00:00:00"/>
    <s v="Standard Class"/>
    <s v="RF-19345"/>
    <s v="Randy Ferguson"/>
    <x v="2"/>
    <s v="United States"/>
    <s v="Orlando"/>
    <s v="Florida"/>
    <n v="32839"/>
    <x v="2"/>
    <s v="OFF-BI-10000201"/>
    <x v="0"/>
    <x v="1"/>
    <s v="Avery Triangle Shaped Sheet Lifters, Black, 2/Pack"/>
    <n v="6.6420000000000012"/>
    <n v="9"/>
    <n v="0.7"/>
    <n v="-4.427999999999999"/>
    <x v="0"/>
    <x v="10"/>
    <n v="-0.49199999999999988"/>
    <s v="Loss"/>
    <s v="High"/>
  </r>
  <r>
    <n v="1752"/>
    <s v="US-2023-103590"/>
    <x v="277"/>
    <d v="2023-12-04T00:00:00"/>
    <s v="Standard Class"/>
    <s v="JL-15505"/>
    <s v="Jeremy Lonsdale"/>
    <x v="0"/>
    <s v="United States"/>
    <s v="Mount Vernon"/>
    <s v="New York"/>
    <n v="10550"/>
    <x v="1"/>
    <s v="OFF-EN-10004007"/>
    <x v="0"/>
    <x v="11"/>
    <s v="Park Ridge Embossed Executive Business Envelopes"/>
    <n v="62.28"/>
    <n v="4"/>
    <n v="0"/>
    <n v="29.271599999999999"/>
    <x v="0"/>
    <x v="10"/>
    <n v="7.3178999999999998"/>
    <s v="Profit"/>
    <s v="No Discount"/>
  </r>
  <r>
    <n v="1753"/>
    <s v="US-2023-146843"/>
    <x v="277"/>
    <d v="2023-12-06T00:00:00"/>
    <s v="Standard Class"/>
    <s v="PB-19150"/>
    <s v="Philip Brown"/>
    <x v="0"/>
    <s v="United States"/>
    <s v="Avondale"/>
    <s v="Arizona"/>
    <n v="85323"/>
    <x v="3"/>
    <s v="OFF-SU-10001664"/>
    <x v="0"/>
    <x v="14"/>
    <s v="Acme Office Executive Series Stainless Steel Trimmers"/>
    <n v="47.992000000000004"/>
    <n v="7"/>
    <n v="0.2"/>
    <n v="3.5993999999999993"/>
    <x v="0"/>
    <x v="10"/>
    <n v="0.51419999999999988"/>
    <s v="Profit"/>
    <s v="Low"/>
  </r>
  <r>
    <n v="1754"/>
    <s v="US-2023-146843"/>
    <x v="277"/>
    <d v="2023-12-06T00:00:00"/>
    <s v="Standard Class"/>
    <s v="PB-19150"/>
    <s v="Philip Brown"/>
    <x v="0"/>
    <s v="United States"/>
    <s v="Avondale"/>
    <s v="Arizona"/>
    <n v="85323"/>
    <x v="3"/>
    <s v="TEC-AC-10002550"/>
    <x v="2"/>
    <x v="9"/>
    <s v="Memorex 25GB 6X Branded Blu-Ray Recordable Disc, 30/Pack"/>
    <n v="102.24000000000001"/>
    <n v="4"/>
    <n v="0.2"/>
    <n v="-16.614000000000004"/>
    <x v="0"/>
    <x v="10"/>
    <n v="-4.1535000000000011"/>
    <s v="Loss"/>
    <s v="Low"/>
  </r>
  <r>
    <n v="1755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FUR-CH-10000015"/>
    <x v="1"/>
    <x v="5"/>
    <s v="Hon Multipurpose Stacking Arm Chairs"/>
    <n v="909.7199999999998"/>
    <n v="6"/>
    <n v="0.3"/>
    <n v="-51.983999999999924"/>
    <x v="0"/>
    <x v="11"/>
    <n v="-8.6639999999999873"/>
    <s v="Loss"/>
    <s v="Medium"/>
  </r>
  <r>
    <n v="1756"/>
    <s v="US-2023-120474"/>
    <x v="278"/>
    <d v="2023-12-03T00:00:00"/>
    <s v="First Class"/>
    <s v="RP-19390"/>
    <s v="Resi Pölking"/>
    <x v="0"/>
    <s v="United States"/>
    <s v="Madison"/>
    <s v="Wisconsin"/>
    <n v="53711"/>
    <x v="0"/>
    <s v="FUR-CH-10001854"/>
    <x v="1"/>
    <x v="5"/>
    <s v="Office Star - Professional Matrix Back Chair with 2-to-1 Synchro Tilt and Mesh Fabric Seat"/>
    <n v="2807.84"/>
    <n v="8"/>
    <n v="0"/>
    <n v="673.88160000000016"/>
    <x v="0"/>
    <x v="11"/>
    <n v="84.23520000000002"/>
    <s v="Profit"/>
    <s v="No Discount"/>
  </r>
  <r>
    <n v="1757"/>
    <s v="US-2023-161613"/>
    <x v="278"/>
    <d v="2023-12-03T00:00:00"/>
    <s v="Second Class"/>
    <s v="MC-17605"/>
    <s v="Matt Connell"/>
    <x v="2"/>
    <s v="United States"/>
    <s v="Houston"/>
    <s v="Texas"/>
    <n v="77070"/>
    <x v="0"/>
    <s v="FUR-CH-10003746"/>
    <x v="1"/>
    <x v="5"/>
    <s v="Hon 4070 Series Pagoda Round Back Stacking Chairs"/>
    <n v="674.05799999999999"/>
    <n v="3"/>
    <n v="0.3"/>
    <n v="-19.258800000000008"/>
    <x v="0"/>
    <x v="11"/>
    <n v="-6.4196000000000026"/>
    <s v="Loss"/>
    <s v="Medium"/>
  </r>
  <r>
    <n v="1758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FUR-FU-10000221"/>
    <x v="1"/>
    <x v="8"/>
    <s v="Master Caster Door Stop, Brown"/>
    <n v="8.1280000000000001"/>
    <n v="2"/>
    <n v="0.2"/>
    <n v="1.4223999999999997"/>
    <x v="0"/>
    <x v="11"/>
    <n v="0.71119999999999983"/>
    <s v="Profit"/>
    <s v="Low"/>
  </r>
  <r>
    <n v="1759"/>
    <s v="US-2023-131051"/>
    <x v="278"/>
    <d v="2023-12-05T00:00:00"/>
    <s v="Standard Class"/>
    <s v="TR-21325"/>
    <s v="Toby Ritter"/>
    <x v="0"/>
    <s v="United States"/>
    <s v="San Francisco"/>
    <s v="California"/>
    <n v="94122"/>
    <x v="3"/>
    <s v="FUR-FU-10001861"/>
    <x v="1"/>
    <x v="8"/>
    <s v="Floodlight Indoor Halogen Bulbs, 1 Bulb per Pack, 60 Watts"/>
    <n v="58.199999999999996"/>
    <n v="3"/>
    <n v="0"/>
    <n v="28.517999999999994"/>
    <x v="0"/>
    <x v="11"/>
    <n v="9.5059999999999985"/>
    <s v="Profit"/>
    <s v="No Discount"/>
  </r>
  <r>
    <n v="1760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FUR-FU-10002268"/>
    <x v="1"/>
    <x v="8"/>
    <s v="Ultra Door Push Plate"/>
    <n v="9.82"/>
    <n v="2"/>
    <n v="0"/>
    <n v="3.2405999999999997"/>
    <x v="0"/>
    <x v="11"/>
    <n v="1.6202999999999999"/>
    <s v="Profit"/>
    <s v="No Discount"/>
  </r>
  <r>
    <n v="1761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FUR-FU-10003878"/>
    <x v="1"/>
    <x v="8"/>
    <s v="Linden 10&quot; Round Wall Clock, Black"/>
    <n v="45.839999999999996"/>
    <n v="3"/>
    <n v="0"/>
    <n v="15.585599999999999"/>
    <x v="0"/>
    <x v="11"/>
    <n v="5.1951999999999998"/>
    <s v="Profit"/>
    <s v="No Discount"/>
  </r>
  <r>
    <n v="1762"/>
    <s v="US-2023-120474"/>
    <x v="278"/>
    <d v="2023-12-03T00:00:00"/>
    <s v="First Class"/>
    <s v="RP-19390"/>
    <s v="Resi Pölking"/>
    <x v="0"/>
    <s v="United States"/>
    <s v="Madison"/>
    <s v="Wisconsin"/>
    <n v="53711"/>
    <x v="0"/>
    <s v="OFF-AR-10000475"/>
    <x v="0"/>
    <x v="4"/>
    <s v="Hunt BOSTON Vista Battery-Operated Pencil Sharpener, Black"/>
    <n v="46.64"/>
    <n v="4"/>
    <n v="0"/>
    <n v="12.592800000000004"/>
    <x v="0"/>
    <x v="11"/>
    <n v="3.148200000000001"/>
    <s v="Profit"/>
    <s v="No Discount"/>
  </r>
  <r>
    <n v="1763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OFF-PA-10001972"/>
    <x v="0"/>
    <x v="0"/>
    <s v="Xerox 214"/>
    <n v="36.288000000000011"/>
    <n v="7"/>
    <n v="0.2"/>
    <n v="12.700800000000001"/>
    <x v="0"/>
    <x v="11"/>
    <n v="1.8144000000000002"/>
    <s v="Profit"/>
    <s v="Low"/>
  </r>
  <r>
    <n v="1764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TEC-CO-10001571"/>
    <x v="2"/>
    <x v="16"/>
    <s v="Sharp 1540cs Digital Laser Copier"/>
    <n v="659.98799999999994"/>
    <n v="2"/>
    <n v="0.4"/>
    <n v="109.99799999999999"/>
    <x v="0"/>
    <x v="11"/>
    <n v="54.998999999999995"/>
    <s v="Profit"/>
    <s v="Medium"/>
  </r>
  <r>
    <n v="1765"/>
    <s v="US-2023-131527"/>
    <x v="278"/>
    <d v="2023-12-07T00:00:00"/>
    <s v="Standard Class"/>
    <s v="TB-21280"/>
    <s v="Toby Braunhardt"/>
    <x v="0"/>
    <s v="United States"/>
    <s v="Jacksonville"/>
    <s v="North Carolina"/>
    <n v="28540"/>
    <x v="2"/>
    <s v="TEC-PH-10001644"/>
    <x v="2"/>
    <x v="7"/>
    <s v="BlueLounge Milo Smartphone Stand, White/Metallic"/>
    <n v="95.968000000000004"/>
    <n v="4"/>
    <n v="0.2"/>
    <n v="9.5968000000000053"/>
    <x v="0"/>
    <x v="11"/>
    <n v="2.3992000000000013"/>
    <s v="Profit"/>
    <s v="Low"/>
  </r>
  <r>
    <n v="1766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TEC-PH-10004434"/>
    <x v="2"/>
    <x v="7"/>
    <s v="Cisco IP Phone 7961G VoIP phone - Dark gray"/>
    <n v="271.89999999999998"/>
    <n v="2"/>
    <n v="0"/>
    <n v="78.850999999999971"/>
    <x v="0"/>
    <x v="11"/>
    <n v="39.425499999999985"/>
    <s v="Profit"/>
    <s v="No Discount"/>
  </r>
  <r>
    <n v="1767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FUR-BO-10003272"/>
    <x v="1"/>
    <x v="10"/>
    <s v="O'Sullivan Living Dimensions 5-Shelf Bookcases"/>
    <n v="883.92"/>
    <n v="5"/>
    <n v="0.2"/>
    <n v="-110.49000000000007"/>
    <x v="0"/>
    <x v="11"/>
    <n v="-22.098000000000013"/>
    <s v="Loss"/>
    <s v="Low"/>
  </r>
  <r>
    <n v="1768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FUR-CH-10004754"/>
    <x v="1"/>
    <x v="5"/>
    <s v="Global Stack Chair with Arms, Black"/>
    <n v="239.84"/>
    <n v="8"/>
    <n v="0"/>
    <n v="64.756799999999998"/>
    <x v="0"/>
    <x v="11"/>
    <n v="8.0945999999999998"/>
    <s v="Profit"/>
    <s v="No Discount"/>
  </r>
  <r>
    <n v="1769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FUR-FU-10001588"/>
    <x v="1"/>
    <x v="8"/>
    <s v="Deflect-o SuperTray Unbreakable Stackable Tray, Letter, Black"/>
    <n v="58.36"/>
    <n v="5"/>
    <n v="0.6"/>
    <n v="-24.802999999999997"/>
    <x v="0"/>
    <x v="11"/>
    <n v="-4.9605999999999995"/>
    <s v="Loss"/>
    <s v="High"/>
  </r>
  <r>
    <n v="1770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FUR-FU-10002759"/>
    <x v="1"/>
    <x v="8"/>
    <s v="12-1/2 Diameter Round Wall Clock"/>
    <n v="39.960000000000008"/>
    <n v="5"/>
    <n v="0.6"/>
    <n v="-23.975999999999999"/>
    <x v="0"/>
    <x v="11"/>
    <n v="-4.7951999999999995"/>
    <s v="Loss"/>
    <s v="High"/>
  </r>
  <r>
    <n v="1771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FUR-FU-10003849"/>
    <x v="1"/>
    <x v="8"/>
    <s v="DAX Metal Frame, Desktop, Stepped-Edge"/>
    <n v="60.72"/>
    <n v="3"/>
    <n v="0"/>
    <n v="23.680799999999998"/>
    <x v="0"/>
    <x v="11"/>
    <n v="7.8935999999999993"/>
    <s v="Profit"/>
    <s v="No Discount"/>
  </r>
  <r>
    <n v="1772"/>
    <s v="US-2023-101147"/>
    <x v="279"/>
    <d v="2023-12-04T00:00:00"/>
    <s v="First Class"/>
    <s v="MC-17575"/>
    <s v="Matt Collins"/>
    <x v="0"/>
    <s v="United States"/>
    <s v="Chicago"/>
    <s v="Illinois"/>
    <n v="60623"/>
    <x v="0"/>
    <s v="OFF-AP-10004249"/>
    <x v="0"/>
    <x v="12"/>
    <s v="Staple holder"/>
    <n v="2.3939999999999997"/>
    <n v="1"/>
    <n v="0.8"/>
    <n v="-6.344100000000001"/>
    <x v="0"/>
    <x v="11"/>
    <n v="-6.344100000000001"/>
    <s v="Loss"/>
    <s v="High"/>
  </r>
  <r>
    <n v="1773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OFF-AR-10000940"/>
    <x v="0"/>
    <x v="4"/>
    <s v="Newell 343"/>
    <n v="16.463999999999999"/>
    <n v="7"/>
    <n v="0.2"/>
    <n v="1.4406000000000008"/>
    <x v="0"/>
    <x v="11"/>
    <n v="0.20580000000000012"/>
    <s v="Profit"/>
    <s v="Low"/>
  </r>
  <r>
    <n v="1774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OFF-BI-10000050"/>
    <x v="0"/>
    <x v="1"/>
    <s v="Angle-D Binders with Locking Rings, Label Holders"/>
    <n v="46.72"/>
    <n v="8"/>
    <n v="0.2"/>
    <n v="15.767999999999997"/>
    <x v="0"/>
    <x v="11"/>
    <n v="1.9709999999999996"/>
    <s v="Profit"/>
    <s v="Low"/>
  </r>
  <r>
    <n v="1775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OFF-LA-10000634"/>
    <x v="0"/>
    <x v="2"/>
    <s v="Avery 509"/>
    <n v="15.66"/>
    <n v="6"/>
    <n v="0"/>
    <n v="7.2035999999999998"/>
    <x v="0"/>
    <x v="11"/>
    <n v="1.2005999999999999"/>
    <s v="Profit"/>
    <s v="No Discount"/>
  </r>
  <r>
    <n v="1776"/>
    <s v="US-2023-103807"/>
    <x v="279"/>
    <d v="2023-12-09T00:00:00"/>
    <s v="Standard Class"/>
    <s v="EM-13825"/>
    <s v="Elizabeth Moffitt"/>
    <x v="2"/>
    <s v="United States"/>
    <s v="Sandy Springs"/>
    <s v="Georgia"/>
    <n v="30328"/>
    <x v="2"/>
    <s v="OFF-PA-10002195"/>
    <x v="0"/>
    <x v="0"/>
    <s v="RSVP Cards &amp; Envelopes, Blank White, 8-1/2&quot; X 11&quot;, 24 Cards/25 Envelopes/Set"/>
    <n v="15.24"/>
    <n v="3"/>
    <n v="0"/>
    <n v="7.1627999999999998"/>
    <x v="0"/>
    <x v="11"/>
    <n v="2.3875999999999999"/>
    <s v="Profit"/>
    <s v="No Discount"/>
  </r>
  <r>
    <n v="1777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OFF-PA-10002923"/>
    <x v="0"/>
    <x v="0"/>
    <s v="Xerox 1942"/>
    <n v="146.82"/>
    <n v="3"/>
    <n v="0"/>
    <n v="73.41"/>
    <x v="0"/>
    <x v="11"/>
    <n v="24.47"/>
    <s v="Profit"/>
    <s v="No Discount"/>
  </r>
  <r>
    <n v="1778"/>
    <s v="US-2023-103807"/>
    <x v="279"/>
    <d v="2023-12-09T00:00:00"/>
    <s v="Standard Class"/>
    <s v="EM-13825"/>
    <s v="Elizabeth Moffitt"/>
    <x v="2"/>
    <s v="United States"/>
    <s v="Sandy Springs"/>
    <s v="Georgia"/>
    <n v="30328"/>
    <x v="2"/>
    <s v="TEC-AC-10000199"/>
    <x v="2"/>
    <x v="9"/>
    <s v="Kingston Digital DataTraveler 8GB USB 2.0"/>
    <n v="5.95"/>
    <n v="1"/>
    <n v="0"/>
    <n v="0.83300000000000018"/>
    <x v="0"/>
    <x v="11"/>
    <n v="0.83300000000000018"/>
    <s v="Profit"/>
    <s v="No Discount"/>
  </r>
  <r>
    <n v="1779"/>
    <s v="US-2023-132864"/>
    <x v="279"/>
    <d v="2023-12-07T00:00:00"/>
    <s v="Standard Class"/>
    <s v="KN-16390"/>
    <s v="Katherine Nockton"/>
    <x v="2"/>
    <s v="United States"/>
    <s v="Columbus"/>
    <s v="Ohio"/>
    <n v="43229"/>
    <x v="1"/>
    <s v="TEC-AC-10001267"/>
    <x v="2"/>
    <x v="9"/>
    <s v="Imation 32GB Pocket Pro USB 3.0 Flash Drive - 32 GB - Black - 1 P ..."/>
    <n v="119.80000000000001"/>
    <n v="5"/>
    <n v="0.2"/>
    <n v="29.950000000000003"/>
    <x v="0"/>
    <x v="11"/>
    <n v="5.99"/>
    <s v="Profit"/>
    <s v="Low"/>
  </r>
  <r>
    <n v="1780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TEC-AC-10003628"/>
    <x v="2"/>
    <x v="9"/>
    <s v="Logitech 910-002974 M325 Wireless Mouse for Web Scrolling"/>
    <n v="119.96"/>
    <n v="4"/>
    <n v="0"/>
    <n v="52.78240000000001"/>
    <x v="0"/>
    <x v="11"/>
    <n v="13.195600000000002"/>
    <s v="Profit"/>
    <s v="No Discount"/>
  </r>
  <r>
    <n v="1781"/>
    <s v="CA-2023-123664"/>
    <x v="279"/>
    <d v="2023-12-06T00:00:00"/>
    <s v="Standard Class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  <x v="0"/>
    <x v="11"/>
    <n v="-4.9605999999999995"/>
    <s v="Loss"/>
    <s v="High"/>
  </r>
  <r>
    <n v="1782"/>
    <s v="CA-2023-117964"/>
    <x v="279"/>
    <d v="2023-12-06T00:00:00"/>
    <s v="Standard Class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  <x v="0"/>
    <x v="11"/>
    <n v="-4.1951999999999998"/>
    <s v="Loss"/>
    <s v="High"/>
  </r>
  <r>
    <n v="1783"/>
    <s v="CA-2023-117964"/>
    <x v="279"/>
    <d v="2023-12-06T00:00:00"/>
    <s v="Standard Class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  <x v="0"/>
    <x v="11"/>
    <n v="0.34865714285714283"/>
    <s v="Profit"/>
    <s v="Low"/>
  </r>
  <r>
    <n v="1784"/>
    <s v="US-2023-164861"/>
    <x v="280"/>
    <d v="2023-12-06T00:00:00"/>
    <s v="Second Class"/>
    <s v="MC-17635"/>
    <s v="Matthew Clasen"/>
    <x v="2"/>
    <s v="United States"/>
    <s v="Saint Louis"/>
    <s v="Missouri"/>
    <n v="63116"/>
    <x v="0"/>
    <s v="OFF-PA-10001972"/>
    <x v="0"/>
    <x v="0"/>
    <s v="Xerox 214"/>
    <n v="25.92"/>
    <n v="4"/>
    <n v="0"/>
    <n v="12.441600000000001"/>
    <x v="0"/>
    <x v="11"/>
    <n v="3.1104000000000003"/>
    <s v="Profit"/>
    <s v="No Discount"/>
  </r>
  <r>
    <n v="1785"/>
    <s v="US-2023-122749"/>
    <x v="280"/>
    <d v="2023-12-09T00:00:00"/>
    <s v="Standard Class"/>
    <s v="NG-18430"/>
    <s v="Nathan Gelder"/>
    <x v="0"/>
    <s v="United States"/>
    <s v="Oklahoma City"/>
    <s v="Oklahoma"/>
    <n v="73120"/>
    <x v="0"/>
    <s v="TEC-PH-10003811"/>
    <x v="2"/>
    <x v="7"/>
    <s v="Jabra Supreme Plus Driver Edition Headset"/>
    <n v="479.96"/>
    <n v="4"/>
    <n v="0"/>
    <n v="134.3888"/>
    <x v="0"/>
    <x v="11"/>
    <n v="33.597200000000001"/>
    <s v="Profit"/>
    <s v="No Discount"/>
  </r>
  <r>
    <n v="1786"/>
    <s v="US-2023-127187"/>
    <x v="281"/>
    <d v="2023-12-08T00:00:00"/>
    <s v="Standard Class"/>
    <s v="CP-12085"/>
    <s v="Cathy Prescott"/>
    <x v="2"/>
    <s v="United States"/>
    <s v="New York City"/>
    <s v="New York"/>
    <n v="10024"/>
    <x v="1"/>
    <s v="TEC-PH-10000673"/>
    <x v="2"/>
    <x v="7"/>
    <s v="Plantronics Voyager Pro HD - Bluetooth Headset"/>
    <n v="129.97999999999999"/>
    <n v="2"/>
    <n v="0"/>
    <n v="62.3904"/>
    <x v="0"/>
    <x v="11"/>
    <n v="31.1952"/>
    <s v="Profit"/>
    <s v="No Discount"/>
  </r>
  <r>
    <n v="1787"/>
    <s v="CA-2023-119508"/>
    <x v="281"/>
    <d v="2023-12-09T00:00:00"/>
    <s v="Standard Class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  <x v="0"/>
    <x v="11"/>
    <n v="1.5049999999999999"/>
    <s v="Profit"/>
    <s v="No Discount"/>
  </r>
  <r>
    <n v="1788"/>
    <s v="CA-2023-119508"/>
    <x v="281"/>
    <d v="2023-12-09T00:00:00"/>
    <s v="Standard Class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  <x v="0"/>
    <x v="11"/>
    <n v="1.25"/>
    <s v="Profit"/>
    <s v="No Discount"/>
  </r>
  <r>
    <n v="1789"/>
    <s v="US-2023-150203"/>
    <x v="282"/>
    <d v="2023-12-07T00:00:00"/>
    <s v="First Class"/>
    <s v="JB-15925"/>
    <s v="Joni Blumstein"/>
    <x v="0"/>
    <s v="United States"/>
    <s v="Los Angeles"/>
    <s v="California"/>
    <n v="90032"/>
    <x v="3"/>
    <s v="OFF-AP-10001469"/>
    <x v="0"/>
    <x v="12"/>
    <s v="Fellowes 8 Outlet Superior Workstation Surge Protector"/>
    <n v="250.26"/>
    <n v="6"/>
    <n v="0"/>
    <n v="72.575399999999973"/>
    <x v="0"/>
    <x v="11"/>
    <n v="12.095899999999995"/>
    <s v="Profit"/>
    <s v="No Discount"/>
  </r>
  <r>
    <n v="1790"/>
    <s v="US-2023-106376"/>
    <x v="282"/>
    <d v="2023-12-10T00:00:00"/>
    <s v="Standard Class"/>
    <s v="BS-11590"/>
    <s v="Brendan Sweed"/>
    <x v="2"/>
    <s v="United States"/>
    <s v="Gilbert"/>
    <s v="Arizona"/>
    <n v="85234"/>
    <x v="3"/>
    <s v="OFF-AR-10002671"/>
    <x v="0"/>
    <x v="4"/>
    <s v="Hunt BOSTON Model 1606 High-Volume Electric Pencil Sharpener, Beige"/>
    <n v="1113.0240000000001"/>
    <n v="8"/>
    <n v="0.2"/>
    <n v="111.30239999999998"/>
    <x v="0"/>
    <x v="11"/>
    <n v="13.912799999999997"/>
    <s v="Profit"/>
    <s v="Low"/>
  </r>
  <r>
    <n v="1791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AR-10003045"/>
    <x v="0"/>
    <x v="4"/>
    <s v="Prang Colored Pencils"/>
    <n v="26.46"/>
    <n v="9"/>
    <n v="0"/>
    <n v="11.907"/>
    <x v="0"/>
    <x v="11"/>
    <n v="1.323"/>
    <s v="Profit"/>
    <s v="No Discount"/>
  </r>
  <r>
    <n v="1792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BI-10003719"/>
    <x v="0"/>
    <x v="1"/>
    <s v="Large Capacity Hanging Post Binders"/>
    <n v="29.940000000000005"/>
    <n v="4"/>
    <n v="0.7"/>
    <n v="-23.952000000000005"/>
    <x v="0"/>
    <x v="11"/>
    <n v="-5.9880000000000013"/>
    <s v="Loss"/>
    <s v="High"/>
  </r>
  <r>
    <n v="1793"/>
    <s v="US-2023-125542"/>
    <x v="282"/>
    <d v="2023-12-07T00:00:00"/>
    <s v="First Class"/>
    <s v="NB-18655"/>
    <s v="Nona Balk"/>
    <x v="2"/>
    <s v="United States"/>
    <s v="Philadelphia"/>
    <s v="Pennsylvania"/>
    <n v="19134"/>
    <x v="1"/>
    <s v="OFF-EN-10000056"/>
    <x v="0"/>
    <x v="11"/>
    <s v="Cameo Buff Policy Envelopes"/>
    <n v="348.488"/>
    <n v="7"/>
    <n v="0.2"/>
    <n v="117.61469999999996"/>
    <x v="0"/>
    <x v="11"/>
    <n v="16.802099999999992"/>
    <s v="Profit"/>
    <s v="Low"/>
  </r>
  <r>
    <n v="1794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FA-10002280"/>
    <x v="0"/>
    <x v="6"/>
    <s v="Advantus Plastic Paper Clips"/>
    <n v="15"/>
    <n v="3"/>
    <n v="0"/>
    <n v="7.1999999999999993"/>
    <x v="0"/>
    <x v="11"/>
    <n v="2.4"/>
    <s v="Profit"/>
    <s v="No Discount"/>
  </r>
  <r>
    <n v="1795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PA-10001033"/>
    <x v="0"/>
    <x v="0"/>
    <s v="Xerox 1893"/>
    <n v="98.376000000000005"/>
    <n v="3"/>
    <n v="0.2"/>
    <n v="35.661300000000004"/>
    <x v="0"/>
    <x v="11"/>
    <n v="11.887100000000002"/>
    <s v="Profit"/>
    <s v="Low"/>
  </r>
  <r>
    <n v="1796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PA-10001363"/>
    <x v="0"/>
    <x v="0"/>
    <s v="Xerox 1933"/>
    <n v="49.12"/>
    <n v="4"/>
    <n v="0"/>
    <n v="23.086399999999998"/>
    <x v="0"/>
    <x v="11"/>
    <n v="5.7715999999999994"/>
    <s v="Profit"/>
    <s v="No Discount"/>
  </r>
  <r>
    <n v="1797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PA-10003036"/>
    <x v="0"/>
    <x v="0"/>
    <s v="Black Print Carbonless 8 1/2&quot; x 8 1/4&quot; Rapid Memo Book"/>
    <n v="17.472000000000001"/>
    <n v="3"/>
    <n v="0.2"/>
    <n v="5.6783999999999981"/>
    <x v="0"/>
    <x v="11"/>
    <n v="1.8927999999999994"/>
    <s v="Profit"/>
    <s v="Low"/>
  </r>
  <r>
    <n v="1798"/>
    <s v="US-2023-125542"/>
    <x v="282"/>
    <d v="2023-12-07T00:00:00"/>
    <s v="First Class"/>
    <s v="NB-18655"/>
    <s v="Nona Balk"/>
    <x v="2"/>
    <s v="United States"/>
    <s v="Philadelphia"/>
    <s v="Pennsylvania"/>
    <n v="19134"/>
    <x v="1"/>
    <s v="OFF-ST-10001469"/>
    <x v="0"/>
    <x v="3"/>
    <s v="Fellowes Bankers Box Recycled Super Stor/Drawer"/>
    <n v="172.73599999999999"/>
    <n v="4"/>
    <n v="0.2"/>
    <n v="-30.228800000000007"/>
    <x v="0"/>
    <x v="11"/>
    <n v="-7.5572000000000017"/>
    <s v="Loss"/>
    <s v="Low"/>
  </r>
  <r>
    <n v="1799"/>
    <s v="US-2023-138296"/>
    <x v="282"/>
    <d v="2023-12-12T00:00:00"/>
    <s v="Standard Class"/>
    <s v="RC-19825"/>
    <s v="Roy Collins"/>
    <x v="0"/>
    <s v="United States"/>
    <s v="Alexandria"/>
    <s v="Virginia"/>
    <n v="22304"/>
    <x v="2"/>
    <s v="OFF-ST-10002444"/>
    <x v="0"/>
    <x v="3"/>
    <s v="Recycled Eldon Regeneration Jumbo File"/>
    <n v="24.56"/>
    <n v="2"/>
    <n v="0"/>
    <n v="6.8767999999999994"/>
    <x v="0"/>
    <x v="11"/>
    <n v="3.4383999999999997"/>
    <s v="Profit"/>
    <s v="No Discount"/>
  </r>
  <r>
    <n v="1800"/>
    <s v="US-2023-166191"/>
    <x v="282"/>
    <d v="2023-12-09T00:00:00"/>
    <s v="Second Class"/>
    <s v="DK-13150"/>
    <s v="David Kendrick"/>
    <x v="2"/>
    <s v="United States"/>
    <s v="Decatur"/>
    <s v="Illinois"/>
    <n v="62521"/>
    <x v="0"/>
    <s v="OFF-ST-10003455"/>
    <x v="0"/>
    <x v="3"/>
    <s v="Tenex File Box, Personal Filing Tote with Lid, Black"/>
    <n v="24.816000000000003"/>
    <n v="2"/>
    <n v="0.2"/>
    <n v="1.8612000000000002"/>
    <x v="0"/>
    <x v="11"/>
    <n v="0.93060000000000009"/>
    <s v="Profit"/>
    <s v="Low"/>
  </r>
  <r>
    <n v="1801"/>
    <s v="US-2023-166191"/>
    <x v="282"/>
    <d v="2023-12-09T00:00:00"/>
    <s v="Second Class"/>
    <s v="DK-13150"/>
    <s v="David Kendrick"/>
    <x v="2"/>
    <s v="United States"/>
    <s v="Decatur"/>
    <s v="Illinois"/>
    <n v="62521"/>
    <x v="0"/>
    <s v="TEC-AC-10004659"/>
    <x v="2"/>
    <x v="9"/>
    <s v="Imation Secure+ Hardware Encrypted USB 2.0 Flash Drive; 16GB"/>
    <n v="408.74399999999997"/>
    <n v="7"/>
    <n v="0.2"/>
    <n v="76.639499999999984"/>
    <x v="0"/>
    <x v="11"/>
    <n v="10.948499999999997"/>
    <s v="Profit"/>
    <s v="Low"/>
  </r>
  <r>
    <n v="1802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TEC-PH-10001809"/>
    <x v="2"/>
    <x v="7"/>
    <s v="Panasonic KX T7736-B Digital phone"/>
    <n v="179.93999999999997"/>
    <n v="2"/>
    <n v="0.4"/>
    <n v="-44.984999999999999"/>
    <x v="0"/>
    <x v="11"/>
    <n v="-22.4925"/>
    <s v="Loss"/>
    <s v="Medium"/>
  </r>
  <r>
    <n v="1803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TEC-PH-10001870"/>
    <x v="2"/>
    <x v="7"/>
    <s v="Lunatik TT5L-002 Taktik Strike Impact Protection System for iPhone 5"/>
    <n v="36.738"/>
    <n v="1"/>
    <n v="0.4"/>
    <n v="-9.1845000000000034"/>
    <x v="0"/>
    <x v="11"/>
    <n v="-9.1845000000000034"/>
    <s v="Loss"/>
    <s v="Medium"/>
  </r>
  <r>
    <n v="1804"/>
    <s v="US-2023-106376"/>
    <x v="282"/>
    <d v="2023-12-10T00:00:00"/>
    <s v="Standard Class"/>
    <s v="BS-11590"/>
    <s v="Brendan Sweed"/>
    <x v="2"/>
    <s v="United States"/>
    <s v="Gilbert"/>
    <s v="Arizona"/>
    <n v="85234"/>
    <x v="3"/>
    <s v="TEC-PH-10002726"/>
    <x v="2"/>
    <x v="7"/>
    <s v="netTALK DUO VoIP Telephone Service"/>
    <n v="167.96800000000002"/>
    <n v="4"/>
    <n v="0.2"/>
    <n v="62.988"/>
    <x v="0"/>
    <x v="11"/>
    <n v="15.747"/>
    <s v="Profit"/>
    <s v="Low"/>
  </r>
  <r>
    <n v="1805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FUR-FU-10002088"/>
    <x v="1"/>
    <x v="8"/>
    <s v="Nu-Dell Float Frame 11 x 14 1/2"/>
    <n v="10.776000000000002"/>
    <n v="3"/>
    <n v="0.6"/>
    <n v="-4.8491999999999997"/>
    <x v="0"/>
    <x v="11"/>
    <n v="-1.6163999999999998"/>
    <s v="Loss"/>
    <s v="High"/>
  </r>
  <r>
    <n v="1806"/>
    <s v="US-2023-110030"/>
    <x v="283"/>
    <d v="2023-12-08T00:00:00"/>
    <s v="Second Class"/>
    <s v="LF-17185"/>
    <s v="Luke Foster"/>
    <x v="0"/>
    <s v="United States"/>
    <s v="Houston"/>
    <s v="Texas"/>
    <n v="77095"/>
    <x v="0"/>
    <s v="FUR-FU-10002759"/>
    <x v="1"/>
    <x v="8"/>
    <s v="12-1/2 Diameter Round Wall Clock"/>
    <n v="23.976000000000003"/>
    <n v="3"/>
    <n v="0.6"/>
    <n v="-14.385599999999997"/>
    <x v="0"/>
    <x v="11"/>
    <n v="-4.7951999999999986"/>
    <s v="Loss"/>
    <s v="High"/>
  </r>
  <r>
    <n v="1807"/>
    <s v="US-2023-112872"/>
    <x v="283"/>
    <d v="2023-12-11T00:00:00"/>
    <s v="Second Class"/>
    <s v="RC-19960"/>
    <s v="Ryan Crowe"/>
    <x v="0"/>
    <s v="United States"/>
    <s v="Springfield"/>
    <s v="Oregon"/>
    <n v="97477"/>
    <x v="3"/>
    <s v="FUR-TA-10003238"/>
    <x v="1"/>
    <x v="13"/>
    <s v="Chromcraft Bull-Nose Wood 48&quot; x 96&quot; Rectangular Conference Tables"/>
    <n v="275.49"/>
    <n v="1"/>
    <n v="0.5"/>
    <n v="-170.80380000000002"/>
    <x v="0"/>
    <x v="11"/>
    <n v="-170.80380000000002"/>
    <s v="Loss"/>
    <s v="High"/>
  </r>
  <r>
    <n v="1808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FUR-TA-10004086"/>
    <x v="1"/>
    <x v="13"/>
    <s v="KI Adjustable-Height Table"/>
    <n v="214.95000000000002"/>
    <n v="5"/>
    <n v="0.5"/>
    <n v="-120.37200000000003"/>
    <x v="0"/>
    <x v="11"/>
    <n v="-24.074400000000004"/>
    <s v="Loss"/>
    <s v="High"/>
  </r>
  <r>
    <n v="1809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AP-10004036"/>
    <x v="0"/>
    <x v="12"/>
    <s v="Bionaire 99.97% HEPA Air Cleaner"/>
    <n v="14.015999999999996"/>
    <n v="4"/>
    <n v="0.8"/>
    <n v="-31.536000000000001"/>
    <x v="0"/>
    <x v="11"/>
    <n v="-7.8840000000000003"/>
    <s v="Loss"/>
    <s v="High"/>
  </r>
  <r>
    <n v="1810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BI-10004965"/>
    <x v="0"/>
    <x v="1"/>
    <s v="Ibico Covers for Plastic or Wire Binding Elements"/>
    <n v="4.5999999999999988"/>
    <n v="2"/>
    <n v="0.8"/>
    <n v="-8.0500000000000025"/>
    <x v="0"/>
    <x v="11"/>
    <n v="-4.0250000000000012"/>
    <s v="Loss"/>
    <s v="High"/>
  </r>
  <r>
    <n v="1811"/>
    <s v="US-2023-155390"/>
    <x v="283"/>
    <d v="2023-12-11T00:00:00"/>
    <s v="Standard Class"/>
    <s v="BG-11035"/>
    <s v="Barry Gonzalez"/>
    <x v="0"/>
    <s v="United States"/>
    <s v="Memphis"/>
    <s v="Tennessee"/>
    <n v="38109"/>
    <x v="2"/>
    <s v="OFF-PA-10003641"/>
    <x v="0"/>
    <x v="0"/>
    <s v="Xerox 1909"/>
    <n v="42.207999999999998"/>
    <n v="2"/>
    <n v="0.2"/>
    <n v="13.717599999999997"/>
    <x v="0"/>
    <x v="11"/>
    <n v="6.8587999999999987"/>
    <s v="Profit"/>
    <s v="Low"/>
  </r>
  <r>
    <n v="1812"/>
    <s v="US-2023-106726"/>
    <x v="283"/>
    <d v="2023-12-08T00:00:00"/>
    <s v="First Class"/>
    <s v="RS-19765"/>
    <s v="Roland Schwarz"/>
    <x v="2"/>
    <s v="United States"/>
    <s v="Los Angeles"/>
    <s v="California"/>
    <n v="90008"/>
    <x v="3"/>
    <s v="OFF-ST-10001496"/>
    <x v="0"/>
    <x v="3"/>
    <s v="Standard Rollaway File with Lock"/>
    <n v="1261.33"/>
    <n v="7"/>
    <n v="0"/>
    <n v="327.94580000000002"/>
    <x v="0"/>
    <x v="11"/>
    <n v="46.849400000000003"/>
    <s v="Profit"/>
    <s v="No Discount"/>
  </r>
  <r>
    <n v="1813"/>
    <s v="US-2023-112872"/>
    <x v="283"/>
    <d v="2023-12-11T00:00:00"/>
    <s v="Second Class"/>
    <s v="RC-19960"/>
    <s v="Ryan Crowe"/>
    <x v="0"/>
    <s v="United States"/>
    <s v="Springfield"/>
    <s v="Oregon"/>
    <n v="97477"/>
    <x v="3"/>
    <s v="OFF-ST-10002205"/>
    <x v="0"/>
    <x v="3"/>
    <s v="File Shuttle I and Handi-File"/>
    <n v="53.424000000000007"/>
    <n v="3"/>
    <n v="0.2"/>
    <n v="4.6746000000000016"/>
    <x v="0"/>
    <x v="11"/>
    <n v="1.5582000000000005"/>
    <s v="Profit"/>
    <s v="Low"/>
  </r>
  <r>
    <n v="1814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ST-10002485"/>
    <x v="0"/>
    <x v="3"/>
    <s v="Rogers Deluxe File Chest"/>
    <n v="35.167999999999999"/>
    <n v="2"/>
    <n v="0.2"/>
    <n v="-8.3524000000000012"/>
    <x v="0"/>
    <x v="11"/>
    <n v="-4.1762000000000006"/>
    <s v="Loss"/>
    <s v="Low"/>
  </r>
  <r>
    <n v="1815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TEC-PH-10000307"/>
    <x v="2"/>
    <x v="7"/>
    <s v="Shocksock Galaxy S4 Armband"/>
    <n v="35.04"/>
    <n v="4"/>
    <n v="0.2"/>
    <n v="-7.0080000000000044"/>
    <x v="0"/>
    <x v="11"/>
    <n v="-1.7520000000000011"/>
    <s v="Loss"/>
    <s v="Low"/>
  </r>
  <r>
    <n v="1816"/>
    <s v="US-2023-138737"/>
    <x v="284"/>
    <d v="2023-12-10T00:00:00"/>
    <s v="First Class"/>
    <s v="FP-14320"/>
    <s v="Frank Preis"/>
    <x v="0"/>
    <s v="United States"/>
    <s v="Los Angeles"/>
    <s v="California"/>
    <n v="90049"/>
    <x v="3"/>
    <s v="OFF-AR-10003190"/>
    <x v="0"/>
    <x v="4"/>
    <s v="Newell 32"/>
    <n v="8.64"/>
    <n v="3"/>
    <n v="0"/>
    <n v="2.4192"/>
    <x v="0"/>
    <x v="11"/>
    <n v="0.80640000000000001"/>
    <s v="Profit"/>
    <s v="No Discount"/>
  </r>
  <r>
    <n v="1817"/>
    <s v="US-2023-154592"/>
    <x v="284"/>
    <d v="2023-12-08T00:00:00"/>
    <s v="First Class"/>
    <s v="EH-14005"/>
    <s v="Erica Hernandez"/>
    <x v="1"/>
    <s v="United States"/>
    <s v="San Francisco"/>
    <s v="California"/>
    <n v="94109"/>
    <x v="3"/>
    <s v="OFF-PA-10000062"/>
    <x v="0"/>
    <x v="0"/>
    <s v="Green Bar Computer Printout Paper"/>
    <n v="164.88"/>
    <n v="3"/>
    <n v="0"/>
    <n v="80.791200000000003"/>
    <x v="0"/>
    <x v="11"/>
    <n v="26.930400000000002"/>
    <s v="Profit"/>
    <s v="No Discount"/>
  </r>
  <r>
    <n v="1818"/>
    <s v="US-2023-159681"/>
    <x v="284"/>
    <d v="2023-12-13T00:00:00"/>
    <s v="Standard Class"/>
    <s v="PO-18850"/>
    <s v="Patrick O'Brill"/>
    <x v="0"/>
    <s v="United States"/>
    <s v="Virginia Beach"/>
    <s v="Virginia"/>
    <n v="23464"/>
    <x v="2"/>
    <s v="OFF-PA-10003641"/>
    <x v="0"/>
    <x v="0"/>
    <s v="Xerox 1909"/>
    <n v="105.52"/>
    <n v="4"/>
    <n v="0"/>
    <n v="48.539199999999994"/>
    <x v="0"/>
    <x v="11"/>
    <n v="12.134799999999998"/>
    <s v="Profit"/>
    <s v="No Discount"/>
  </r>
  <r>
    <n v="1819"/>
    <s v="US-2023-101392"/>
    <x v="284"/>
    <d v="2023-12-13T00:00:00"/>
    <s v="Standard Class"/>
    <s v="AS-10630"/>
    <s v="Ann Steele"/>
    <x v="1"/>
    <s v="United States"/>
    <s v="Seattle"/>
    <s v="Washington"/>
    <n v="98103"/>
    <x v="3"/>
    <s v="OFF-ST-10000532"/>
    <x v="0"/>
    <x v="3"/>
    <s v="Advantus Rolling Drawer Organizers"/>
    <n v="269.35999999999996"/>
    <n v="7"/>
    <n v="0"/>
    <n v="70.033599999999993"/>
    <x v="0"/>
    <x v="11"/>
    <n v="10.004799999999999"/>
    <s v="Profit"/>
    <s v="No Discount"/>
  </r>
  <r>
    <n v="1820"/>
    <s v="US-2023-135608"/>
    <x v="285"/>
    <d v="2023-12-10T00:00:00"/>
    <s v="Second Class"/>
    <s v="JK-15625"/>
    <s v="Jim Karlsson"/>
    <x v="0"/>
    <s v="United States"/>
    <s v="Olympia"/>
    <s v="Washington"/>
    <n v="98502"/>
    <x v="3"/>
    <s v="FUR-CH-10002602"/>
    <x v="1"/>
    <x v="5"/>
    <s v="DMI Arturo Collection Mission-style Design Wood Chair"/>
    <n v="603.91999999999996"/>
    <n v="5"/>
    <n v="0.2"/>
    <n v="45.294000000000011"/>
    <x v="0"/>
    <x v="11"/>
    <n v="9.0588000000000015"/>
    <s v="Profit"/>
    <s v="Low"/>
  </r>
  <r>
    <n v="1821"/>
    <s v="US-2023-144071"/>
    <x v="285"/>
    <d v="2023-12-15T00:00:00"/>
    <s v="Standard Class"/>
    <s v="DJ-13420"/>
    <s v="Denny Joy"/>
    <x v="2"/>
    <s v="United States"/>
    <s v="San Francisco"/>
    <s v="California"/>
    <n v="94110"/>
    <x v="3"/>
    <s v="FUR-FU-10000397"/>
    <x v="1"/>
    <x v="8"/>
    <s v="Luxo Economy Swing Arm Lamp"/>
    <n v="39.880000000000003"/>
    <n v="2"/>
    <n v="0"/>
    <n v="11.166400000000003"/>
    <x v="0"/>
    <x v="11"/>
    <n v="5.5832000000000015"/>
    <s v="Profit"/>
    <s v="No Discount"/>
  </r>
  <r>
    <n v="1822"/>
    <s v="US-2023-144071"/>
    <x v="285"/>
    <d v="2023-12-15T00:00:00"/>
    <s v="Standard Class"/>
    <s v="DJ-13420"/>
    <s v="Denny Joy"/>
    <x v="2"/>
    <s v="United States"/>
    <s v="San Francisco"/>
    <s v="California"/>
    <n v="94110"/>
    <x v="3"/>
    <s v="FUR-FU-10000758"/>
    <x v="1"/>
    <x v="8"/>
    <s v="DAX Natural Wood-Tone Poster Frame"/>
    <n v="79.44"/>
    <n v="3"/>
    <n v="0"/>
    <n v="28.598399999999994"/>
    <x v="0"/>
    <x v="11"/>
    <n v="9.5327999999999982"/>
    <s v="Profit"/>
    <s v="No Discount"/>
  </r>
  <r>
    <n v="1823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BI-10001132"/>
    <x v="0"/>
    <x v="1"/>
    <s v="Acco PRESSTEX Data Binder with Storage Hooks, Dark Blue, 9 1/2&quot; X 11&quot;"/>
    <n v="6.4560000000000004"/>
    <n v="4"/>
    <n v="0.7"/>
    <n v="-4.5191999999999979"/>
    <x v="0"/>
    <x v="11"/>
    <n v="-1.1297999999999995"/>
    <s v="Loss"/>
    <s v="High"/>
  </r>
  <r>
    <n v="1824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LA-10001569"/>
    <x v="0"/>
    <x v="2"/>
    <s v="Avery 499"/>
    <n v="27.888000000000002"/>
    <n v="7"/>
    <n v="0.2"/>
    <n v="9.0635999999999974"/>
    <x v="0"/>
    <x v="11"/>
    <n v="1.2947999999999997"/>
    <s v="Profit"/>
    <s v="Low"/>
  </r>
  <r>
    <n v="1825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LA-10004409"/>
    <x v="0"/>
    <x v="2"/>
    <s v="Avery 492"/>
    <n v="11.52"/>
    <n v="5"/>
    <n v="0.2"/>
    <n v="3.7439999999999989"/>
    <x v="0"/>
    <x v="11"/>
    <n v="0.7487999999999998"/>
    <s v="Profit"/>
    <s v="Low"/>
  </r>
  <r>
    <n v="1826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PA-10001569"/>
    <x v="0"/>
    <x v="0"/>
    <s v="Xerox 232"/>
    <n v="10.368000000000002"/>
    <n v="2"/>
    <n v="0.2"/>
    <n v="3.6288"/>
    <x v="0"/>
    <x v="11"/>
    <n v="1.8144"/>
    <s v="Profit"/>
    <s v="Low"/>
  </r>
  <r>
    <n v="1827"/>
    <s v="US-2023-135608"/>
    <x v="285"/>
    <d v="2023-12-10T00:00:00"/>
    <s v="Second Class"/>
    <s v="JK-15625"/>
    <s v="Jim Karlsson"/>
    <x v="0"/>
    <s v="United States"/>
    <s v="Olympia"/>
    <s v="Washington"/>
    <n v="98502"/>
    <x v="3"/>
    <s v="OFF-PA-10001954"/>
    <x v="0"/>
    <x v="0"/>
    <s v="Xerox 1964"/>
    <n v="45.68"/>
    <n v="2"/>
    <n v="0"/>
    <n v="21.012799999999999"/>
    <x v="0"/>
    <x v="11"/>
    <n v="10.506399999999999"/>
    <s v="Profit"/>
    <s v="No Discount"/>
  </r>
  <r>
    <n v="1828"/>
    <s v="US-2023-104773"/>
    <x v="285"/>
    <d v="2023-12-13T00:00:00"/>
    <s v="Standard Class"/>
    <s v="TB-21175"/>
    <s v="Thomas Boland"/>
    <x v="2"/>
    <s v="United States"/>
    <s v="Houston"/>
    <s v="Texas"/>
    <n v="77041"/>
    <x v="0"/>
    <s v="OFF-ST-10000777"/>
    <x v="0"/>
    <x v="3"/>
    <s v="Companion Letter/Legal File, Black"/>
    <n v="60.415999999999997"/>
    <n v="2"/>
    <n v="0.2"/>
    <n v="6.0416000000000025"/>
    <x v="0"/>
    <x v="11"/>
    <n v="3.0208000000000013"/>
    <s v="Profit"/>
    <s v="Low"/>
  </r>
  <r>
    <n v="1829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ST-10001031"/>
    <x v="0"/>
    <x v="3"/>
    <s v="Adjustable Personal File Tote"/>
    <n v="39.072000000000003"/>
    <n v="3"/>
    <n v="0.2"/>
    <n v="2.9304000000000023"/>
    <x v="0"/>
    <x v="11"/>
    <n v="0.97680000000000078"/>
    <s v="Profit"/>
    <s v="Low"/>
  </r>
  <r>
    <n v="1830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SU-10000432"/>
    <x v="0"/>
    <x v="14"/>
    <s v="Acco Side-Punched Conventional Columnar Pads"/>
    <n v="13.88"/>
    <n v="5"/>
    <n v="0.2"/>
    <n v="-2.6025000000000014"/>
    <x v="0"/>
    <x v="11"/>
    <n v="-0.5205000000000003"/>
    <s v="Loss"/>
    <s v="Low"/>
  </r>
  <r>
    <n v="1831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TEC-AC-10004227"/>
    <x v="2"/>
    <x v="9"/>
    <s v="SanDisk Ultra 16 GB MicroSDHC Class 10 Memory Card"/>
    <n v="103.92000000000002"/>
    <n v="10"/>
    <n v="0.2"/>
    <n v="-18.186000000000014"/>
    <x v="0"/>
    <x v="11"/>
    <n v="-1.8186000000000013"/>
    <s v="Loss"/>
    <s v="Low"/>
  </r>
  <r>
    <n v="1832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TEC-PH-10003095"/>
    <x v="2"/>
    <x v="7"/>
    <s v="Samsung HM1900 Bluetooth Headset"/>
    <n v="52.679999999999993"/>
    <n v="3"/>
    <n v="0.2"/>
    <n v="19.754999999999999"/>
    <x v="0"/>
    <x v="11"/>
    <n v="6.585"/>
    <s v="Profit"/>
    <s v="Low"/>
  </r>
  <r>
    <n v="1833"/>
    <s v="US-2023-169649"/>
    <x v="286"/>
    <d v="2023-12-15T00:00:00"/>
    <s v="Standard Class"/>
    <s v="TS-21205"/>
    <s v="Thomas Seio"/>
    <x v="2"/>
    <s v="United States"/>
    <s v="Chicago"/>
    <s v="Illinois"/>
    <n v="60653"/>
    <x v="0"/>
    <s v="OFF-AP-10003287"/>
    <x v="0"/>
    <x v="12"/>
    <s v="Tripp Lite TLP810NET Broadband Surge for Modem/Fax"/>
    <n v="20.387999999999995"/>
    <n v="2"/>
    <n v="0.8"/>
    <n v="-53.008800000000008"/>
    <x v="0"/>
    <x v="11"/>
    <n v="-26.504400000000004"/>
    <s v="Loss"/>
    <s v="High"/>
  </r>
  <r>
    <n v="1834"/>
    <s v="US-2023-138128"/>
    <x v="286"/>
    <d v="2023-12-15T00:00:00"/>
    <s v="Standard Class"/>
    <s v="FP-14320"/>
    <s v="Frank Preis"/>
    <x v="0"/>
    <s v="United States"/>
    <s v="Philadelphia"/>
    <s v="Pennsylvania"/>
    <n v="19134"/>
    <x v="1"/>
    <s v="OFF-EN-10002500"/>
    <x v="0"/>
    <x v="11"/>
    <s v="Globe Weis Peel &amp; Seel First Class Envelopes"/>
    <n v="30.672000000000001"/>
    <n v="3"/>
    <n v="0.2"/>
    <n v="9.5850000000000009"/>
    <x v="0"/>
    <x v="11"/>
    <n v="3.1950000000000003"/>
    <s v="Profit"/>
    <s v="Low"/>
  </r>
  <r>
    <n v="1835"/>
    <s v="US-2023-169649"/>
    <x v="286"/>
    <d v="2023-12-15T00:00:00"/>
    <s v="Standard Class"/>
    <s v="TS-21205"/>
    <s v="Thomas Seio"/>
    <x v="2"/>
    <s v="United States"/>
    <s v="Chicago"/>
    <s v="Illinois"/>
    <n v="60653"/>
    <x v="0"/>
    <s v="OFF-PA-10000143"/>
    <x v="0"/>
    <x v="0"/>
    <s v="Astroparche Fine Business Paper"/>
    <n v="8.4480000000000004"/>
    <n v="2"/>
    <n v="0.2"/>
    <n v="2.9568000000000003"/>
    <x v="0"/>
    <x v="11"/>
    <n v="1.4784000000000002"/>
    <s v="Profit"/>
    <s v="Low"/>
  </r>
  <r>
    <n v="1836"/>
    <s v="US-2023-109932"/>
    <x v="286"/>
    <d v="2023-12-11T00:00:00"/>
    <s v="First Class"/>
    <s v="VP-21760"/>
    <s v="Victoria Pisteka"/>
    <x v="2"/>
    <s v="United States"/>
    <s v="Brownsville"/>
    <s v="Texas"/>
    <n v="78521"/>
    <x v="0"/>
    <s v="OFF-PA-10001804"/>
    <x v="0"/>
    <x v="0"/>
    <s v="Xerox 195"/>
    <n v="10.688000000000001"/>
    <n v="2"/>
    <n v="0.2"/>
    <n v="3.7407999999999997"/>
    <x v="0"/>
    <x v="11"/>
    <n v="1.8703999999999998"/>
    <s v="Profit"/>
    <s v="Low"/>
  </r>
  <r>
    <n v="1837"/>
    <s v="US-2023-104976"/>
    <x v="286"/>
    <d v="2023-12-16T00:00:00"/>
    <s v="Standard Class"/>
    <s v="CK-12760"/>
    <s v="Cyma Kinney"/>
    <x v="2"/>
    <s v="United States"/>
    <s v="San Francisco"/>
    <s v="California"/>
    <n v="94122"/>
    <x v="3"/>
    <s v="OFF-PA-10003845"/>
    <x v="0"/>
    <x v="0"/>
    <s v="Xerox 1987"/>
    <n v="34.68"/>
    <n v="6"/>
    <n v="0"/>
    <n v="16.993200000000002"/>
    <x v="0"/>
    <x v="11"/>
    <n v="2.8322000000000003"/>
    <s v="Profit"/>
    <s v="No Discount"/>
  </r>
  <r>
    <n v="1838"/>
    <s v="US-2023-109932"/>
    <x v="286"/>
    <d v="2023-12-11T00:00:00"/>
    <s v="First Class"/>
    <s v="VP-21760"/>
    <s v="Victoria Pisteka"/>
    <x v="2"/>
    <s v="United States"/>
    <s v="Brownsville"/>
    <s v="Texas"/>
    <n v="78521"/>
    <x v="0"/>
    <s v="OFF-ST-10000036"/>
    <x v="0"/>
    <x v="3"/>
    <s v="Recycled Data-Pak for Archival Bound Computer Printouts, 12-1/2 x 12-1/2 x 16"/>
    <n v="237.09600000000003"/>
    <n v="3"/>
    <n v="0.2"/>
    <n v="20.745899999999985"/>
    <x v="0"/>
    <x v="11"/>
    <n v="6.9152999999999949"/>
    <s v="Profit"/>
    <s v="Low"/>
  </r>
  <r>
    <n v="1839"/>
    <s v="US-2023-101175"/>
    <x v="286"/>
    <d v="2023-12-14T00:00:00"/>
    <s v="Standard Class"/>
    <s v="DM-12955"/>
    <s v="Dario Medina"/>
    <x v="2"/>
    <s v="United States"/>
    <s v="Mesa"/>
    <s v="Arizona"/>
    <n v="85204"/>
    <x v="3"/>
    <s v="OFF-ST-10004950"/>
    <x v="0"/>
    <x v="3"/>
    <s v="Acco Perma 3000 Stacking Storage Drawers"/>
    <n v="100.70400000000001"/>
    <n v="6"/>
    <n v="0.2"/>
    <n v="-1.2588000000000008"/>
    <x v="0"/>
    <x v="11"/>
    <n v="-0.20980000000000013"/>
    <s v="Loss"/>
    <s v="Low"/>
  </r>
  <r>
    <n v="1840"/>
    <s v="US-2023-138128"/>
    <x v="286"/>
    <d v="2023-12-15T00:00:00"/>
    <s v="Standard Class"/>
    <s v="FP-14320"/>
    <s v="Frank Preis"/>
    <x v="0"/>
    <s v="United States"/>
    <s v="Philadelphia"/>
    <s v="Pennsylvania"/>
    <n v="19134"/>
    <x v="1"/>
    <s v="TEC-CO-10001766"/>
    <x v="2"/>
    <x v="16"/>
    <s v="Canon PC940 Copier"/>
    <n v="1079.9759999999999"/>
    <n v="4"/>
    <n v="0.4"/>
    <n v="125.99719999999991"/>
    <x v="0"/>
    <x v="11"/>
    <n v="31.499299999999977"/>
    <s v="Profit"/>
    <s v="Medium"/>
  </r>
  <r>
    <n v="1841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  <x v="0"/>
    <x v="11"/>
    <n v="1.40979999999999"/>
    <s v="Profit"/>
    <s v="Low"/>
  </r>
  <r>
    <n v="1842"/>
    <s v="US-2023-148488"/>
    <x v="287"/>
    <d v="2023-12-15T00:00:00"/>
    <s v="Standard Class"/>
    <s v="SM-20005"/>
    <s v="Sally Matthias"/>
    <x v="0"/>
    <s v="United States"/>
    <s v="New York City"/>
    <s v="New York"/>
    <n v="10009"/>
    <x v="1"/>
    <s v="OFF-BI-10000315"/>
    <x v="0"/>
    <x v="1"/>
    <s v="Poly Designer Cover &amp; Back"/>
    <n v="106.34399999999999"/>
    <n v="7"/>
    <n v="0.2"/>
    <n v="37.220399999999998"/>
    <x v="0"/>
    <x v="11"/>
    <n v="5.3171999999999997"/>
    <s v="Profit"/>
    <s v="Low"/>
  </r>
  <r>
    <n v="1843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OFF-PA-10000019"/>
    <x v="0"/>
    <x v="0"/>
    <s v="Xerox 1931"/>
    <n v="25.92"/>
    <n v="4"/>
    <n v="0"/>
    <n v="12.441600000000001"/>
    <x v="0"/>
    <x v="11"/>
    <n v="3.1104000000000003"/>
    <s v="Profit"/>
    <s v="No Discount"/>
  </r>
  <r>
    <n v="1844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OFF-PA-10002222"/>
    <x v="0"/>
    <x v="0"/>
    <s v="Xerox Color Copier Paper, 11&quot; x 17&quot;, Ream"/>
    <n v="91.36"/>
    <n v="4"/>
    <n v="0"/>
    <n v="42.025599999999997"/>
    <x v="0"/>
    <x v="11"/>
    <n v="10.506399999999999"/>
    <s v="Profit"/>
    <s v="No Discount"/>
  </r>
  <r>
    <n v="1845"/>
    <s v="US-2023-148488"/>
    <x v="287"/>
    <d v="2023-12-15T00:00:00"/>
    <s v="Standard Class"/>
    <s v="SM-20005"/>
    <s v="Sally Matthias"/>
    <x v="0"/>
    <s v="United States"/>
    <s v="New York City"/>
    <s v="New York"/>
    <n v="10009"/>
    <x v="1"/>
    <s v="OFF-PA-10004470"/>
    <x v="0"/>
    <x v="0"/>
    <s v="Adams Write n' Stick Phone Message Book, 11&quot; X 5 1/4&quot;, 200 Messages"/>
    <n v="11.36"/>
    <n v="2"/>
    <n v="0"/>
    <n v="5.2255999999999991"/>
    <x v="0"/>
    <x v="11"/>
    <n v="2.6127999999999996"/>
    <s v="Profit"/>
    <s v="No Discount"/>
  </r>
  <r>
    <n v="1846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BO-10004467"/>
    <x v="1"/>
    <x v="10"/>
    <s v="Bestar Classic Bookcase"/>
    <n v="254.97449999999998"/>
    <n v="3"/>
    <n v="0.15"/>
    <n v="11.998799999999989"/>
    <x v="0"/>
    <x v="11"/>
    <n v="3.999599999999996"/>
    <s v="Profit"/>
    <s v="Low"/>
  </r>
  <r>
    <n v="1847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FUR-FU-10001706"/>
    <x v="1"/>
    <x v="8"/>
    <s v="Longer-Life Soft White Bulbs"/>
    <n v="9.24"/>
    <n v="3"/>
    <n v="0"/>
    <n v="4.4352"/>
    <x v="0"/>
    <x v="11"/>
    <n v="1.4783999999999999"/>
    <s v="Profit"/>
    <s v="No Discount"/>
  </r>
  <r>
    <n v="1848"/>
    <s v="US-2023-141607"/>
    <x v="288"/>
    <d v="2023-12-17T00:00:00"/>
    <s v="Standard Class"/>
    <s v="WB-21850"/>
    <s v="William Brown"/>
    <x v="0"/>
    <s v="United States"/>
    <s v="Concord"/>
    <s v="California"/>
    <n v="94521"/>
    <x v="3"/>
    <s v="FUR-FU-10003975"/>
    <x v="1"/>
    <x v="8"/>
    <s v="Eldon Advantage Chair Mats for Low to Medium Pile Carpets"/>
    <n v="43.31"/>
    <n v="1"/>
    <n v="0"/>
    <n v="4.330999999999996"/>
    <x v="0"/>
    <x v="11"/>
    <n v="4.330999999999996"/>
    <s v="Profit"/>
    <s v="No Discount"/>
  </r>
  <r>
    <n v="1849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FUR-FU-10004270"/>
    <x v="1"/>
    <x v="8"/>
    <s v="Eldon Image Series Desk Accessories, Burgundy"/>
    <n v="12.54"/>
    <n v="3"/>
    <n v="0"/>
    <n v="4.5144000000000002"/>
    <x v="0"/>
    <x v="11"/>
    <n v="1.5048000000000001"/>
    <s v="Profit"/>
    <s v="No Discount"/>
  </r>
  <r>
    <n v="1850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TA-10003473"/>
    <x v="1"/>
    <x v="13"/>
    <s v="Bretford Rectangular Conference Table Tops"/>
    <n v="3610.848"/>
    <n v="12"/>
    <n v="0.2"/>
    <n v="135.4068000000002"/>
    <x v="0"/>
    <x v="11"/>
    <n v="11.283900000000017"/>
    <s v="Profit"/>
    <s v="Low"/>
  </r>
  <r>
    <n v="1851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TA-10004619"/>
    <x v="1"/>
    <x v="13"/>
    <s v="Hon Non-Folding Utility Tables"/>
    <n v="764.6880000000001"/>
    <n v="6"/>
    <n v="0.2"/>
    <n v="95.585999999999899"/>
    <x v="0"/>
    <x v="11"/>
    <n v="15.930999999999983"/>
    <s v="Profit"/>
    <s v="Low"/>
  </r>
  <r>
    <n v="1852"/>
    <s v="US-2023-122959"/>
    <x v="288"/>
    <d v="2023-12-12T00:00:00"/>
    <s v="Same Day"/>
    <s v="CY-12745"/>
    <s v="Craig Yedwab"/>
    <x v="2"/>
    <s v="United States"/>
    <s v="San Antonio"/>
    <s v="Texas"/>
    <n v="78207"/>
    <x v="0"/>
    <s v="OFF-BI-10003650"/>
    <x v="0"/>
    <x v="1"/>
    <s v="GBC DocuBind 300 Electric Binding Machine"/>
    <n v="210.39199999999997"/>
    <n v="2"/>
    <n v="0.8"/>
    <n v="-336.62720000000013"/>
    <x v="0"/>
    <x v="11"/>
    <n v="-168.31360000000006"/>
    <s v="Loss"/>
    <s v="High"/>
  </r>
  <r>
    <n v="1853"/>
    <s v="US-2023-107573"/>
    <x v="288"/>
    <d v="2023-12-17T00:00:00"/>
    <s v="Standard Class"/>
    <s v="PB-19150"/>
    <s v="Philip Brown"/>
    <x v="0"/>
    <s v="United States"/>
    <s v="Miami"/>
    <s v="Florida"/>
    <n v="33178"/>
    <x v="2"/>
    <s v="OFF-EN-10001099"/>
    <x v="0"/>
    <x v="11"/>
    <s v="Staple envelope"/>
    <n v="23.472000000000001"/>
    <n v="3"/>
    <n v="0.2"/>
    <n v="7.6283999999999974"/>
    <x v="0"/>
    <x v="11"/>
    <n v="2.5427999999999993"/>
    <s v="Profit"/>
    <s v="Low"/>
  </r>
  <r>
    <n v="1854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OFF-ST-10000617"/>
    <x v="0"/>
    <x v="3"/>
    <s v="Woodgrain Magazine Files by Perma"/>
    <n v="8.94"/>
    <n v="3"/>
    <n v="0"/>
    <n v="0.62579999999999902"/>
    <x v="0"/>
    <x v="11"/>
    <n v="0.20859999999999967"/>
    <s v="Profit"/>
    <s v="No Discount"/>
  </r>
  <r>
    <n v="1855"/>
    <s v="US-2023-124079"/>
    <x v="289"/>
    <d v="2023-12-17T00:00:00"/>
    <s v="Standard Class"/>
    <s v="RF-19345"/>
    <s v="Randy Ferguson"/>
    <x v="2"/>
    <s v="United States"/>
    <s v="Phoenix"/>
    <s v="Arizona"/>
    <n v="85023"/>
    <x v="3"/>
    <s v="FUR-FU-10002553"/>
    <x v="1"/>
    <x v="8"/>
    <s v="Electrix Incandescent Magnifying Lamp, Black"/>
    <n v="87.960000000000008"/>
    <n v="3"/>
    <n v="0.2"/>
    <n v="7.6965000000000039"/>
    <x v="0"/>
    <x v="11"/>
    <n v="2.5655000000000014"/>
    <s v="Profit"/>
    <s v="Low"/>
  </r>
  <r>
    <n v="1856"/>
    <s v="US-2023-102631"/>
    <x v="289"/>
    <d v="2023-12-17T00:00:00"/>
    <s v="Standard Class"/>
    <s v="EB-13840"/>
    <s v="Ellis Ballard"/>
    <x v="2"/>
    <s v="United States"/>
    <s v="Chicago"/>
    <s v="Illinois"/>
    <n v="60623"/>
    <x v="0"/>
    <s v="FUR-FU-10003930"/>
    <x v="1"/>
    <x v="8"/>
    <s v="Howard Miller 12-3/4 Diameter Accuwave DS  Wall Clock"/>
    <n v="94.427999999999997"/>
    <n v="3"/>
    <n v="0.6"/>
    <n v="-42.492599999999982"/>
    <x v="0"/>
    <x v="11"/>
    <n v="-14.164199999999994"/>
    <s v="Loss"/>
    <s v="High"/>
  </r>
  <r>
    <n v="1857"/>
    <s v="US-2023-124079"/>
    <x v="289"/>
    <d v="2023-12-17T00:00:00"/>
    <s v="Standard Class"/>
    <s v="RF-19345"/>
    <s v="Randy Ferguson"/>
    <x v="2"/>
    <s v="United States"/>
    <s v="Phoenix"/>
    <s v="Arizona"/>
    <n v="85023"/>
    <x v="3"/>
    <s v="OFF-BI-10002103"/>
    <x v="0"/>
    <x v="1"/>
    <s v="Cardinal Slant-D Ring Binder, Heavy Gauge Vinyl"/>
    <n v="5.2140000000000004"/>
    <n v="2"/>
    <n v="0.7"/>
    <n v="-4.1711999999999989"/>
    <x v="0"/>
    <x v="11"/>
    <n v="-2.0855999999999995"/>
    <s v="Loss"/>
    <s v="High"/>
  </r>
  <r>
    <n v="1858"/>
    <s v="US-2023-129819"/>
    <x v="289"/>
    <d v="2023-12-15T00:00:00"/>
    <s v="Second Class"/>
    <s v="KC-16675"/>
    <s v="Kimberly Carter"/>
    <x v="2"/>
    <s v="United States"/>
    <s v="Henderson"/>
    <s v="Kentucky"/>
    <n v="42420"/>
    <x v="2"/>
    <s v="OFF-BI-10004970"/>
    <x v="0"/>
    <x v="1"/>
    <s v="ACCOHIDE 3-Ring Binder, Blue, 1&quot;"/>
    <n v="12.39"/>
    <n v="3"/>
    <n v="0"/>
    <n v="5.8232999999999997"/>
    <x v="0"/>
    <x v="11"/>
    <n v="1.9410999999999998"/>
    <s v="Profit"/>
    <s v="No Discount"/>
  </r>
  <r>
    <n v="1859"/>
    <s v="US-2023-113579"/>
    <x v="289"/>
    <d v="2023-12-15T00:00:00"/>
    <s v="Second Class"/>
    <s v="KD-16345"/>
    <s v="Katherine Ducich"/>
    <x v="0"/>
    <s v="United States"/>
    <s v="Los Angeles"/>
    <s v="California"/>
    <n v="90049"/>
    <x v="3"/>
    <s v="OFF-PA-10001457"/>
    <x v="0"/>
    <x v="0"/>
    <s v="White GlueTop Scratch Pads"/>
    <n v="90.24"/>
    <n v="6"/>
    <n v="0"/>
    <n v="41.51039999999999"/>
    <x v="0"/>
    <x v="11"/>
    <n v="6.9183999999999983"/>
    <s v="Profit"/>
    <s v="No Discount"/>
  </r>
  <r>
    <n v="1860"/>
    <s v="US-2023-154186"/>
    <x v="289"/>
    <d v="2023-12-15T00:00:00"/>
    <s v="Second Class"/>
    <s v="RA-19285"/>
    <s v="Ralph Arnett"/>
    <x v="0"/>
    <s v="United States"/>
    <s v="Houston"/>
    <s v="Texas"/>
    <n v="77070"/>
    <x v="0"/>
    <s v="OFF-SU-10001574"/>
    <x v="0"/>
    <x v="14"/>
    <s v="Acme Value Line Scissors"/>
    <n v="2.92"/>
    <n v="1"/>
    <n v="0.2"/>
    <n v="0.36499999999999977"/>
    <x v="0"/>
    <x v="11"/>
    <n v="0.36499999999999977"/>
    <s v="Profit"/>
    <s v="Low"/>
  </r>
  <r>
    <n v="1861"/>
    <s v="US-2023-116568"/>
    <x v="290"/>
    <d v="2023-12-20T00:00:00"/>
    <s v="Standard Class"/>
    <s v="BM-11785"/>
    <s v="Bryan Mills"/>
    <x v="0"/>
    <s v="United States"/>
    <s v="Deltona"/>
    <s v="Florida"/>
    <n v="32725"/>
    <x v="2"/>
    <s v="FUR-CH-10002439"/>
    <x v="1"/>
    <x v="5"/>
    <s v="Iceberg Nesting Folding Chair, 19w x 6d x 43h"/>
    <n v="186.304"/>
    <n v="4"/>
    <n v="0.2"/>
    <n v="13.972799999999999"/>
    <x v="0"/>
    <x v="11"/>
    <n v="3.4931999999999999"/>
    <s v="Profit"/>
    <s v="Low"/>
  </r>
  <r>
    <n v="1862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FUR-TA-10002645"/>
    <x v="1"/>
    <x v="13"/>
    <s v="Hon Rectangular Conference Tables"/>
    <n v="136.53"/>
    <n v="1"/>
    <n v="0.4"/>
    <n v="-52.336500000000029"/>
    <x v="0"/>
    <x v="11"/>
    <n v="-52.336500000000029"/>
    <s v="Loss"/>
    <s v="Medium"/>
  </r>
  <r>
    <n v="1863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OFF-AR-10003829"/>
    <x v="0"/>
    <x v="4"/>
    <s v="Newell 35"/>
    <n v="2.6240000000000001"/>
    <n v="1"/>
    <n v="0.2"/>
    <n v="0.29519999999999957"/>
    <x v="0"/>
    <x v="11"/>
    <n v="0.29519999999999957"/>
    <s v="Profit"/>
    <s v="Low"/>
  </r>
  <r>
    <n v="1864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OFF-BI-10001249"/>
    <x v="0"/>
    <x v="1"/>
    <s v="Avery Heavy-Duty EZD View Binder with Locking Rings"/>
    <n v="5.1039999999999992"/>
    <n v="4"/>
    <n v="0.8"/>
    <n v="-8.6768000000000018"/>
    <x v="0"/>
    <x v="11"/>
    <n v="-2.1692000000000005"/>
    <s v="Loss"/>
    <s v="High"/>
  </r>
  <r>
    <n v="1865"/>
    <s v="US-2023-130575"/>
    <x v="290"/>
    <d v="2023-12-16T00:00:00"/>
    <s v="First Class"/>
    <s v="CS-11845"/>
    <s v="Cari Sayre"/>
    <x v="2"/>
    <s v="United States"/>
    <s v="Chicago"/>
    <s v="Illinois"/>
    <n v="60623"/>
    <x v="0"/>
    <s v="OFF-BI-10002353"/>
    <x v="0"/>
    <x v="1"/>
    <s v="GBC VeloBind Cover Sets"/>
    <n v="9.2639999999999976"/>
    <n v="3"/>
    <n v="0.8"/>
    <n v="-13.895999999999997"/>
    <x v="0"/>
    <x v="11"/>
    <n v="-4.6319999999999988"/>
    <s v="Loss"/>
    <s v="High"/>
  </r>
  <r>
    <n v="1866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OFF-FA-10003059"/>
    <x v="0"/>
    <x v="6"/>
    <s v="Assorted Color Push Pins"/>
    <n v="2.8960000000000004"/>
    <n v="2"/>
    <n v="0.2"/>
    <n v="0.4705999999999998"/>
    <x v="0"/>
    <x v="11"/>
    <n v="0.2352999999999999"/>
    <s v="Profit"/>
    <s v="Low"/>
  </r>
  <r>
    <n v="1867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TEC-AC-10002718"/>
    <x v="2"/>
    <x v="9"/>
    <s v="Belkin Standard 104 key USB Keyboard"/>
    <n v="35.016000000000005"/>
    <n v="3"/>
    <n v="0.2"/>
    <n v="-2.188500000000003"/>
    <x v="0"/>
    <x v="11"/>
    <n v="-0.72950000000000104"/>
    <s v="Loss"/>
    <s v="Low"/>
  </r>
  <r>
    <n v="1868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TEC-AC-10003033"/>
    <x v="2"/>
    <x v="9"/>
    <s v="Plantronics CS510 - Over-the-Head monaural Wireless Headset System"/>
    <n v="263.95999999999998"/>
    <n v="1"/>
    <n v="0.2"/>
    <n v="42.893499999999975"/>
    <x v="0"/>
    <x v="11"/>
    <n v="42.893499999999975"/>
    <s v="Profit"/>
    <s v="Low"/>
  </r>
  <r>
    <n v="1869"/>
    <s v="US-2023-145541"/>
    <x v="290"/>
    <d v="2023-12-21T00:00:00"/>
    <s v="Standard Class"/>
    <s v="TB-21400"/>
    <s v="Tom Boeckenhauer"/>
    <x v="0"/>
    <s v="United States"/>
    <s v="New York City"/>
    <s v="New York"/>
    <n v="10024"/>
    <x v="1"/>
    <s v="TEC-MA-10001127"/>
    <x v="2"/>
    <x v="15"/>
    <s v="HP Designjet T520 Inkjet Large Format Printer - 24&quot; Color"/>
    <n v="6999.96"/>
    <n v="4"/>
    <n v="0"/>
    <n v="2239.9871999999996"/>
    <x v="0"/>
    <x v="11"/>
    <n v="559.99679999999989"/>
    <s v="Profit"/>
    <s v="No Discount"/>
  </r>
  <r>
    <n v="1870"/>
    <s v="CA-2023-151799"/>
    <x v="290"/>
    <d v="2023-12-18T00:00:00"/>
    <s v="Standard Class"/>
    <s v="BF-11170"/>
    <s v="Ben Ferrer"/>
    <x v="1"/>
    <s v="Canada"/>
    <s v="Toronto"/>
    <s v="Ontario"/>
    <s v="M3C"/>
    <x v="1"/>
    <s v="FUR-TA-10003473"/>
    <x v="1"/>
    <x v="13"/>
    <s v="Bretford Rectangular Conference Table Tops"/>
    <n v="526.58000000000004"/>
    <n v="2"/>
    <n v="0.3"/>
    <n v="-52.66"/>
    <x v="0"/>
    <x v="11"/>
    <n v="-26.33"/>
    <s v="Loss"/>
    <s v="Medium"/>
  </r>
  <r>
    <n v="1871"/>
    <s v="CA-2023-151799"/>
    <x v="290"/>
    <d v="2023-12-18T00:00:00"/>
    <s v="Standard Class"/>
    <s v="BF-11170"/>
    <s v="Ben Ferrer"/>
    <x v="1"/>
    <s v="Canada"/>
    <s v="Toronto"/>
    <s v="Ontario"/>
    <s v="M3C"/>
    <x v="1"/>
    <s v="OFF-FA-10001332"/>
    <x v="0"/>
    <x v="6"/>
    <s v="Acco Banker's Clasps, 5 3/4&quot;-Long"/>
    <n v="17.28"/>
    <n v="6"/>
    <n v="0"/>
    <n v="8.1199999999999992"/>
    <x v="0"/>
    <x v="11"/>
    <n v="1.3533333333333333"/>
    <s v="Profit"/>
    <s v="No Discount"/>
  </r>
  <r>
    <n v="1872"/>
    <s v="CA-2023-151799"/>
    <x v="290"/>
    <d v="2023-12-18T00:00:00"/>
    <s v="Standard Class"/>
    <s v="BF-11170"/>
    <s v="Ben Ferrer"/>
    <x v="1"/>
    <s v="Canada"/>
    <s v="Toronto"/>
    <s v="Ontario"/>
    <s v="M3C"/>
    <x v="1"/>
    <s v="OFF-ST-10002790"/>
    <x v="0"/>
    <x v="3"/>
    <s v="Safco Industrial Shelving"/>
    <n v="73.849999999999994"/>
    <n v="1"/>
    <n v="0"/>
    <n v="2.2200000000000002"/>
    <x v="0"/>
    <x v="11"/>
    <n v="2.2200000000000002"/>
    <s v="Profit"/>
    <s v="No Discount"/>
  </r>
  <r>
    <n v="1873"/>
    <s v="CA-2023-151799"/>
    <x v="290"/>
    <d v="2023-12-18T00:00:00"/>
    <s v="Standard Class"/>
    <s v="BF-11170"/>
    <s v="Ben Ferrer"/>
    <x v="1"/>
    <s v="Canada"/>
    <s v="Toronto"/>
    <s v="Ontario"/>
    <s v="M3C"/>
    <x v="1"/>
    <s v="OFF-SU-10001664"/>
    <x v="0"/>
    <x v="14"/>
    <s v="Acme Office Executive Series Stainless Steel Trimmers"/>
    <n v="25.71"/>
    <n v="3"/>
    <n v="0"/>
    <n v="6.68"/>
    <x v="0"/>
    <x v="11"/>
    <n v="2.2266666666666666"/>
    <s v="Profit"/>
    <s v="No Discount"/>
  </r>
  <r>
    <n v="1874"/>
    <s v="CA-2023-151799"/>
    <x v="290"/>
    <d v="2023-12-18T00:00:00"/>
    <s v="Standard Class"/>
    <s v="BF-11170"/>
    <s v="Ben Ferrer"/>
    <x v="1"/>
    <s v="Canada"/>
    <s v="Toronto"/>
    <s v="Ontario"/>
    <s v="M3C"/>
    <x v="1"/>
    <s v="TEC-CO-10002313"/>
    <x v="2"/>
    <x v="16"/>
    <s v="Canon PC1080F Personal Copier"/>
    <n v="1199.98"/>
    <n v="2"/>
    <n v="0"/>
    <n v="467.99"/>
    <x v="0"/>
    <x v="11"/>
    <n v="233.995"/>
    <s v="Profit"/>
    <s v="No Discount"/>
  </r>
  <r>
    <n v="1875"/>
    <s v="US-2023-129938"/>
    <x v="291"/>
    <d v="2023-12-17T00:00:00"/>
    <s v="Second Class"/>
    <s v="EB-13705"/>
    <s v="Ed Braxton"/>
    <x v="2"/>
    <s v="United States"/>
    <s v="Philadelphia"/>
    <s v="Pennsylvania"/>
    <n v="19140"/>
    <x v="1"/>
    <s v="FUR-CH-10003774"/>
    <x v="1"/>
    <x v="5"/>
    <s v="Global Wood Trimmed Manager's Task Chair, Khaki"/>
    <n v="445.80200000000002"/>
    <n v="7"/>
    <n v="0.3"/>
    <n v="-108.26620000000001"/>
    <x v="0"/>
    <x v="11"/>
    <n v="-15.466600000000001"/>
    <s v="Loss"/>
    <s v="Medium"/>
  </r>
  <r>
    <n v="1876"/>
    <s v="US-2023-101602"/>
    <x v="291"/>
    <d v="2023-12-18T00:00:00"/>
    <s v="First Class"/>
    <s v="MC-18100"/>
    <s v="Mick Crebagga"/>
    <x v="0"/>
    <s v="United States"/>
    <s v="El Paso"/>
    <s v="Texas"/>
    <n v="79907"/>
    <x v="0"/>
    <s v="FUR-CH-10004675"/>
    <x v="1"/>
    <x v="5"/>
    <s v="Lifetime Advantage Folding Chairs, 4/Carton"/>
    <n v="763.28"/>
    <n v="5"/>
    <n v="0.3"/>
    <n v="-21.807999999999993"/>
    <x v="0"/>
    <x v="11"/>
    <n v="-4.3615999999999984"/>
    <s v="Loss"/>
    <s v="Medium"/>
  </r>
  <r>
    <n v="1877"/>
    <s v="US-2023-119466"/>
    <x v="291"/>
    <d v="2023-12-21T00:00:00"/>
    <s v="Standard Class"/>
    <s v="SP-20860"/>
    <s v="Sung Pak"/>
    <x v="2"/>
    <s v="United States"/>
    <s v="Chicago"/>
    <s v="Illinois"/>
    <n v="60623"/>
    <x v="0"/>
    <s v="FUR-FU-10001546"/>
    <x v="1"/>
    <x v="8"/>
    <s v="Dana Swing-Arm Lamps"/>
    <n v="8.5440000000000005"/>
    <n v="2"/>
    <n v="0.6"/>
    <n v="-7.4759999999999991"/>
    <x v="0"/>
    <x v="11"/>
    <n v="-3.7379999999999995"/>
    <s v="Loss"/>
    <s v="High"/>
  </r>
  <r>
    <n v="1878"/>
    <s v="US-2023-116673"/>
    <x v="291"/>
    <d v="2023-12-19T00:00:00"/>
    <s v="Second Class"/>
    <s v="JO-15280"/>
    <s v="Jas O'Carroll"/>
    <x v="0"/>
    <s v="United States"/>
    <s v="San Diego"/>
    <s v="California"/>
    <n v="92037"/>
    <x v="3"/>
    <s v="FUR-FU-10003829"/>
    <x v="1"/>
    <x v="8"/>
    <s v="Stackable Trays"/>
    <n v="6.16"/>
    <n v="2"/>
    <n v="0"/>
    <n v="1.9711999999999996"/>
    <x v="0"/>
    <x v="11"/>
    <n v="0.98559999999999981"/>
    <s v="Profit"/>
    <s v="No Discount"/>
  </r>
  <r>
    <n v="1879"/>
    <s v="US-2023-101602"/>
    <x v="291"/>
    <d v="2023-12-18T00:00:00"/>
    <s v="First Class"/>
    <s v="MC-18100"/>
    <s v="Mick Crebagga"/>
    <x v="0"/>
    <s v="United States"/>
    <s v="El Paso"/>
    <s v="Texas"/>
    <n v="79907"/>
    <x v="0"/>
    <s v="TEC-PH-10000169"/>
    <x v="2"/>
    <x v="7"/>
    <s v="ARKON Windshield Dashboard Air Vent Car Mount Holder"/>
    <n v="40.68"/>
    <n v="3"/>
    <n v="0.2"/>
    <n v="-9.153000000000004"/>
    <x v="0"/>
    <x v="11"/>
    <n v="-3.0510000000000015"/>
    <s v="Loss"/>
    <s v="Low"/>
  </r>
  <r>
    <n v="1880"/>
    <s v="US-2023-153913"/>
    <x v="292"/>
    <d v="2023-12-20T00:00:00"/>
    <s v="Second Class"/>
    <s v="KB-16585"/>
    <s v="Ken Black"/>
    <x v="2"/>
    <s v="United States"/>
    <s v="Hialeah"/>
    <s v="Florida"/>
    <n v="33012"/>
    <x v="2"/>
    <s v="FUR-CH-10000988"/>
    <x v="1"/>
    <x v="5"/>
    <s v="Hon Olson Stacker Stools"/>
    <n v="1013.8320000000001"/>
    <n v="9"/>
    <n v="0.2"/>
    <n v="101.38319999999999"/>
    <x v="0"/>
    <x v="11"/>
    <n v="11.264799999999999"/>
    <s v="Profit"/>
    <s v="Low"/>
  </r>
  <r>
    <n v="1881"/>
    <s v="US-2023-124247"/>
    <x v="292"/>
    <d v="2023-12-21T00:00:00"/>
    <s v="Standard Class"/>
    <s v="SH-20635"/>
    <s v="Stefanie Holloman"/>
    <x v="2"/>
    <s v="United States"/>
    <s v="Sacramento"/>
    <s v="California"/>
    <n v="95823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  <x v="0"/>
    <x v="11"/>
    <n v="14.039200000000005"/>
    <s v="Profit"/>
    <s v="Low"/>
  </r>
  <r>
    <n v="1882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FUR-CH-10002602"/>
    <x v="1"/>
    <x v="5"/>
    <s v="DMI Arturo Collection Mission-style Design Wood Chair"/>
    <n v="241.56799999999998"/>
    <n v="2"/>
    <n v="0.2"/>
    <n v="18.11760000000001"/>
    <x v="0"/>
    <x v="11"/>
    <n v="9.0588000000000051"/>
    <s v="Profit"/>
    <s v="Low"/>
  </r>
  <r>
    <n v="1883"/>
    <s v="US-2023-113257"/>
    <x v="292"/>
    <d v="2023-12-18T00:00:00"/>
    <s v="Second Class"/>
    <s v="SC-20305"/>
    <s v="Sean Christensen"/>
    <x v="0"/>
    <s v="United States"/>
    <s v="Beaumont"/>
    <s v="Texas"/>
    <n v="77705"/>
    <x v="0"/>
    <s v="FUR-FU-10001706"/>
    <x v="1"/>
    <x v="8"/>
    <s v="Longer-Life Soft White Bulbs"/>
    <n v="8.6240000000000023"/>
    <n v="7"/>
    <n v="0.6"/>
    <n v="-2.5872000000000011"/>
    <x v="0"/>
    <x v="11"/>
    <n v="-0.36960000000000015"/>
    <s v="Loss"/>
    <s v="High"/>
  </r>
  <r>
    <n v="1884"/>
    <s v="US-2023-108273"/>
    <x v="292"/>
    <d v="2023-12-21T00:00:00"/>
    <s v="Standard Class"/>
    <s v="EJ-13720"/>
    <s v="Ed Jacobs"/>
    <x v="0"/>
    <s v="United States"/>
    <s v="Huntsville"/>
    <s v="Texas"/>
    <n v="77340"/>
    <x v="0"/>
    <s v="FUR-FU-10002116"/>
    <x v="1"/>
    <x v="8"/>
    <s v="Tenex Carpeted, Granite-Look or Clear Contemporary Contour Shape Chair Mats"/>
    <n v="56.567999999999998"/>
    <n v="2"/>
    <n v="0.6"/>
    <n v="-74.952600000000004"/>
    <x v="0"/>
    <x v="11"/>
    <n v="-37.476300000000002"/>
    <s v="Loss"/>
    <s v="High"/>
  </r>
  <r>
    <n v="1885"/>
    <s v="US-2023-100706"/>
    <x v="292"/>
    <d v="2023-12-18T00:00:00"/>
    <s v="Second Class"/>
    <s v="LE-16810"/>
    <s v="Laurel Elliston"/>
    <x v="0"/>
    <s v="United States"/>
    <s v="Springfield"/>
    <s v="Virginia"/>
    <n v="22153"/>
    <x v="2"/>
    <s v="FUR-FU-10002268"/>
    <x v="1"/>
    <x v="8"/>
    <s v="Ultra Door Push Plate"/>
    <n v="29.46"/>
    <n v="6"/>
    <n v="0"/>
    <n v="9.7217999999999982"/>
    <x v="0"/>
    <x v="11"/>
    <n v="1.6202999999999996"/>
    <s v="Profit"/>
    <s v="No Discount"/>
  </r>
  <r>
    <n v="1886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FUR-FU-10004090"/>
    <x v="1"/>
    <x v="8"/>
    <s v="Executive Impressions 14&quot; Contract Wall Clock"/>
    <n v="44.46"/>
    <n v="2"/>
    <n v="0"/>
    <n v="14.671799999999998"/>
    <x v="0"/>
    <x v="11"/>
    <n v="7.3358999999999988"/>
    <s v="Profit"/>
    <s v="No Discount"/>
  </r>
  <r>
    <n v="1887"/>
    <s v="US-2023-112718"/>
    <x v="292"/>
    <d v="2023-12-21T00:00:00"/>
    <s v="Standard Class"/>
    <s v="KN-16450"/>
    <s v="Kean Nguyen"/>
    <x v="2"/>
    <s v="United States"/>
    <s v="Jacksonville"/>
    <s v="Florida"/>
    <n v="32216"/>
    <x v="2"/>
    <s v="OFF-BI-10000591"/>
    <x v="0"/>
    <x v="1"/>
    <s v="Avery Binder Labels"/>
    <n v="1.1670000000000003"/>
    <n v="1"/>
    <n v="0.7"/>
    <n v="-0.85579999999999989"/>
    <x v="0"/>
    <x v="11"/>
    <n v="-0.85579999999999989"/>
    <s v="Loss"/>
    <s v="High"/>
  </r>
  <r>
    <n v="1888"/>
    <s v="US-2023-153913"/>
    <x v="292"/>
    <d v="2023-12-20T00:00:00"/>
    <s v="Second Class"/>
    <s v="KB-16585"/>
    <s v="Ken Black"/>
    <x v="2"/>
    <s v="United States"/>
    <s v="Hialeah"/>
    <s v="Florida"/>
    <n v="33012"/>
    <x v="2"/>
    <s v="OFF-FA-10000490"/>
    <x v="0"/>
    <x v="6"/>
    <s v="OIC Binder Clips, Mini, 1/4&quot; Capacity, Black"/>
    <n v="1.984"/>
    <n v="2"/>
    <n v="0.2"/>
    <n v="0.66959999999999997"/>
    <x v="0"/>
    <x v="11"/>
    <n v="0.33479999999999999"/>
    <s v="Profit"/>
    <s v="Low"/>
  </r>
  <r>
    <n v="1889"/>
    <s v="US-2023-108273"/>
    <x v="292"/>
    <d v="2023-12-21T00:00:00"/>
    <s v="Standard Class"/>
    <s v="EJ-13720"/>
    <s v="Ed Jacobs"/>
    <x v="0"/>
    <s v="United States"/>
    <s v="Huntsville"/>
    <s v="Texas"/>
    <n v="77340"/>
    <x v="0"/>
    <s v="OFF-PA-10000029"/>
    <x v="0"/>
    <x v="0"/>
    <s v="Xerox 224"/>
    <n v="36.288000000000011"/>
    <n v="7"/>
    <n v="0.2"/>
    <n v="12.700800000000001"/>
    <x v="0"/>
    <x v="11"/>
    <n v="1.8144000000000002"/>
    <s v="Profit"/>
    <s v="Low"/>
  </r>
  <r>
    <n v="1890"/>
    <s v="US-2023-151379"/>
    <x v="292"/>
    <d v="2023-12-20T00:00:00"/>
    <s v="Standard Class"/>
    <s v="SC-20695"/>
    <s v="Steve Chapman"/>
    <x v="2"/>
    <s v="United States"/>
    <s v="Detroit"/>
    <s v="Michigan"/>
    <n v="48227"/>
    <x v="0"/>
    <s v="OFF-PA-10000595"/>
    <x v="0"/>
    <x v="0"/>
    <s v="Xerox 1929"/>
    <n v="114.2"/>
    <n v="5"/>
    <n v="0"/>
    <n v="52.531999999999996"/>
    <x v="0"/>
    <x v="11"/>
    <n v="10.506399999999999"/>
    <s v="Profit"/>
    <s v="No Discount"/>
  </r>
  <r>
    <n v="1891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TEC-AC-10001142"/>
    <x v="2"/>
    <x v="9"/>
    <s v="First Data FD10 PIN Pad"/>
    <n v="395"/>
    <n v="5"/>
    <n v="0"/>
    <n v="39.499999999999957"/>
    <x v="0"/>
    <x v="11"/>
    <n v="7.8999999999999915"/>
    <s v="Profit"/>
    <s v="No Discount"/>
  </r>
  <r>
    <n v="1892"/>
    <s v="US-2023-100706"/>
    <x v="292"/>
    <d v="2023-12-18T00:00:00"/>
    <s v="Second Class"/>
    <s v="LE-16810"/>
    <s v="Laurel Elliston"/>
    <x v="0"/>
    <s v="United States"/>
    <s v="Springfield"/>
    <s v="Virginia"/>
    <n v="22153"/>
    <x v="2"/>
    <s v="TEC-AC-10001314"/>
    <x v="2"/>
    <x v="9"/>
    <s v="Case Logic 2.4GHz Wireless Keyboard"/>
    <n v="99.98"/>
    <n v="2"/>
    <n v="0"/>
    <n v="7.9983999999999895"/>
    <x v="0"/>
    <x v="11"/>
    <n v="3.9991999999999948"/>
    <s v="Profit"/>
    <s v="No Discount"/>
  </r>
  <r>
    <n v="1893"/>
    <s v="US-2023-113257"/>
    <x v="292"/>
    <d v="2023-12-18T00:00:00"/>
    <s v="Second Class"/>
    <s v="SC-20305"/>
    <s v="Sean Christensen"/>
    <x v="0"/>
    <s v="United States"/>
    <s v="Beaumont"/>
    <s v="Texas"/>
    <n v="77705"/>
    <x v="0"/>
    <s v="TEC-AC-10004171"/>
    <x v="2"/>
    <x v="9"/>
    <s v="Razer Kraken 7.1 Surround Sound Over Ear USB Gaming Headset"/>
    <n v="319.96800000000002"/>
    <n v="4"/>
    <n v="0.2"/>
    <n v="95.990400000000008"/>
    <x v="0"/>
    <x v="11"/>
    <n v="23.997600000000002"/>
    <s v="Profit"/>
    <s v="Low"/>
  </r>
  <r>
    <n v="1894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TEC-PH-10004977"/>
    <x v="2"/>
    <x v="7"/>
    <s v="GE 30524EE4"/>
    <n v="627.16800000000012"/>
    <n v="4"/>
    <n v="0.2"/>
    <n v="70.55639999999994"/>
    <x v="0"/>
    <x v="11"/>
    <n v="17.639099999999985"/>
    <s v="Profit"/>
    <s v="Low"/>
  </r>
  <r>
    <n v="1895"/>
    <s v="US-2023-123925"/>
    <x v="293"/>
    <d v="2023-12-19T00:00:00"/>
    <s v="Second Class"/>
    <s v="RF-19840"/>
    <s v="Roy Französisch"/>
    <x v="0"/>
    <s v="United States"/>
    <s v="Columbus"/>
    <s v="Georgia"/>
    <n v="31907"/>
    <x v="2"/>
    <s v="OFF-AR-10002952"/>
    <x v="0"/>
    <x v="4"/>
    <s v="Stanley Contemporary Battery Pencil Sharpeners"/>
    <n v="40.049999999999997"/>
    <n v="3"/>
    <n v="0"/>
    <n v="11.213999999999999"/>
    <x v="0"/>
    <x v="11"/>
    <n v="3.7379999999999995"/>
    <s v="Profit"/>
    <s v="No Discount"/>
  </r>
  <r>
    <n v="1896"/>
    <s v="US-2023-139633"/>
    <x v="293"/>
    <d v="2023-12-24T00:00:00"/>
    <s v="Standard Class"/>
    <s v="EC-14050"/>
    <s v="Erin Creighton"/>
    <x v="0"/>
    <s v="United States"/>
    <s v="Columbus"/>
    <s v="Ohio"/>
    <n v="43229"/>
    <x v="1"/>
    <s v="OFF-BI-10002954"/>
    <x v="0"/>
    <x v="1"/>
    <s v="Newell 3-Hole Punched Plastic Slotted Magazine Holders for Binders"/>
    <n v="5.4840000000000009"/>
    <n v="4"/>
    <n v="0.7"/>
    <n v="-4.0215999999999994"/>
    <x v="0"/>
    <x v="11"/>
    <n v="-1.0053999999999998"/>
    <s v="Loss"/>
    <s v="High"/>
  </r>
  <r>
    <n v="1897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FUR-CH-10000513"/>
    <x v="1"/>
    <x v="5"/>
    <s v="High-Back Leather Manager's Chair"/>
    <n v="1819.8600000000001"/>
    <n v="14"/>
    <n v="0"/>
    <n v="163.78740000000002"/>
    <x v="0"/>
    <x v="11"/>
    <n v="11.699100000000001"/>
    <s v="Profit"/>
    <s v="No Discount"/>
  </r>
  <r>
    <n v="1898"/>
    <s v="US-2023-150574"/>
    <x v="294"/>
    <d v="2023-12-25T00:00:00"/>
    <s v="Standard Class"/>
    <s v="MK-18160"/>
    <s v="Mike Kennedy"/>
    <x v="0"/>
    <s v="United States"/>
    <s v="Jacksonville"/>
    <s v="Florida"/>
    <n v="32216"/>
    <x v="2"/>
    <s v="OFF-BI-10000773"/>
    <x v="0"/>
    <x v="1"/>
    <s v="Insertable Tab Post Binder Dividers"/>
    <n v="4.8120000000000003"/>
    <n v="2"/>
    <n v="0.7"/>
    <n v="-3.6891999999999996"/>
    <x v="0"/>
    <x v="11"/>
    <n v="-1.8445999999999998"/>
    <s v="Loss"/>
    <s v="High"/>
  </r>
  <r>
    <n v="1899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OFF-BI-10001191"/>
    <x v="0"/>
    <x v="1"/>
    <s v="Canvas Sectional Post Binders"/>
    <n v="152.76"/>
    <n v="6"/>
    <n v="0"/>
    <n v="74.852400000000003"/>
    <x v="0"/>
    <x v="11"/>
    <n v="12.4754"/>
    <s v="Profit"/>
    <s v="No Discount"/>
  </r>
  <r>
    <n v="1900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OFF-FA-10004248"/>
    <x v="0"/>
    <x v="6"/>
    <s v="Advantus T-Pin Paper Clips"/>
    <n v="22.549999999999997"/>
    <n v="5"/>
    <n v="0"/>
    <n v="8.7945000000000011"/>
    <x v="0"/>
    <x v="11"/>
    <n v="1.7589000000000001"/>
    <s v="Profit"/>
    <s v="No Discount"/>
  </r>
  <r>
    <n v="1901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OFF-LA-10001934"/>
    <x v="0"/>
    <x v="2"/>
    <s v="Avery 516"/>
    <n v="14.62"/>
    <n v="2"/>
    <n v="0"/>
    <n v="6.8713999999999995"/>
    <x v="0"/>
    <x v="11"/>
    <n v="3.4356999999999998"/>
    <s v="Profit"/>
    <s v="No Discount"/>
  </r>
  <r>
    <n v="1902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OFF-PA-10000295"/>
    <x v="0"/>
    <x v="0"/>
    <s v="Xerox 229"/>
    <n v="15.552000000000003"/>
    <n v="3"/>
    <n v="0.2"/>
    <n v="5.4432"/>
    <x v="0"/>
    <x v="11"/>
    <n v="1.8144"/>
    <s v="Profit"/>
    <s v="Low"/>
  </r>
  <r>
    <n v="1903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OFF-ST-10000419"/>
    <x v="0"/>
    <x v="3"/>
    <s v="Rogers Jumbo File, Granite"/>
    <n v="32.591999999999999"/>
    <n v="3"/>
    <n v="0.2"/>
    <n v="-7.7406000000000006"/>
    <x v="0"/>
    <x v="11"/>
    <n v="-2.5802"/>
    <s v="Loss"/>
    <s v="Low"/>
  </r>
  <r>
    <n v="1904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OFF-SU-10004115"/>
    <x v="0"/>
    <x v="14"/>
    <s v="Acme Stainless Steel Office Snips"/>
    <n v="7.27"/>
    <n v="1"/>
    <n v="0"/>
    <n v="1.9629000000000003"/>
    <x v="0"/>
    <x v="11"/>
    <n v="1.9629000000000003"/>
    <s v="Profit"/>
    <s v="No Discount"/>
  </r>
  <r>
    <n v="1905"/>
    <s v="US-2023-150574"/>
    <x v="294"/>
    <d v="2023-12-25T00:00:00"/>
    <s v="Standard Class"/>
    <s v="MK-18160"/>
    <s v="Mike Kennedy"/>
    <x v="0"/>
    <s v="United States"/>
    <s v="Jacksonville"/>
    <s v="Florida"/>
    <n v="32216"/>
    <x v="2"/>
    <s v="TEC-AC-10002600"/>
    <x v="2"/>
    <x v="9"/>
    <s v="Belkin QODE FastFit Bluetooth Keyboard"/>
    <n v="247.8"/>
    <n v="5"/>
    <n v="0.2"/>
    <n v="-18.584999999999994"/>
    <x v="0"/>
    <x v="11"/>
    <n v="-3.7169999999999987"/>
    <s v="Loss"/>
    <s v="Low"/>
  </r>
  <r>
    <n v="1906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TEC-PH-10001944"/>
    <x v="2"/>
    <x v="7"/>
    <s v="Wi-Ex zBoost YX540 Cellular Phone Signal Booster"/>
    <n v="583.79999999999995"/>
    <n v="5"/>
    <n v="0.2"/>
    <n v="72.974999999999909"/>
    <x v="0"/>
    <x v="11"/>
    <n v="14.594999999999981"/>
    <s v="Profit"/>
    <s v="Low"/>
  </r>
  <r>
    <n v="1907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TEC-PH-10002085"/>
    <x v="2"/>
    <x v="7"/>
    <s v="Clarity 53712"/>
    <n v="211.16800000000001"/>
    <n v="4"/>
    <n v="0.2"/>
    <n v="15.837600000000009"/>
    <x v="0"/>
    <x v="11"/>
    <n v="3.9594000000000023"/>
    <s v="Profit"/>
    <s v="Low"/>
  </r>
  <r>
    <n v="1908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TEC-PH-10002817"/>
    <x v="2"/>
    <x v="7"/>
    <s v="RCA ViSYS 25425RE1 Corded phone"/>
    <n v="323.97600000000006"/>
    <n v="3"/>
    <n v="0.2"/>
    <n v="36.44729999999997"/>
    <x v="0"/>
    <x v="11"/>
    <n v="12.14909999999999"/>
    <s v="Profit"/>
    <s v="Low"/>
  </r>
  <r>
    <n v="1909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FUR-CH-10004287"/>
    <x v="1"/>
    <x v="5"/>
    <s v="SAFCO Arco Folding Chair"/>
    <n v="662.88"/>
    <n v="3"/>
    <n v="0.2"/>
    <n v="74.573999999999955"/>
    <x v="0"/>
    <x v="11"/>
    <n v="24.857999999999986"/>
    <s v="Profit"/>
    <s v="Low"/>
  </r>
  <r>
    <n v="1910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FUR-CH-10004860"/>
    <x v="1"/>
    <x v="5"/>
    <s v="Global Low Back Tilter Chair"/>
    <n v="242.35200000000003"/>
    <n v="3"/>
    <n v="0.2"/>
    <n v="-42.411600000000035"/>
    <x v="0"/>
    <x v="11"/>
    <n v="-14.137200000000012"/>
    <s v="Loss"/>
    <s v="Low"/>
  </r>
  <r>
    <n v="1911"/>
    <s v="US-2023-163412"/>
    <x v="295"/>
    <d v="2023-12-23T00:00:00"/>
    <s v="Second Class"/>
    <s v="SM-20950"/>
    <s v="Suzanne McNair"/>
    <x v="2"/>
    <s v="United States"/>
    <s v="New York City"/>
    <s v="New York"/>
    <n v="10035"/>
    <x v="1"/>
    <s v="FUR-CH-10004875"/>
    <x v="1"/>
    <x v="5"/>
    <s v="Harbour Creations 67200 Series Stacking Chairs"/>
    <n v="192.18600000000004"/>
    <n v="3"/>
    <n v="0.1"/>
    <n v="36.3018"/>
    <x v="0"/>
    <x v="11"/>
    <n v="12.1006"/>
    <s v="Profit"/>
    <s v="Low"/>
  </r>
  <r>
    <n v="1912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FUR-FU-10001876"/>
    <x v="1"/>
    <x v="8"/>
    <s v="Computer Room Manger, 14&quot;"/>
    <n v="51.967999999999996"/>
    <n v="2"/>
    <n v="0.2"/>
    <n v="10.393599999999998"/>
    <x v="0"/>
    <x v="11"/>
    <n v="5.1967999999999988"/>
    <s v="Profit"/>
    <s v="Low"/>
  </r>
  <r>
    <n v="1913"/>
    <s v="US-2023-160157"/>
    <x v="295"/>
    <d v="2023-12-27T00:00:00"/>
    <s v="Standard Class"/>
    <s v="MH-17455"/>
    <s v="Mark Hamilton"/>
    <x v="0"/>
    <s v="United States"/>
    <s v="Hamilton"/>
    <s v="Ohio"/>
    <n v="45011"/>
    <x v="1"/>
    <s v="FUR-FU-10003773"/>
    <x v="1"/>
    <x v="8"/>
    <s v="Eldon Cleatmat Plus Chair Mats for High Pile Carpets"/>
    <n v="190.84800000000001"/>
    <n v="3"/>
    <n v="0.2"/>
    <n v="-21.470400000000026"/>
    <x v="0"/>
    <x v="11"/>
    <n v="-7.1568000000000085"/>
    <s v="Loss"/>
    <s v="Low"/>
  </r>
  <r>
    <n v="1914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FUR-TA-10000617"/>
    <x v="1"/>
    <x v="13"/>
    <s v="Hon Practical Foundations 30 x 60 Training Table, Light Gray/Charcoal"/>
    <n v="455.1"/>
    <n v="2"/>
    <n v="0"/>
    <n v="100.12200000000001"/>
    <x v="0"/>
    <x v="11"/>
    <n v="50.061000000000007"/>
    <s v="Profit"/>
    <s v="No Discount"/>
  </r>
  <r>
    <n v="1915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FUR-TA-10001932"/>
    <x v="1"/>
    <x v="13"/>
    <s v="Chromcraft 48&quot; x 96&quot; Racetrack Double Pedestal Table"/>
    <n v="2244.48"/>
    <n v="7"/>
    <n v="0"/>
    <n v="493.78559999999993"/>
    <x v="0"/>
    <x v="11"/>
    <n v="70.54079999999999"/>
    <s v="Profit"/>
    <s v="No Discount"/>
  </r>
  <r>
    <n v="1916"/>
    <s v="US-2023-120852"/>
    <x v="295"/>
    <d v="2023-12-25T00:00:00"/>
    <s v="Standard Class"/>
    <s v="WB-21850"/>
    <s v="William Brown"/>
    <x v="0"/>
    <s v="United States"/>
    <s v="Grand Prairie"/>
    <s v="Texas"/>
    <n v="75051"/>
    <x v="0"/>
    <s v="OFF-AP-10001563"/>
    <x v="0"/>
    <x v="12"/>
    <s v="Belkin Premiere Surge Master II 8-outlet surge protector"/>
    <n v="19.431999999999995"/>
    <n v="2"/>
    <n v="0.8"/>
    <n v="-49.551600000000022"/>
    <x v="0"/>
    <x v="11"/>
    <n v="-24.775800000000011"/>
    <s v="Loss"/>
    <s v="High"/>
  </r>
  <r>
    <n v="1917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OFF-AP-10004868"/>
    <x v="0"/>
    <x v="12"/>
    <s v="Hoover Commercial Soft Guard Upright Vacuum And Disposable Filtration Bags"/>
    <n v="43.512"/>
    <n v="7"/>
    <n v="0.2"/>
    <n v="3.8073000000000015"/>
    <x v="0"/>
    <x v="11"/>
    <n v="0.54390000000000016"/>
    <s v="Profit"/>
    <s v="Low"/>
  </r>
  <r>
    <n v="1918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AR-10001725"/>
    <x v="0"/>
    <x v="4"/>
    <s v="Boston Home &amp; Office Model 2000 Electric Pencil Sharpeners"/>
    <n v="47.3"/>
    <n v="2"/>
    <n v="0"/>
    <n v="12.298000000000002"/>
    <x v="0"/>
    <x v="11"/>
    <n v="6.1490000000000009"/>
    <s v="Profit"/>
    <s v="No Discount"/>
  </r>
  <r>
    <n v="1919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AR-10004269"/>
    <x v="0"/>
    <x v="4"/>
    <s v="Newell 31"/>
    <n v="4.13"/>
    <n v="1"/>
    <n v="0"/>
    <n v="1.1564000000000001"/>
    <x v="0"/>
    <x v="11"/>
    <n v="1.1564000000000001"/>
    <s v="Profit"/>
    <s v="No Discount"/>
  </r>
  <r>
    <n v="1920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BI-10003007"/>
    <x v="0"/>
    <x v="1"/>
    <s v="Premium Transparent Presentation Covers, No Pattern/Clear, 8 1/2&quot; x 11&quot;"/>
    <n v="155.12"/>
    <n v="5"/>
    <n v="0.2"/>
    <n v="50.413999999999987"/>
    <x v="0"/>
    <x v="11"/>
    <n v="10.082799999999997"/>
    <s v="Profit"/>
    <s v="Low"/>
  </r>
  <r>
    <n v="1921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OFF-BI-10003982"/>
    <x v="0"/>
    <x v="1"/>
    <s v="Wilson Jones Century Plastic Molded Ring Binders"/>
    <n v="62.31"/>
    <n v="3"/>
    <n v="0"/>
    <n v="29.285699999999999"/>
    <x v="0"/>
    <x v="11"/>
    <n v="9.7618999999999989"/>
    <s v="Profit"/>
    <s v="No Discount"/>
  </r>
  <r>
    <n v="1922"/>
    <s v="US-2023-103100"/>
    <x v="295"/>
    <d v="2023-12-23T00:00:00"/>
    <s v="First Class"/>
    <s v="AB-10105"/>
    <s v="Adrian Barton"/>
    <x v="0"/>
    <s v="United States"/>
    <s v="Indianapolis"/>
    <s v="Indiana"/>
    <n v="46203"/>
    <x v="0"/>
    <s v="OFF-BI-10004600"/>
    <x v="0"/>
    <x v="1"/>
    <s v="Ibico Ibimaster 300 Manual Binding System"/>
    <n v="1103.97"/>
    <n v="3"/>
    <n v="0"/>
    <n v="496.78649999999993"/>
    <x v="0"/>
    <x v="11"/>
    <n v="165.59549999999999"/>
    <s v="Profit"/>
    <s v="No Discount"/>
  </r>
  <r>
    <n v="1923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BI-10004632"/>
    <x v="0"/>
    <x v="1"/>
    <s v="Ibico Hi-Tech Manual Binding System"/>
    <n v="487.98400000000004"/>
    <n v="2"/>
    <n v="0.2"/>
    <n v="152.49499999999998"/>
    <x v="0"/>
    <x v="11"/>
    <n v="76.247499999999988"/>
    <s v="Profit"/>
    <s v="Low"/>
  </r>
  <r>
    <n v="1924"/>
    <s v="US-2023-109036"/>
    <x v="295"/>
    <d v="2023-12-25T00:00:00"/>
    <s v="Standard Class"/>
    <s v="KH-16510"/>
    <s v="Keith Herrera"/>
    <x v="0"/>
    <s v="United States"/>
    <s v="Seattle"/>
    <s v="Washington"/>
    <n v="98103"/>
    <x v="3"/>
    <s v="OFF-LA-10002043"/>
    <x v="0"/>
    <x v="2"/>
    <s v="Avery 489"/>
    <n v="31.049999999999997"/>
    <n v="3"/>
    <n v="0"/>
    <n v="14.904"/>
    <x v="0"/>
    <x v="11"/>
    <n v="4.968"/>
    <s v="Profit"/>
    <s v="No Discount"/>
  </r>
  <r>
    <n v="1925"/>
    <s v="US-2023-103100"/>
    <x v="295"/>
    <d v="2023-12-23T00:00:00"/>
    <s v="First Class"/>
    <s v="AB-10105"/>
    <s v="Adrian Barton"/>
    <x v="0"/>
    <s v="United States"/>
    <s v="Indianapolis"/>
    <s v="Indiana"/>
    <n v="46203"/>
    <x v="0"/>
    <s v="OFF-LA-10003720"/>
    <x v="0"/>
    <x v="2"/>
    <s v="Avery 487"/>
    <n v="3.69"/>
    <n v="1"/>
    <n v="0"/>
    <n v="1.7343"/>
    <x v="0"/>
    <x v="11"/>
    <n v="1.7343"/>
    <s v="Profit"/>
    <s v="No Discount"/>
  </r>
  <r>
    <n v="1926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OFF-PA-10000357"/>
    <x v="0"/>
    <x v="0"/>
    <s v="Xerox 1888"/>
    <n v="221.92000000000002"/>
    <n v="5"/>
    <n v="0.2"/>
    <n v="77.671999999999983"/>
    <x v="0"/>
    <x v="11"/>
    <n v="15.534399999999996"/>
    <s v="Profit"/>
    <s v="Low"/>
  </r>
  <r>
    <n v="1927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OFF-PA-10002689"/>
    <x v="0"/>
    <x v="0"/>
    <s v="Weyerhaeuser First Choice Laser/Copy Paper (20Lb. and 88 Bright)"/>
    <n v="25.920000000000005"/>
    <n v="5"/>
    <n v="0.2"/>
    <n v="9.0719999999999992"/>
    <x v="0"/>
    <x v="11"/>
    <n v="1.8143999999999998"/>
    <s v="Profit"/>
    <s v="Low"/>
  </r>
  <r>
    <n v="1928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OFF-PA-10003270"/>
    <x v="0"/>
    <x v="0"/>
    <s v="Xerox 1954"/>
    <n v="8.4480000000000004"/>
    <n v="2"/>
    <n v="0.2"/>
    <n v="2.6399999999999997"/>
    <x v="0"/>
    <x v="11"/>
    <n v="1.3199999999999998"/>
    <s v="Profit"/>
    <s v="Low"/>
  </r>
  <r>
    <n v="1929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OFF-ST-10004337"/>
    <x v="0"/>
    <x v="3"/>
    <s v="SAFCO Commercial Wire Shelving, 72h"/>
    <n v="122.48"/>
    <n v="2"/>
    <n v="0"/>
    <n v="0"/>
    <x v="0"/>
    <x v="11"/>
    <n v="0"/>
    <s v="Break-even"/>
    <s v="No Discount"/>
  </r>
  <r>
    <n v="1930"/>
    <s v="US-2023-140816"/>
    <x v="295"/>
    <d v="2023-12-20T00:00:00"/>
    <s v="Same Day"/>
    <s v="TC-21295"/>
    <s v="Toby Carlisle"/>
    <x v="0"/>
    <s v="United States"/>
    <s v="Thornton"/>
    <s v="Colorado"/>
    <n v="80229"/>
    <x v="3"/>
    <s v="TEC-AC-10001539"/>
    <x v="2"/>
    <x v="9"/>
    <s v="Logitech G430 Surround Sound Gaming Headset with Dolby 7.1 Technology"/>
    <n v="447.94399999999996"/>
    <n v="7"/>
    <n v="0.2"/>
    <n v="89.588799999999992"/>
    <x v="0"/>
    <x v="11"/>
    <n v="12.798399999999999"/>
    <s v="Profit"/>
    <s v="Low"/>
  </r>
  <r>
    <n v="1931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TEC-AC-10003628"/>
    <x v="2"/>
    <x v="9"/>
    <s v="Logitech 910-002974 M325 Wireless Mouse for Web Scrolling"/>
    <n v="71.975999999999999"/>
    <n v="3"/>
    <n v="0.2"/>
    <n v="21.592800000000011"/>
    <x v="0"/>
    <x v="11"/>
    <n v="7.197600000000004"/>
    <s v="Profit"/>
    <s v="Low"/>
  </r>
  <r>
    <n v="1932"/>
    <s v="US-2023-120852"/>
    <x v="295"/>
    <d v="2023-12-25T00:00:00"/>
    <s v="Standard Class"/>
    <s v="WB-21850"/>
    <s v="William Brown"/>
    <x v="0"/>
    <s v="United States"/>
    <s v="Grand Prairie"/>
    <s v="Texas"/>
    <n v="75051"/>
    <x v="0"/>
    <s v="TEC-AC-10004510"/>
    <x v="2"/>
    <x v="9"/>
    <s v="Logitech Desktop MK120 Mouse and keyboard Combo"/>
    <n v="65.44"/>
    <n v="5"/>
    <n v="0.2"/>
    <n v="-8.1800000000000033"/>
    <x v="0"/>
    <x v="11"/>
    <n v="-1.6360000000000006"/>
    <s v="Loss"/>
    <s v="Low"/>
  </r>
  <r>
    <n v="1933"/>
    <s v="CA-2023-126634"/>
    <x v="295"/>
    <d v="2023-12-22T00:00:00"/>
    <s v="Second Class"/>
    <s v="AB-10165"/>
    <s v="Alan Barnes"/>
    <x v="0"/>
    <s v="Canada"/>
    <s v="Vancouver"/>
    <s v="British Columbia"/>
    <s v="V5K"/>
    <x v="3"/>
    <s v="FUR-FU-10004973"/>
    <x v="1"/>
    <x v="8"/>
    <s v="Flat Face Poster Frame"/>
    <n v="94.2"/>
    <n v="5"/>
    <n v="0"/>
    <n v="39.56"/>
    <x v="0"/>
    <x v="11"/>
    <n v="7.9120000000000008"/>
    <s v="Profit"/>
    <s v="No Discount"/>
  </r>
  <r>
    <n v="1934"/>
    <s v="US-2023-154893"/>
    <x v="296"/>
    <d v="2023-12-27T00:00:00"/>
    <s v="Standard Class"/>
    <s v="GM-14440"/>
    <s v="Gary McGarr"/>
    <x v="0"/>
    <s v="United States"/>
    <s v="San Diego"/>
    <s v="California"/>
    <n v="92024"/>
    <x v="3"/>
    <s v="FUR-CH-10000595"/>
    <x v="1"/>
    <x v="5"/>
    <s v="Safco Contoured Stacking Chairs"/>
    <n v="572.16000000000008"/>
    <n v="3"/>
    <n v="0.2"/>
    <n v="35.759999999999962"/>
    <x v="0"/>
    <x v="11"/>
    <n v="11.919999999999987"/>
    <s v="Profit"/>
    <s v="Low"/>
  </r>
  <r>
    <n v="1935"/>
    <s v="US-2023-154893"/>
    <x v="296"/>
    <d v="2023-12-27T00:00:00"/>
    <s v="Standard Class"/>
    <s v="GM-14440"/>
    <s v="Gary McGarr"/>
    <x v="0"/>
    <s v="United States"/>
    <s v="San Diego"/>
    <s v="California"/>
    <n v="92024"/>
    <x v="3"/>
    <s v="FUR-CH-10004287"/>
    <x v="1"/>
    <x v="5"/>
    <s v="SAFCO Arco Folding Chair"/>
    <n v="1325.76"/>
    <n v="6"/>
    <n v="0.2"/>
    <n v="149.14799999999991"/>
    <x v="0"/>
    <x v="11"/>
    <n v="24.857999999999986"/>
    <s v="Profit"/>
    <s v="Low"/>
  </r>
  <r>
    <n v="1936"/>
    <s v="US-2023-134621"/>
    <x v="296"/>
    <d v="2023-12-28T00:00:00"/>
    <s v="Standard Class"/>
    <s v="DP-13390"/>
    <s v="Dennis Pardue"/>
    <x v="1"/>
    <s v="United States"/>
    <s v="Columbia"/>
    <s v="Tennessee"/>
    <n v="38401"/>
    <x v="2"/>
    <s v="OFF-BI-10000977"/>
    <x v="0"/>
    <x v="1"/>
    <s v="Ibico Plastic Spiral Binding Combs"/>
    <n v="18.240000000000002"/>
    <n v="2"/>
    <n v="0.7"/>
    <n v="-14.591999999999999"/>
    <x v="0"/>
    <x v="11"/>
    <n v="-7.2959999999999994"/>
    <s v="Loss"/>
    <s v="High"/>
  </r>
  <r>
    <n v="1937"/>
    <s v="US-2023-109127"/>
    <x v="296"/>
    <d v="2023-12-25T00:00:00"/>
    <s v="Standard Class"/>
    <s v="JC-15775"/>
    <s v="John Castell"/>
    <x v="0"/>
    <s v="United States"/>
    <s v="Newark"/>
    <s v="Delaware"/>
    <n v="19711"/>
    <x v="1"/>
    <s v="OFF-LA-10004409"/>
    <x v="0"/>
    <x v="2"/>
    <s v="Avery 492"/>
    <n v="17.28"/>
    <n v="6"/>
    <n v="0"/>
    <n v="7.9487999999999985"/>
    <x v="0"/>
    <x v="11"/>
    <n v="1.3247999999999998"/>
    <s v="Profit"/>
    <s v="No Discount"/>
  </r>
  <r>
    <n v="1938"/>
    <s v="US-2023-133543"/>
    <x v="297"/>
    <d v="2023-12-26T00:00:00"/>
    <s v="Standard Class"/>
    <s v="KM-16660"/>
    <s v="Khloe Miller"/>
    <x v="0"/>
    <s v="United States"/>
    <s v="San Jose"/>
    <s v="California"/>
    <n v="95123"/>
    <x v="3"/>
    <s v="OFF-AR-10003394"/>
    <x v="0"/>
    <x v="4"/>
    <s v="Newell 332"/>
    <n v="11.76"/>
    <n v="4"/>
    <n v="0"/>
    <n v="3.1752000000000002"/>
    <x v="0"/>
    <x v="11"/>
    <n v="0.79380000000000006"/>
    <s v="Profit"/>
    <s v="No Discount"/>
  </r>
  <r>
    <n v="1939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BI-10002824"/>
    <x v="0"/>
    <x v="1"/>
    <s v="Recycled Easel Ring Binders"/>
    <n v="17.903999999999996"/>
    <n v="6"/>
    <n v="0.8"/>
    <n v="-31.332000000000008"/>
    <x v="0"/>
    <x v="11"/>
    <n v="-5.2220000000000013"/>
    <s v="Loss"/>
    <s v="High"/>
  </r>
  <r>
    <n v="1940"/>
    <s v="US-2023-101364"/>
    <x v="297"/>
    <d v="2023-12-26T00:00:00"/>
    <s v="Standard Class"/>
    <s v="TW-21025"/>
    <s v="Tamara Willingham"/>
    <x v="1"/>
    <s v="United States"/>
    <s v="New York City"/>
    <s v="New York"/>
    <n v="10011"/>
    <x v="1"/>
    <s v="OFF-BI-10003984"/>
    <x v="0"/>
    <x v="1"/>
    <s v="Lock-Up Easel 'Spel-Binder'"/>
    <n v="296.71200000000005"/>
    <n v="13"/>
    <n v="0.2"/>
    <n v="100.14029999999998"/>
    <x v="0"/>
    <x v="11"/>
    <n v="7.7030999999999983"/>
    <s v="Profit"/>
    <s v="Low"/>
  </r>
  <r>
    <n v="1941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PA-10001289"/>
    <x v="0"/>
    <x v="0"/>
    <s v="White Computer Printout Paper by Universal"/>
    <n v="124.032"/>
    <n v="4"/>
    <n v="0.2"/>
    <n v="44.961600000000004"/>
    <x v="0"/>
    <x v="11"/>
    <n v="11.240400000000001"/>
    <s v="Profit"/>
    <s v="Low"/>
  </r>
  <r>
    <n v="1942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ST-10000585"/>
    <x v="0"/>
    <x v="3"/>
    <s v="Economy Rollaway Files"/>
    <n v="132.16"/>
    <n v="1"/>
    <n v="0.2"/>
    <n v="9.911999999999999"/>
    <x v="0"/>
    <x v="11"/>
    <n v="9.911999999999999"/>
    <s v="Profit"/>
    <s v="Low"/>
  </r>
  <r>
    <n v="1943"/>
    <s v="US-2023-146864"/>
    <x v="297"/>
    <d v="2023-12-26T00:00:00"/>
    <s v="Standard Class"/>
    <s v="BT-11530"/>
    <s v="Bradley Talbott"/>
    <x v="1"/>
    <s v="United States"/>
    <s v="New York City"/>
    <s v="New York"/>
    <n v="10024"/>
    <x v="1"/>
    <s v="OFF-ST-10004946"/>
    <x v="0"/>
    <x v="3"/>
    <s v="Desktop 3-Pocket Hot File"/>
    <n v="216.4"/>
    <n v="4"/>
    <n v="0"/>
    <n v="56.26400000000001"/>
    <x v="0"/>
    <x v="11"/>
    <n v="14.066000000000003"/>
    <s v="Profit"/>
    <s v="No Discount"/>
  </r>
  <r>
    <n v="1944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FUR-CH-10004698"/>
    <x v="1"/>
    <x v="5"/>
    <s v="Padded Folding Chairs, Black, 4/Carton"/>
    <n v="64.784000000000006"/>
    <n v="1"/>
    <n v="0.2"/>
    <n v="6.4784000000000042"/>
    <x v="0"/>
    <x v="11"/>
    <n v="6.4784000000000042"/>
    <s v="Profit"/>
    <s v="Low"/>
  </r>
  <r>
    <n v="1945"/>
    <s v="US-2023-114517"/>
    <x v="298"/>
    <d v="2023-12-27T00:00:00"/>
    <s v="Standard Class"/>
    <s v="TH-21235"/>
    <s v="Tiffany House"/>
    <x v="2"/>
    <s v="United States"/>
    <s v="New York City"/>
    <s v="New York"/>
    <n v="10024"/>
    <x v="1"/>
    <s v="FUR-TA-10001676"/>
    <x v="1"/>
    <x v="13"/>
    <s v="Hon 61000 Series Interactive Training Tables"/>
    <n v="53.315999999999995"/>
    <n v="2"/>
    <n v="0.4"/>
    <n v="-19.549200000000006"/>
    <x v="0"/>
    <x v="11"/>
    <n v="-9.7746000000000031"/>
    <s v="Loss"/>
    <s v="Medium"/>
  </r>
  <r>
    <n v="1946"/>
    <s v="US-2023-142314"/>
    <x v="298"/>
    <d v="2023-12-28T00:00:00"/>
    <s v="Standard Class"/>
    <s v="SF-20200"/>
    <s v="Sarah Foster"/>
    <x v="0"/>
    <s v="United States"/>
    <s v="Richmond"/>
    <s v="Indiana"/>
    <n v="47374"/>
    <x v="0"/>
    <s v="OFF-AP-10002350"/>
    <x v="0"/>
    <x v="12"/>
    <s v="Belkin F9H710-06 7 Outlet SurgeMaster Surge Protector"/>
    <n v="207.24"/>
    <n v="11"/>
    <n v="0"/>
    <n v="58.027200000000001"/>
    <x v="0"/>
    <x v="11"/>
    <n v="5.2751999999999999"/>
    <s v="Profit"/>
    <s v="No Discount"/>
  </r>
  <r>
    <n v="1947"/>
    <s v="US-2023-114517"/>
    <x v="298"/>
    <d v="2023-12-27T00:00:00"/>
    <s v="Standard Class"/>
    <s v="TH-21235"/>
    <s v="Tiffany House"/>
    <x v="2"/>
    <s v="United States"/>
    <s v="New York City"/>
    <s v="New York"/>
    <n v="10024"/>
    <x v="1"/>
    <s v="OFF-AP-10002350"/>
    <x v="0"/>
    <x v="12"/>
    <s v="Belkin F9H710-06 7 Outlet SurgeMaster Surge Protector"/>
    <n v="56.519999999999996"/>
    <n v="3"/>
    <n v="0"/>
    <n v="15.8256"/>
    <x v="0"/>
    <x v="11"/>
    <n v="5.2751999999999999"/>
    <s v="Profit"/>
    <s v="No Discount"/>
  </r>
  <r>
    <n v="1948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AR-10001868"/>
    <x v="0"/>
    <x v="4"/>
    <s v="Prang Dustless Chalk Sticks"/>
    <n v="1.3440000000000001"/>
    <n v="1"/>
    <n v="0.2"/>
    <n v="0.504"/>
    <x v="0"/>
    <x v="11"/>
    <n v="0.504"/>
    <s v="Profit"/>
    <s v="Low"/>
  </r>
  <r>
    <n v="1949"/>
    <s v="US-2023-126333"/>
    <x v="298"/>
    <d v="2023-12-28T00:00:00"/>
    <s v="Standard Class"/>
    <s v="ME-18010"/>
    <s v="Michelle Ellison"/>
    <x v="2"/>
    <s v="United States"/>
    <s v="Port Arthur"/>
    <s v="Texas"/>
    <n v="77642"/>
    <x v="0"/>
    <s v="OFF-PA-10000223"/>
    <x v="0"/>
    <x v="0"/>
    <s v="Xerox 2000"/>
    <n v="5.1840000000000011"/>
    <n v="1"/>
    <n v="0.2"/>
    <n v="1.8144"/>
    <x v="0"/>
    <x v="11"/>
    <n v="1.8144"/>
    <s v="Profit"/>
    <s v="Low"/>
  </r>
  <r>
    <n v="1950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PA-10001295"/>
    <x v="0"/>
    <x v="0"/>
    <s v="Computer Printout Paper with Letter-Trim Perforations"/>
    <n v="45.527999999999999"/>
    <n v="3"/>
    <n v="0.2"/>
    <n v="15.934799999999997"/>
    <x v="0"/>
    <x v="11"/>
    <n v="5.3115999999999994"/>
    <s v="Profit"/>
    <s v="Low"/>
  </r>
  <r>
    <n v="1951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ST-10000078"/>
    <x v="0"/>
    <x v="3"/>
    <s v="Tennsco 6- and 18-Compartment Lockers"/>
    <n v="424.27200000000005"/>
    <n v="2"/>
    <n v="0.2"/>
    <n v="-10.60680000000005"/>
    <x v="0"/>
    <x v="11"/>
    <n v="-5.3034000000000248"/>
    <s v="Loss"/>
    <s v="Low"/>
  </r>
  <r>
    <n v="1952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ST-10004950"/>
    <x v="0"/>
    <x v="3"/>
    <s v="Acco Perma 3000 Stacking Storage Drawers"/>
    <n v="83.920000000000016"/>
    <n v="5"/>
    <n v="0.2"/>
    <n v="-1.049000000000003"/>
    <x v="0"/>
    <x v="11"/>
    <n v="-0.2098000000000006"/>
    <s v="Loss"/>
    <s v="Low"/>
  </r>
  <r>
    <n v="1953"/>
    <s v="US-2023-167738"/>
    <x v="299"/>
    <d v="2023-12-29T00:00:00"/>
    <s v="Standard Class"/>
    <s v="JC-16105"/>
    <s v="Julie Creighton"/>
    <x v="2"/>
    <s v="United States"/>
    <s v="Los Angeles"/>
    <s v="California"/>
    <n v="90045"/>
    <x v="3"/>
    <s v="FUR-CH-10001146"/>
    <x v="1"/>
    <x v="5"/>
    <s v="Global Value Mid-Back Manager's Chair, Gray"/>
    <n v="292.27200000000005"/>
    <n v="6"/>
    <n v="0.2"/>
    <n v="18.266999999999967"/>
    <x v="0"/>
    <x v="11"/>
    <n v="3.0444999999999944"/>
    <s v="Profit"/>
    <s v="Low"/>
  </r>
  <r>
    <n v="1954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FUR-FU-10002554"/>
    <x v="1"/>
    <x v="8"/>
    <s v="Westinghouse Floor Lamp with Metal Mesh Shade, Black"/>
    <n v="23.99"/>
    <n v="1"/>
    <n v="0"/>
    <n v="5.5176999999999978"/>
    <x v="0"/>
    <x v="11"/>
    <n v="5.5176999999999978"/>
    <s v="Profit"/>
    <s v="No Discount"/>
  </r>
  <r>
    <n v="1955"/>
    <s v="US-2023-156314"/>
    <x v="299"/>
    <d v="2023-12-26T00:00:00"/>
    <s v="First Class"/>
    <s v="RP-19390"/>
    <s v="Resi Pölking"/>
    <x v="0"/>
    <s v="United States"/>
    <s v="Cleveland"/>
    <s v="Ohio"/>
    <n v="44105"/>
    <x v="1"/>
    <s v="FUR-FU-10003096"/>
    <x v="1"/>
    <x v="8"/>
    <s v="Master Giant Foot Doorstop, Safety Yellow"/>
    <n v="30.36"/>
    <n v="5"/>
    <n v="0.2"/>
    <n v="8.7285000000000004"/>
    <x v="0"/>
    <x v="11"/>
    <n v="1.7457"/>
    <s v="Profit"/>
    <s v="Low"/>
  </r>
  <r>
    <n v="1956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OFF-AP-10000828"/>
    <x v="0"/>
    <x v="12"/>
    <s v="Avanti 4.4 Cu. Ft. Refrigerator"/>
    <n v="361.96"/>
    <n v="2"/>
    <n v="0"/>
    <n v="101.34879999999998"/>
    <x v="0"/>
    <x v="11"/>
    <n v="50.674399999999991"/>
    <s v="Profit"/>
    <s v="No Discount"/>
  </r>
  <r>
    <n v="1957"/>
    <s v="US-2023-132913"/>
    <x v="299"/>
    <d v="2023-12-26T00:00:00"/>
    <s v="First Class"/>
    <s v="AS-10090"/>
    <s v="Adam Shillingsburg"/>
    <x v="0"/>
    <s v="United States"/>
    <s v="San Diego"/>
    <s v="California"/>
    <n v="92037"/>
    <x v="3"/>
    <s v="OFF-AP-10003278"/>
    <x v="0"/>
    <x v="12"/>
    <s v="Belkin 7-Outlet SurgeMaster Home Series"/>
    <n v="13.97"/>
    <n v="1"/>
    <n v="0"/>
    <n v="3.632200000000001"/>
    <x v="0"/>
    <x v="11"/>
    <n v="3.632200000000001"/>
    <s v="Profit"/>
    <s v="No Discount"/>
  </r>
  <r>
    <n v="1958"/>
    <s v="US-2023-113166"/>
    <x v="299"/>
    <d v="2023-12-26T00:00:00"/>
    <s v="First Class"/>
    <s v="LF-17185"/>
    <s v="Luke Foster"/>
    <x v="0"/>
    <s v="United States"/>
    <s v="Miami"/>
    <s v="Florida"/>
    <n v="33180"/>
    <x v="2"/>
    <s v="OFF-PA-10001947"/>
    <x v="0"/>
    <x v="0"/>
    <s v="Xerox 1974"/>
    <n v="9.5680000000000014"/>
    <n v="2"/>
    <n v="0.2"/>
    <n v="3.4683999999999999"/>
    <x v="0"/>
    <x v="11"/>
    <n v="1.7342"/>
    <s v="Profit"/>
    <s v="Low"/>
  </r>
  <r>
    <n v="1959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OFF-ST-10002301"/>
    <x v="0"/>
    <x v="3"/>
    <s v="Tennsco Commercial Shelving"/>
    <n v="20.34"/>
    <n v="1"/>
    <n v="0"/>
    <n v="0.20339999999999847"/>
    <x v="0"/>
    <x v="11"/>
    <n v="0.20339999999999847"/>
    <s v="Profit"/>
    <s v="No Discount"/>
  </r>
  <r>
    <n v="1960"/>
    <s v="US-2023-167738"/>
    <x v="299"/>
    <d v="2023-12-29T00:00:00"/>
    <s v="Standard Class"/>
    <s v="JC-16105"/>
    <s v="Julie Creighton"/>
    <x v="2"/>
    <s v="United States"/>
    <s v="Los Angeles"/>
    <s v="California"/>
    <n v="90045"/>
    <x v="3"/>
    <s v="OFF-ST-10003306"/>
    <x v="0"/>
    <x v="3"/>
    <s v="Letter Size Cart"/>
    <n v="142.86000000000001"/>
    <n v="1"/>
    <n v="0"/>
    <n v="41.429399999999987"/>
    <x v="0"/>
    <x v="11"/>
    <n v="41.429399999999987"/>
    <s v="Profit"/>
    <s v="No Discount"/>
  </r>
  <r>
    <n v="1961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AC-10004708"/>
    <x v="2"/>
    <x v="9"/>
    <s v="Sony 32GB Class 10 Micro SDHC R40 Memory Card"/>
    <n v="62.849999999999994"/>
    <n v="3"/>
    <n v="0"/>
    <n v="13.198499999999999"/>
    <x v="0"/>
    <x v="11"/>
    <n v="4.3994999999999997"/>
    <s v="Profit"/>
    <s v="No Discount"/>
  </r>
  <r>
    <n v="1962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PH-10000213"/>
    <x v="2"/>
    <x v="7"/>
    <s v="Seidio BD2-HK3IPH5-BK DILEX Case and Holster Combo for Apple iPhone 5/5s - Black"/>
    <n v="173.65600000000003"/>
    <n v="7"/>
    <n v="0.2"/>
    <n v="17.365599999999993"/>
    <x v="0"/>
    <x v="11"/>
    <n v="2.480799999999999"/>
    <s v="Profit"/>
    <s v="Low"/>
  </r>
  <r>
    <n v="1963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PH-10001530"/>
    <x v="2"/>
    <x v="7"/>
    <s v="Cisco Unified IP Phone 7945G VoIP phone"/>
    <n v="818.37600000000009"/>
    <n v="3"/>
    <n v="0.2"/>
    <n v="51.148499999999984"/>
    <x v="0"/>
    <x v="11"/>
    <n v="17.049499999999995"/>
    <s v="Profit"/>
    <s v="Low"/>
  </r>
  <r>
    <n v="1964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CH-10001891"/>
    <x v="1"/>
    <x v="5"/>
    <s v="Global Deluxe Office Fabric Chairs"/>
    <n v="230.35200000000003"/>
    <n v="3"/>
    <n v="0.2"/>
    <n v="20.155800000000013"/>
    <x v="0"/>
    <x v="11"/>
    <n v="6.7186000000000048"/>
    <s v="Profit"/>
    <s v="Low"/>
  </r>
  <r>
    <n v="1965"/>
    <s v="US-2023-152030"/>
    <x v="300"/>
    <d v="2023-12-28T00:00:00"/>
    <s v="Second Class"/>
    <s v="AD-10180"/>
    <s v="Alan Dominguez"/>
    <x v="1"/>
    <s v="United States"/>
    <s v="Houston"/>
    <s v="Texas"/>
    <n v="77041"/>
    <x v="0"/>
    <s v="FUR-CH-10004063"/>
    <x v="1"/>
    <x v="5"/>
    <s v="Global Deluxe High-Back Manager's Chair"/>
    <n v="600.55799999999999"/>
    <n v="3"/>
    <n v="0.3"/>
    <n v="-8.5794000000000779"/>
    <x v="0"/>
    <x v="11"/>
    <n v="-2.8598000000000261"/>
    <s v="Loss"/>
    <s v="Medium"/>
  </r>
  <r>
    <n v="1966"/>
    <s v="US-2023-106264"/>
    <x v="300"/>
    <d v="2023-12-30T00:00:00"/>
    <s v="Standard Class"/>
    <s v="CK-12595"/>
    <s v="Clytie Kelty"/>
    <x v="0"/>
    <s v="United States"/>
    <s v="San Diego"/>
    <s v="California"/>
    <n v="92024"/>
    <x v="3"/>
    <s v="FUR-FU-10001852"/>
    <x v="1"/>
    <x v="8"/>
    <s v="Eldon Regeneration Recycled Desk Accessories, Smoke"/>
    <n v="3.48"/>
    <n v="2"/>
    <n v="0"/>
    <n v="1.1135999999999999"/>
    <x v="0"/>
    <x v="11"/>
    <n v="0.55679999999999996"/>
    <s v="Profit"/>
    <s v="No Discount"/>
  </r>
  <r>
    <n v="1967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FU-10002918"/>
    <x v="1"/>
    <x v="8"/>
    <s v="Eldon ClusterMat Chair Mat with Cordless Antistatic Protection"/>
    <n v="218.35200000000003"/>
    <n v="3"/>
    <n v="0.2"/>
    <n v="-24.564599999999999"/>
    <x v="0"/>
    <x v="11"/>
    <n v="-8.1882000000000001"/>
    <s v="Loss"/>
    <s v="Low"/>
  </r>
  <r>
    <n v="1968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FU-10004091"/>
    <x v="1"/>
    <x v="8"/>
    <s v="Howard Miller 13&quot; Diameter Goldtone Round Wall Clock"/>
    <n v="300.416"/>
    <n v="8"/>
    <n v="0.2"/>
    <n v="78.859200000000001"/>
    <x v="0"/>
    <x v="11"/>
    <n v="9.8574000000000002"/>
    <s v="Profit"/>
    <s v="Low"/>
  </r>
  <r>
    <n v="1969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AP-10002998"/>
    <x v="0"/>
    <x v="12"/>
    <s v="Holmes 99% HEPA Air Purifier"/>
    <n v="34.655999999999999"/>
    <n v="2"/>
    <n v="0.2"/>
    <n v="5.6315999999999971"/>
    <x v="0"/>
    <x v="11"/>
    <n v="2.8157999999999985"/>
    <s v="Profit"/>
    <s v="Low"/>
  </r>
  <r>
    <n v="1970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AP-10003287"/>
    <x v="0"/>
    <x v="12"/>
    <s v="Tripp Lite TLP810NET Broadband Surge for Modem/Fax"/>
    <n v="81.552000000000007"/>
    <n v="2"/>
    <n v="0.2"/>
    <n v="8.1551999999999971"/>
    <x v="0"/>
    <x v="11"/>
    <n v="4.0775999999999986"/>
    <s v="Profit"/>
    <s v="Low"/>
  </r>
  <r>
    <n v="1971"/>
    <s v="US-2023-101427"/>
    <x v="300"/>
    <d v="2023-12-30T00:00:00"/>
    <s v="Standard Class"/>
    <s v="AY-10555"/>
    <s v="Andy Yotov"/>
    <x v="2"/>
    <s v="United States"/>
    <s v="Philadelphia"/>
    <s v="Pennsylvania"/>
    <n v="19140"/>
    <x v="1"/>
    <s v="OFF-AR-10002257"/>
    <x v="0"/>
    <x v="4"/>
    <s v="Eldon Spacemaker Box, Quick-Snap Lid, Clear"/>
    <n v="8.016"/>
    <n v="3"/>
    <n v="0.2"/>
    <n v="1.102199999999999"/>
    <x v="0"/>
    <x v="11"/>
    <n v="0.36739999999999967"/>
    <s v="Profit"/>
    <s v="Low"/>
  </r>
  <r>
    <n v="1972"/>
    <s v="US-2023-111171"/>
    <x v="300"/>
    <d v="2023-12-31T00:00:00"/>
    <s v="Standard Class"/>
    <s v="CA-12265"/>
    <s v="Christina Anderson"/>
    <x v="0"/>
    <s v="United States"/>
    <s v="Chicago"/>
    <s v="Illinois"/>
    <n v="60610"/>
    <x v="0"/>
    <s v="OFF-BI-10002103"/>
    <x v="0"/>
    <x v="1"/>
    <s v="Cardinal Slant-D Ring Binder, Heavy Gauge Vinyl"/>
    <n v="8.6899999999999977"/>
    <n v="5"/>
    <n v="0.8"/>
    <n v="-14.773"/>
    <x v="0"/>
    <x v="11"/>
    <n v="-2.9546000000000001"/>
    <s v="Loss"/>
    <s v="High"/>
  </r>
  <r>
    <n v="1973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OFF-BI-10004593"/>
    <x v="0"/>
    <x v="1"/>
    <s v="Ibico Laser Imprintable Binding System Covers"/>
    <n v="78.600000000000009"/>
    <n v="5"/>
    <n v="0.7"/>
    <n v="-62.88000000000001"/>
    <x v="0"/>
    <x v="11"/>
    <n v="-12.576000000000002"/>
    <s v="Loss"/>
    <s v="High"/>
  </r>
  <r>
    <n v="1974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OFF-FA-10004854"/>
    <x v="0"/>
    <x v="6"/>
    <s v="Vinyl Coated Wire Paper Clips in Organizer Box, 800/Box"/>
    <n v="27.552000000000003"/>
    <n v="3"/>
    <n v="0.2"/>
    <n v="9.2987999999999964"/>
    <x v="0"/>
    <x v="11"/>
    <n v="3.0995999999999988"/>
    <s v="Profit"/>
    <s v="Low"/>
  </r>
  <r>
    <n v="1975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PA-10004569"/>
    <x v="0"/>
    <x v="0"/>
    <s v="Wirebound Message Books, Two 4 1/4&quot; x 5&quot; Forms per Page"/>
    <n v="18.264000000000003"/>
    <n v="3"/>
    <n v="0.2"/>
    <n v="6.1640999999999995"/>
    <x v="0"/>
    <x v="11"/>
    <n v="2.0547"/>
    <s v="Profit"/>
    <s v="Low"/>
  </r>
  <r>
    <n v="1976"/>
    <s v="US-2023-168473"/>
    <x v="300"/>
    <d v="2024-01-01T00:00:00"/>
    <s v="Standard Class"/>
    <s v="TB-21520"/>
    <s v="Tracy Blumstein"/>
    <x v="0"/>
    <s v="United States"/>
    <s v="New York City"/>
    <s v="New York"/>
    <n v="10009"/>
    <x v="1"/>
    <s v="OFF-ST-10000563"/>
    <x v="0"/>
    <x v="3"/>
    <s v="Fellowes Bankers Box Stor/Drawer Steel Plus"/>
    <n v="191.88"/>
    <n v="6"/>
    <n v="0"/>
    <n v="19.188000000000002"/>
    <x v="0"/>
    <x v="11"/>
    <n v="3.1980000000000004"/>
    <s v="Profit"/>
    <s v="No Discount"/>
  </r>
  <r>
    <n v="1977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ST-10001370"/>
    <x v="0"/>
    <x v="3"/>
    <s v="Sensible Storage WireTech Storage Systems"/>
    <n v="227.13600000000002"/>
    <n v="4"/>
    <n v="0.2"/>
    <n v="-42.588000000000036"/>
    <x v="0"/>
    <x v="11"/>
    <n v="-10.647000000000009"/>
    <s v="Loss"/>
    <s v="Low"/>
  </r>
  <r>
    <n v="1978"/>
    <s v="US-2023-106264"/>
    <x v="300"/>
    <d v="2023-12-30T00:00:00"/>
    <s v="Standard Class"/>
    <s v="CK-12595"/>
    <s v="Clytie Kelty"/>
    <x v="0"/>
    <s v="United States"/>
    <s v="San Diego"/>
    <s v="California"/>
    <n v="92024"/>
    <x v="3"/>
    <s v="OFF-SU-10002189"/>
    <x v="0"/>
    <x v="14"/>
    <s v="Acme Rosewood Handle Letter Opener"/>
    <n v="11.91"/>
    <n v="3"/>
    <n v="0"/>
    <n v="0.11909999999999954"/>
    <x v="0"/>
    <x v="11"/>
    <n v="3.9699999999999847E-2"/>
    <s v="Profit"/>
    <s v="No Discount"/>
  </r>
  <r>
    <n v="1979"/>
    <s v="US-2023-163447"/>
    <x v="301"/>
    <d v="2023-12-31T00:00:00"/>
    <s v="Standard Class"/>
    <s v="TB-21190"/>
    <s v="Thomas Brumley"/>
    <x v="1"/>
    <s v="United States"/>
    <s v="New York City"/>
    <s v="New York"/>
    <n v="10011"/>
    <x v="1"/>
    <s v="FUR-CH-10004477"/>
    <x v="1"/>
    <x v="5"/>
    <s v="Global Push Button Manager's Chair, Indigo"/>
    <n v="767.21400000000006"/>
    <n v="14"/>
    <n v="0.1"/>
    <n v="161.96739999999997"/>
    <x v="0"/>
    <x v="11"/>
    <n v="11.569099999999997"/>
    <s v="Profit"/>
    <s v="Low"/>
  </r>
  <r>
    <n v="1980"/>
    <s v="US-2023-106334"/>
    <x v="301"/>
    <d v="2024-01-02T00:00:00"/>
    <s v="Standard Class"/>
    <s v="JF-15490"/>
    <s v="Jeremy Farry"/>
    <x v="0"/>
    <s v="United States"/>
    <s v="San Francisco"/>
    <s v="California"/>
    <n v="94122"/>
    <x v="3"/>
    <s v="FUR-CH-10004886"/>
    <x v="1"/>
    <x v="5"/>
    <s v="Bevis Steel Folding Chairs"/>
    <n v="230.28000000000003"/>
    <n v="3"/>
    <n v="0.2"/>
    <n v="23.027999999999992"/>
    <x v="0"/>
    <x v="11"/>
    <n v="7.6759999999999975"/>
    <s v="Profit"/>
    <s v="Low"/>
  </r>
  <r>
    <n v="1981"/>
    <s v="US-2023-162866"/>
    <x v="301"/>
    <d v="2023-12-31T00:00:00"/>
    <s v="Standard Class"/>
    <s v="Co-12640"/>
    <s v="Corey-Lock"/>
    <x v="0"/>
    <s v="United States"/>
    <s v="Skokie"/>
    <s v="Illinois"/>
    <n v="60076"/>
    <x v="0"/>
    <s v="FUR-FU-10001473"/>
    <x v="1"/>
    <x v="8"/>
    <s v="DAX Wood Document Frame"/>
    <n v="32.952000000000005"/>
    <n v="6"/>
    <n v="0.6"/>
    <n v="-19.771199999999997"/>
    <x v="0"/>
    <x v="11"/>
    <n v="-3.2951999999999995"/>
    <s v="Loss"/>
    <s v="High"/>
  </r>
  <r>
    <n v="1982"/>
    <s v="US-2023-159611"/>
    <x v="301"/>
    <d v="2024-01-01T00:00:00"/>
    <s v="Second Class"/>
    <s v="KB-16315"/>
    <s v="Karl Braun"/>
    <x v="0"/>
    <s v="United States"/>
    <s v="Cleveland"/>
    <s v="Ohio"/>
    <n v="44105"/>
    <x v="1"/>
    <s v="FUR-FU-10004904"/>
    <x v="1"/>
    <x v="8"/>
    <s v="Eldon &quot;L&quot; Workstation Diamond Chairmat"/>
    <n v="182.35200000000003"/>
    <n v="3"/>
    <n v="0.2"/>
    <n v="-18.23520000000002"/>
    <x v="0"/>
    <x v="11"/>
    <n v="-6.0784000000000065"/>
    <s v="Loss"/>
    <s v="Low"/>
  </r>
  <r>
    <n v="1983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AP-10001366"/>
    <x v="0"/>
    <x v="12"/>
    <s v="Staple holder"/>
    <n v="10.98"/>
    <n v="1"/>
    <n v="0"/>
    <n v="2.9646000000000008"/>
    <x v="0"/>
    <x v="11"/>
    <n v="2.9646000000000008"/>
    <s v="Profit"/>
    <s v="No Discount"/>
  </r>
  <r>
    <n v="1984"/>
    <s v="US-2023-165393"/>
    <x v="301"/>
    <d v="2023-12-30T00:00:00"/>
    <s v="First Class"/>
    <s v="NC-18415"/>
    <s v="Nathan Cano"/>
    <x v="0"/>
    <s v="United States"/>
    <s v="Fort Worth"/>
    <s v="Texas"/>
    <n v="76106"/>
    <x v="0"/>
    <s v="OFF-BI-10001658"/>
    <x v="0"/>
    <x v="1"/>
    <s v="GBC Standard Therm-A-Bind Covers"/>
    <n v="4.9839999999999991"/>
    <n v="1"/>
    <n v="0.8"/>
    <n v="-8.472800000000003"/>
    <x v="0"/>
    <x v="11"/>
    <n v="-8.472800000000003"/>
    <s v="Loss"/>
    <s v="High"/>
  </r>
  <r>
    <n v="1985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BI-10002353"/>
    <x v="0"/>
    <x v="1"/>
    <s v="GBC VeloBind Cover Sets"/>
    <n v="37.055999999999997"/>
    <n v="3"/>
    <n v="0.2"/>
    <n v="13.896000000000001"/>
    <x v="0"/>
    <x v="11"/>
    <n v="4.6320000000000006"/>
    <s v="Profit"/>
    <s v="Low"/>
  </r>
  <r>
    <n v="1986"/>
    <s v="US-2023-148383"/>
    <x v="301"/>
    <d v="2023-12-31T00:00:00"/>
    <s v="Standard Class"/>
    <s v="RP-19390"/>
    <s v="Resi Pölking"/>
    <x v="0"/>
    <s v="United States"/>
    <s v="Phoenix"/>
    <s v="Arizona"/>
    <n v="85023"/>
    <x v="3"/>
    <s v="OFF-BI-10003650"/>
    <x v="0"/>
    <x v="1"/>
    <s v="GBC DocuBind 300 Electric Binding Machine"/>
    <n v="946.76400000000024"/>
    <n v="6"/>
    <n v="0.7"/>
    <n v="-694.29359999999997"/>
    <x v="0"/>
    <x v="11"/>
    <n v="-115.71559999999999"/>
    <s v="Loss"/>
    <s v="High"/>
  </r>
  <r>
    <n v="1987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FA-10003485"/>
    <x v="0"/>
    <x v="6"/>
    <s v="Staples"/>
    <n v="7.86"/>
    <n v="3"/>
    <n v="0"/>
    <n v="3.6156000000000001"/>
    <x v="0"/>
    <x v="11"/>
    <n v="1.2052"/>
    <s v="Profit"/>
    <s v="No Discount"/>
  </r>
  <r>
    <n v="1988"/>
    <s v="US-2023-120243"/>
    <x v="301"/>
    <d v="2023-12-30T00:00:00"/>
    <s v="Second Class"/>
    <s v="AT-10435"/>
    <s v="Alyssa Tate"/>
    <x v="1"/>
    <s v="United States"/>
    <s v="Los Angeles"/>
    <s v="California"/>
    <n v="90004"/>
    <x v="3"/>
    <s v="OFF-LA-10004425"/>
    <x v="0"/>
    <x v="2"/>
    <s v="Staple-on labels"/>
    <n v="11.56"/>
    <n v="4"/>
    <n v="0"/>
    <n v="5.4332000000000003"/>
    <x v="0"/>
    <x v="11"/>
    <n v="1.3583000000000001"/>
    <s v="Profit"/>
    <s v="No Discount"/>
  </r>
  <r>
    <n v="1989"/>
    <s v="US-2023-153087"/>
    <x v="301"/>
    <d v="2024-01-03T00:00:00"/>
    <s v="Standard Class"/>
    <s v="TC-20980"/>
    <s v="Tamara Chand"/>
    <x v="2"/>
    <s v="United States"/>
    <s v="Decatur"/>
    <s v="Alabama"/>
    <n v="35601"/>
    <x v="2"/>
    <s v="OFF-PA-10001243"/>
    <x v="0"/>
    <x v="0"/>
    <s v="Xerox 1983"/>
    <n v="23.92"/>
    <n v="4"/>
    <n v="0"/>
    <n v="11.720800000000001"/>
    <x v="0"/>
    <x v="11"/>
    <n v="2.9302000000000001"/>
    <s v="Profit"/>
    <s v="No Discount"/>
  </r>
  <r>
    <n v="1990"/>
    <s v="US-2023-106334"/>
    <x v="301"/>
    <d v="2024-01-02T00:00:00"/>
    <s v="Standard Class"/>
    <s v="JF-15490"/>
    <s v="Jeremy Farry"/>
    <x v="0"/>
    <s v="United States"/>
    <s v="San Francisco"/>
    <s v="California"/>
    <n v="94122"/>
    <x v="3"/>
    <s v="OFF-PA-10003657"/>
    <x v="0"/>
    <x v="0"/>
    <s v="Xerox 1927"/>
    <n v="12.84"/>
    <n v="3"/>
    <n v="0"/>
    <n v="5.7779999999999987"/>
    <x v="0"/>
    <x v="11"/>
    <n v="1.9259999999999995"/>
    <s v="Profit"/>
    <s v="No Discount"/>
  </r>
  <r>
    <n v="1991"/>
    <s v="US-2023-162866"/>
    <x v="301"/>
    <d v="2023-12-31T00:00:00"/>
    <s v="Standard Class"/>
    <s v="Co-12640"/>
    <s v="Corey-Lock"/>
    <x v="0"/>
    <s v="United States"/>
    <s v="Skokie"/>
    <s v="Illinois"/>
    <n v="60076"/>
    <x v="0"/>
    <s v="OFF-ST-10002562"/>
    <x v="0"/>
    <x v="3"/>
    <s v="Staple magnet"/>
    <n v="30.016000000000005"/>
    <n v="4"/>
    <n v="0.2"/>
    <n v="3.0015999999999998"/>
    <x v="0"/>
    <x v="11"/>
    <n v="0.75039999999999996"/>
    <s v="Profit"/>
    <s v="Low"/>
  </r>
  <r>
    <n v="1992"/>
    <s v="US-2023-159611"/>
    <x v="301"/>
    <d v="2024-01-01T00:00:00"/>
    <s v="Second Class"/>
    <s v="KB-16315"/>
    <s v="Karl Braun"/>
    <x v="0"/>
    <s v="United States"/>
    <s v="Cleveland"/>
    <s v="Ohio"/>
    <n v="44105"/>
    <x v="1"/>
    <s v="OFF-ST-10002790"/>
    <x v="0"/>
    <x v="3"/>
    <s v="Safco Industrial Shelving"/>
    <n v="118.16"/>
    <n v="2"/>
    <n v="0.2"/>
    <n v="-25.108999999999988"/>
    <x v="0"/>
    <x v="11"/>
    <n v="-12.554499999999994"/>
    <s v="Loss"/>
    <s v="Low"/>
  </r>
  <r>
    <n v="1993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ST-10004507"/>
    <x v="0"/>
    <x v="3"/>
    <s v="Advantus Rolling Storage Box"/>
    <n v="51.449999999999996"/>
    <n v="3"/>
    <n v="0"/>
    <n v="13.891499999999999"/>
    <x v="0"/>
    <x v="11"/>
    <n v="4.6304999999999996"/>
    <s v="Profit"/>
    <s v="No Discount"/>
  </r>
  <r>
    <n v="1994"/>
    <s v="US-2023-153087"/>
    <x v="301"/>
    <d v="2024-01-03T00:00:00"/>
    <s v="Standard Class"/>
    <s v="TC-20980"/>
    <s v="Tamara Chand"/>
    <x v="2"/>
    <s v="United States"/>
    <s v="Decatur"/>
    <s v="Alabama"/>
    <n v="35601"/>
    <x v="2"/>
    <s v="TEC-AC-10003198"/>
    <x v="2"/>
    <x v="9"/>
    <s v="Enermax Acrylux Wireless Keyboard"/>
    <n v="498"/>
    <n v="5"/>
    <n v="0"/>
    <n v="184.26"/>
    <x v="0"/>
    <x v="11"/>
    <n v="36.851999999999997"/>
    <s v="Profit"/>
    <s v="No Discount"/>
  </r>
  <r>
    <n v="1995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AP-10002651"/>
    <x v="0"/>
    <x v="12"/>
    <s v="Hoover Upright Vacuum With Dirt Cup"/>
    <n v="1737.1799999999998"/>
    <n v="6"/>
    <n v="0"/>
    <n v="503.78219999999976"/>
    <x v="0"/>
    <x v="11"/>
    <n v="83.96369999999996"/>
    <s v="Profit"/>
    <s v="No Discount"/>
  </r>
  <r>
    <n v="1996"/>
    <s v="US-2023-164259"/>
    <x v="302"/>
    <d v="2023-12-30T00:00:00"/>
    <s v="First Class"/>
    <s v="SP-20860"/>
    <s v="Sung Pak"/>
    <x v="2"/>
    <s v="United States"/>
    <s v="Philadelphia"/>
    <s v="Pennsylvania"/>
    <n v="19143"/>
    <x v="1"/>
    <s v="OFF-AR-10003373"/>
    <x v="0"/>
    <x v="4"/>
    <s v="Boston School Pro Electric Pencil Sharpener, 1670"/>
    <n v="99.13600000000001"/>
    <n v="4"/>
    <n v="0.2"/>
    <n v="8.674399999999995"/>
    <x v="0"/>
    <x v="11"/>
    <n v="2.1685999999999988"/>
    <s v="Profit"/>
    <s v="Low"/>
  </r>
  <r>
    <n v="1997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PA-10003302"/>
    <x v="0"/>
    <x v="0"/>
    <s v="Xerox 1906"/>
    <n v="141.76"/>
    <n v="4"/>
    <n v="0"/>
    <n v="66.627199999999988"/>
    <x v="0"/>
    <x v="11"/>
    <n v="16.656799999999997"/>
    <s v="Profit"/>
    <s v="No Discount"/>
  </r>
  <r>
    <n v="1998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ST-10000689"/>
    <x v="0"/>
    <x v="3"/>
    <s v="Fellowes Strictly Business Drawer File, Letter/Legal Size"/>
    <n v="704.25"/>
    <n v="5"/>
    <n v="0"/>
    <n v="84.51"/>
    <x v="0"/>
    <x v="11"/>
    <n v="16.902000000000001"/>
    <s v="Profit"/>
    <s v="No Discount"/>
  </r>
  <r>
    <n v="1999"/>
    <s v="US-2023-143371"/>
    <x v="302"/>
    <d v="2024-01-03T00:00:00"/>
    <s v="Standard Class"/>
    <s v="MD-17350"/>
    <s v="Maribeth Dona"/>
    <x v="0"/>
    <s v="United States"/>
    <s v="Anaheim"/>
    <s v="California"/>
    <n v="92804"/>
    <x v="3"/>
    <s v="OFF-ST-10001128"/>
    <x v="0"/>
    <x v="3"/>
    <s v="Carina Mini System Audio Rack, Model AR050B"/>
    <n v="998.82"/>
    <n v="9"/>
    <n v="0"/>
    <n v="29.964600000000061"/>
    <x v="0"/>
    <x v="11"/>
    <n v="3.3294000000000068"/>
    <s v="Profit"/>
    <s v="No Discou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D4C8B-A9E8-48B8-AB37-C05557C8FB6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28">
    <pivotField showAll="0"/>
    <pivotField showAll="0"/>
    <pivotField numFmtId="14" showAll="0">
      <items count="3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C0B1C-11B5-4A8C-AC9F-13C3490BD20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28">
    <pivotField showAll="0"/>
    <pivotField showAll="0"/>
    <pivotField numFmtId="14" showAll="0">
      <items count="3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E42BE-F590-4C9F-BBE4-B11B7ADFB18A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40" firstHeaderRow="1" firstDataRow="1" firstDataCol="1"/>
  <pivotFields count="28">
    <pivotField showAll="0"/>
    <pivotField showAll="0"/>
    <pivotField axis="axisRow" numFmtId="14" showAll="0">
      <items count="3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22"/>
    <field x="21"/>
    <field x="27"/>
    <field x="26"/>
    <field x="2"/>
  </rowFields>
  <rowItems count="37">
    <i>
      <x/>
    </i>
    <i r="1">
      <x/>
    </i>
    <i r="2">
      <x v="1"/>
    </i>
    <i>
      <x v="1"/>
    </i>
    <i r="1">
      <x/>
    </i>
    <i r="2">
      <x v="2"/>
    </i>
    <i>
      <x v="2"/>
    </i>
    <i r="1">
      <x/>
    </i>
    <i r="2">
      <x v="3"/>
    </i>
    <i>
      <x v="3"/>
    </i>
    <i r="1">
      <x/>
    </i>
    <i r="2">
      <x v="4"/>
    </i>
    <i>
      <x v="4"/>
    </i>
    <i r="1">
      <x/>
    </i>
    <i r="2">
      <x v="5"/>
    </i>
    <i>
      <x v="5"/>
    </i>
    <i r="1">
      <x/>
    </i>
    <i r="2">
      <x v="6"/>
    </i>
    <i>
      <x v="6"/>
    </i>
    <i r="1">
      <x/>
    </i>
    <i r="2">
      <x v="7"/>
    </i>
    <i>
      <x v="7"/>
    </i>
    <i r="1">
      <x/>
    </i>
    <i r="2">
      <x v="8"/>
    </i>
    <i>
      <x v="8"/>
    </i>
    <i r="1">
      <x/>
    </i>
    <i r="2">
      <x v="9"/>
    </i>
    <i>
      <x v="9"/>
    </i>
    <i r="1">
      <x/>
    </i>
    <i r="2">
      <x v="10"/>
    </i>
    <i>
      <x v="10"/>
    </i>
    <i r="1">
      <x/>
    </i>
    <i r="2">
      <x v="11"/>
    </i>
    <i>
      <x v="11"/>
    </i>
    <i r="1">
      <x/>
    </i>
    <i r="2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97524-584A-44A6-939B-462896DCD4D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1" firstHeaderRow="0" firstDataRow="1" firstDataCol="1"/>
  <pivotFields count="28">
    <pivotField showAll="0"/>
    <pivotField showAll="0"/>
    <pivotField numFmtId="14" showAll="0">
      <items count="3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37C78-5F16-4B47-BD14-84D7D4A12CC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0" firstDataRow="1" firstDataCol="1"/>
  <pivotFields count="28">
    <pivotField showAll="0"/>
    <pivotField showAll="0"/>
    <pivotField numFmtId="14" showAll="0">
      <items count="3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Quantity" fld="1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A05DBC-AFEE-4C84-A6FB-F1A52558875F}" name="Table1" displayName="Table1" ref="A1:Z2000" totalsRowShown="0">
  <autoFilter ref="A1:Z2000" xr:uid="{38A05DBC-AFEE-4C84-A6FB-F1A52558875F}"/>
  <tableColumns count="26">
    <tableColumn id="1" xr3:uid="{48EC5A9F-184C-4090-BA53-3A4A7B22C747}" name="Row ID"/>
    <tableColumn id="2" xr3:uid="{C70F870B-5390-42FA-91BF-B2B942EF0ACF}" name="Order ID" dataDxfId="7"/>
    <tableColumn id="3" xr3:uid="{03C8B140-E24E-480B-BBF4-21B311F46F99}" name="Order Date" dataDxfId="6"/>
    <tableColumn id="4" xr3:uid="{AE266637-BC77-4678-9959-AD37AE8850D1}" name="Ship Date" dataDxfId="5"/>
    <tableColumn id="5" xr3:uid="{03ADD35C-DF09-4D16-A872-6093D92DF47E}" name="Ship Mode"/>
    <tableColumn id="6" xr3:uid="{544C2DE8-207E-46A4-893E-3474FFEEE290}" name="Customer ID"/>
    <tableColumn id="7" xr3:uid="{23482987-C993-490F-B141-09FF4B217618}" name="Customer Name"/>
    <tableColumn id="8" xr3:uid="{3C52C0EF-C85C-46E8-BBF9-897FF95DF74D}" name="Segment"/>
    <tableColumn id="9" xr3:uid="{D53F51CF-CA9A-4E0C-8982-983C1546EC26}" name="Country/Region"/>
    <tableColumn id="10" xr3:uid="{3BCEAA37-3F54-4FBC-A416-FCAE9D1476F4}" name="City"/>
    <tableColumn id="11" xr3:uid="{8DA701F1-938A-4ACF-9C30-3F8C4C4DC0BD}" name="State/Province"/>
    <tableColumn id="12" xr3:uid="{E1AC8B90-46C7-4ABD-87E0-C5E948B14DDD}" name="Postal Code"/>
    <tableColumn id="13" xr3:uid="{224D2DAE-AD6D-431D-A7F5-11E96AA1DEEA}" name="Region"/>
    <tableColumn id="14" xr3:uid="{1FDE98CD-AE9A-49BF-A7AF-0D51E6C80682}" name="Product ID"/>
    <tableColumn id="15" xr3:uid="{C623DC77-B6CA-4AD9-A8DF-C37B7472B6CA}" name="Category"/>
    <tableColumn id="16" xr3:uid="{5D0A29AD-0537-4EDB-B402-85A92E6BA8F6}" name="Sub-Category"/>
    <tableColumn id="17" xr3:uid="{D8FA14BF-539A-43E7-ADAD-3F9120A58A51}" name="Product Name"/>
    <tableColumn id="18" xr3:uid="{E4284D62-C10C-4CEA-B372-EE790D614A78}" name="Sales"/>
    <tableColumn id="19" xr3:uid="{3290C625-0475-4975-A06E-B807A6E41B31}" name="Quantity"/>
    <tableColumn id="20" xr3:uid="{93721E8F-19E1-410F-91FB-BBC66CEEE021}" name="Discount"/>
    <tableColumn id="21" xr3:uid="{6F5D1BA2-6E4F-4E4B-B7A8-C429FFD3F129}" name="Profit"/>
    <tableColumn id="22" xr3:uid="{1F7B753D-D86E-4F22-BA46-5EC52A4A0114}" name="order year" dataDxfId="4">
      <calculatedColumnFormula>YEAR(Table1[[#This Row],[Order Date]])</calculatedColumnFormula>
    </tableColumn>
    <tableColumn id="23" xr3:uid="{585F84DE-021D-44F7-AC0A-F4B67025EB6F}" name="order month" dataDxfId="3">
      <calculatedColumnFormula>TEXT(Table1[[#This Row],[Order Date]],"mmm")</calculatedColumnFormula>
    </tableColumn>
    <tableColumn id="24" xr3:uid="{D09E220F-090C-451F-8272-593A9308B3AC}" name="profit_margin" dataDxfId="2">
      <calculatedColumnFormula>IFERROR(U2/S2,0)</calculatedColumnFormula>
    </tableColumn>
    <tableColumn id="25" xr3:uid="{5B2A9BFF-7CAC-494E-9D6D-156331369042}" name="profit status" dataDxfId="1">
      <calculatedColumnFormula>IF(U2&gt;0,"Profit",IF(U2&lt;0,"Loss","Break-even"))</calculatedColumnFormula>
    </tableColumn>
    <tableColumn id="26" xr3:uid="{E636FFF1-70B1-4D5D-A23A-417D37547341}" name="discount level" dataDxfId="0">
      <calculatedColumnFormula>IF(T2=0,"No Discount",IF(T2&lt;=0.2,"Low",IF(T2&lt;=0.4,"Medium","High")))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02A7-A46E-4667-B402-EA5CFDE944F8}">
  <dimension ref="A3:C7"/>
  <sheetViews>
    <sheetView workbookViewId="0">
      <selection activeCell="C13" sqref="C13"/>
    </sheetView>
  </sheetViews>
  <sheetFormatPr defaultRowHeight="14.5" x14ac:dyDescent="0.35"/>
  <cols>
    <col min="1" max="1" width="13.1796875" bestFit="1" customWidth="1"/>
    <col min="2" max="3" width="11.81640625" bestFit="1" customWidth="1"/>
  </cols>
  <sheetData>
    <row r="3" spans="1:3" x14ac:dyDescent="0.35">
      <c r="A3" s="8" t="s">
        <v>4987</v>
      </c>
      <c r="B3" t="s">
        <v>4989</v>
      </c>
      <c r="C3" t="s">
        <v>4990</v>
      </c>
    </row>
    <row r="4" spans="1:3" x14ac:dyDescent="0.35">
      <c r="A4" s="9" t="s">
        <v>65</v>
      </c>
      <c r="B4" s="10">
        <v>158615.70509999996</v>
      </c>
      <c r="C4" s="10">
        <v>5561.5947000000033</v>
      </c>
    </row>
    <row r="5" spans="1:3" x14ac:dyDescent="0.35">
      <c r="A5" s="9" t="s">
        <v>31</v>
      </c>
      <c r="B5" s="10">
        <v>152263.54500000004</v>
      </c>
      <c r="C5" s="10">
        <v>23515.10559999997</v>
      </c>
    </row>
    <row r="6" spans="1:3" x14ac:dyDescent="0.35">
      <c r="A6" s="9" t="s">
        <v>96</v>
      </c>
      <c r="B6" s="10">
        <v>173243.47099999999</v>
      </c>
      <c r="C6" s="10">
        <v>21049.087799999998</v>
      </c>
    </row>
    <row r="7" spans="1:3" x14ac:dyDescent="0.35">
      <c r="A7" s="9" t="s">
        <v>4988</v>
      </c>
      <c r="B7" s="10">
        <v>484122.72109999997</v>
      </c>
      <c r="C7" s="10">
        <v>50125.788099999976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6D7E-0ADF-488D-840F-5A18A160FB0A}">
  <dimension ref="A3:C8"/>
  <sheetViews>
    <sheetView workbookViewId="0">
      <selection activeCell="C17" sqref="C17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3" x14ac:dyDescent="0.35">
      <c r="A3" s="8" t="s">
        <v>4987</v>
      </c>
      <c r="B3" t="s">
        <v>4989</v>
      </c>
      <c r="C3" t="s">
        <v>4990</v>
      </c>
    </row>
    <row r="4" spans="1:3" x14ac:dyDescent="0.35">
      <c r="A4" s="9" t="s">
        <v>29</v>
      </c>
      <c r="B4" s="10">
        <v>102899.86060000006</v>
      </c>
      <c r="C4" s="10">
        <v>428.42199999999298</v>
      </c>
    </row>
    <row r="5" spans="1:3" x14ac:dyDescent="0.35">
      <c r="A5" s="9" t="s">
        <v>54</v>
      </c>
      <c r="B5" s="10">
        <v>129410.51500000001</v>
      </c>
      <c r="C5" s="10">
        <v>17730.406899999998</v>
      </c>
    </row>
    <row r="6" spans="1:3" x14ac:dyDescent="0.35">
      <c r="A6" s="9" t="s">
        <v>63</v>
      </c>
      <c r="B6" s="10">
        <v>103806.71550000002</v>
      </c>
      <c r="C6" s="10">
        <v>11887.923799999999</v>
      </c>
    </row>
    <row r="7" spans="1:3" x14ac:dyDescent="0.35">
      <c r="A7" s="9" t="s">
        <v>92</v>
      </c>
      <c r="B7" s="10">
        <v>148005.62999999995</v>
      </c>
      <c r="C7" s="10">
        <v>20079.035399999975</v>
      </c>
    </row>
    <row r="8" spans="1:3" x14ac:dyDescent="0.35">
      <c r="A8" s="9" t="s">
        <v>4988</v>
      </c>
      <c r="B8" s="10">
        <v>484122.72110000002</v>
      </c>
      <c r="C8" s="10">
        <v>50125.788099999962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0992-7CE1-4E30-B523-A67AB4FA9DD8}">
  <dimension ref="A3:B40"/>
  <sheetViews>
    <sheetView workbookViewId="0">
      <selection activeCell="E19" sqref="E19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2" x14ac:dyDescent="0.35">
      <c r="A3" s="8" t="s">
        <v>4987</v>
      </c>
      <c r="B3" t="s">
        <v>4989</v>
      </c>
    </row>
    <row r="4" spans="1:2" x14ac:dyDescent="0.35">
      <c r="A4" s="9" t="s">
        <v>4991</v>
      </c>
      <c r="B4" s="10">
        <v>14518.054999999995</v>
      </c>
    </row>
    <row r="5" spans="1:2" x14ac:dyDescent="0.35">
      <c r="A5" s="11">
        <v>2023</v>
      </c>
      <c r="B5" s="10">
        <v>14518.054999999995</v>
      </c>
    </row>
    <row r="6" spans="1:2" x14ac:dyDescent="0.35">
      <c r="A6" s="12" t="s">
        <v>4991</v>
      </c>
      <c r="B6" s="10">
        <v>14518.054999999995</v>
      </c>
    </row>
    <row r="7" spans="1:2" x14ac:dyDescent="0.35">
      <c r="A7" s="9" t="s">
        <v>4992</v>
      </c>
      <c r="B7" s="10">
        <v>4519.8919999999989</v>
      </c>
    </row>
    <row r="8" spans="1:2" x14ac:dyDescent="0.35">
      <c r="A8" s="11">
        <v>2023</v>
      </c>
      <c r="B8" s="10">
        <v>4519.8919999999989</v>
      </c>
    </row>
    <row r="9" spans="1:2" x14ac:dyDescent="0.35">
      <c r="A9" s="12" t="s">
        <v>4992</v>
      </c>
      <c r="B9" s="10">
        <v>4519.8919999999989</v>
      </c>
    </row>
    <row r="10" spans="1:2" x14ac:dyDescent="0.35">
      <c r="A10" s="9" t="s">
        <v>4993</v>
      </c>
      <c r="B10" s="10">
        <v>56933.909</v>
      </c>
    </row>
    <row r="11" spans="1:2" x14ac:dyDescent="0.35">
      <c r="A11" s="11">
        <v>2023</v>
      </c>
      <c r="B11" s="10">
        <v>56933.909</v>
      </c>
    </row>
    <row r="12" spans="1:2" x14ac:dyDescent="0.35">
      <c r="A12" s="12" t="s">
        <v>4993</v>
      </c>
      <c r="B12" s="10">
        <v>56933.909</v>
      </c>
    </row>
    <row r="13" spans="1:2" x14ac:dyDescent="0.35">
      <c r="A13" s="9" t="s">
        <v>4994</v>
      </c>
      <c r="B13" s="10">
        <v>28295.344999999987</v>
      </c>
    </row>
    <row r="14" spans="1:2" x14ac:dyDescent="0.35">
      <c r="A14" s="11">
        <v>2023</v>
      </c>
      <c r="B14" s="10">
        <v>28295.344999999987</v>
      </c>
    </row>
    <row r="15" spans="1:2" x14ac:dyDescent="0.35">
      <c r="A15" s="12" t="s">
        <v>4994</v>
      </c>
      <c r="B15" s="10">
        <v>28295.344999999987</v>
      </c>
    </row>
    <row r="16" spans="1:2" x14ac:dyDescent="0.35">
      <c r="A16" s="9" t="s">
        <v>4995</v>
      </c>
      <c r="B16" s="10">
        <v>26319.766999999985</v>
      </c>
    </row>
    <row r="17" spans="1:2" x14ac:dyDescent="0.35">
      <c r="A17" s="11">
        <v>2023</v>
      </c>
      <c r="B17" s="10">
        <v>26319.766999999985</v>
      </c>
    </row>
    <row r="18" spans="1:2" x14ac:dyDescent="0.35">
      <c r="A18" s="12" t="s">
        <v>4995</v>
      </c>
      <c r="B18" s="10">
        <v>26319.766999999985</v>
      </c>
    </row>
    <row r="19" spans="1:2" x14ac:dyDescent="0.35">
      <c r="A19" s="9" t="s">
        <v>4996</v>
      </c>
      <c r="B19" s="10">
        <v>34669.479600000013</v>
      </c>
    </row>
    <row r="20" spans="1:2" x14ac:dyDescent="0.35">
      <c r="A20" s="11">
        <v>2023</v>
      </c>
      <c r="B20" s="10">
        <v>34669.479600000013</v>
      </c>
    </row>
    <row r="21" spans="1:2" x14ac:dyDescent="0.35">
      <c r="A21" s="12" t="s">
        <v>4996</v>
      </c>
      <c r="B21" s="10">
        <v>34669.479600000013</v>
      </c>
    </row>
    <row r="22" spans="1:2" x14ac:dyDescent="0.35">
      <c r="A22" s="9" t="s">
        <v>4997</v>
      </c>
      <c r="B22" s="10">
        <v>33946.392999999989</v>
      </c>
    </row>
    <row r="23" spans="1:2" x14ac:dyDescent="0.35">
      <c r="A23" s="11">
        <v>2023</v>
      </c>
      <c r="B23" s="10">
        <v>33946.392999999989</v>
      </c>
    </row>
    <row r="24" spans="1:2" x14ac:dyDescent="0.35">
      <c r="A24" s="12" t="s">
        <v>4997</v>
      </c>
      <c r="B24" s="10">
        <v>33946.392999999989</v>
      </c>
    </row>
    <row r="25" spans="1:2" x14ac:dyDescent="0.35">
      <c r="A25" s="9" t="s">
        <v>4998</v>
      </c>
      <c r="B25" s="10">
        <v>28918.338499999976</v>
      </c>
    </row>
    <row r="26" spans="1:2" x14ac:dyDescent="0.35">
      <c r="A26" s="11">
        <v>2023</v>
      </c>
      <c r="B26" s="10">
        <v>28918.338499999976</v>
      </c>
    </row>
    <row r="27" spans="1:2" x14ac:dyDescent="0.35">
      <c r="A27" s="12" t="s">
        <v>4998</v>
      </c>
      <c r="B27" s="10">
        <v>28918.338499999976</v>
      </c>
    </row>
    <row r="28" spans="1:2" x14ac:dyDescent="0.35">
      <c r="A28" s="9" t="s">
        <v>4999</v>
      </c>
      <c r="B28" s="10">
        <v>82670.428799999965</v>
      </c>
    </row>
    <row r="29" spans="1:2" x14ac:dyDescent="0.35">
      <c r="A29" s="11">
        <v>2023</v>
      </c>
      <c r="B29" s="10">
        <v>82670.428799999965</v>
      </c>
    </row>
    <row r="30" spans="1:2" x14ac:dyDescent="0.35">
      <c r="A30" s="12" t="s">
        <v>4999</v>
      </c>
      <c r="B30" s="10">
        <v>82670.428799999965</v>
      </c>
    </row>
    <row r="31" spans="1:2" x14ac:dyDescent="0.35">
      <c r="A31" s="9" t="s">
        <v>5000</v>
      </c>
      <c r="B31" s="10">
        <v>32413.339000000004</v>
      </c>
    </row>
    <row r="32" spans="1:2" x14ac:dyDescent="0.35">
      <c r="A32" s="11">
        <v>2023</v>
      </c>
      <c r="B32" s="10">
        <v>32413.339000000004</v>
      </c>
    </row>
    <row r="33" spans="1:2" x14ac:dyDescent="0.35">
      <c r="A33" s="12" t="s">
        <v>5000</v>
      </c>
      <c r="B33" s="10">
        <v>32413.339000000004</v>
      </c>
    </row>
    <row r="34" spans="1:2" x14ac:dyDescent="0.35">
      <c r="A34" s="9" t="s">
        <v>5001</v>
      </c>
      <c r="B34" s="10">
        <v>78826.95670000001</v>
      </c>
    </row>
    <row r="35" spans="1:2" x14ac:dyDescent="0.35">
      <c r="A35" s="11">
        <v>2023</v>
      </c>
      <c r="B35" s="10">
        <v>78826.95670000001</v>
      </c>
    </row>
    <row r="36" spans="1:2" x14ac:dyDescent="0.35">
      <c r="A36" s="12" t="s">
        <v>5001</v>
      </c>
      <c r="B36" s="10">
        <v>78826.95670000001</v>
      </c>
    </row>
    <row r="37" spans="1:2" x14ac:dyDescent="0.35">
      <c r="A37" s="9" t="s">
        <v>5002</v>
      </c>
      <c r="B37" s="10">
        <v>62090.817500000012</v>
      </c>
    </row>
    <row r="38" spans="1:2" x14ac:dyDescent="0.35">
      <c r="A38" s="11">
        <v>2023</v>
      </c>
      <c r="B38" s="10">
        <v>62090.817500000012</v>
      </c>
    </row>
    <row r="39" spans="1:2" x14ac:dyDescent="0.35">
      <c r="A39" s="12" t="s">
        <v>5002</v>
      </c>
      <c r="B39" s="10">
        <v>62090.817500000012</v>
      </c>
    </row>
    <row r="40" spans="1:2" x14ac:dyDescent="0.35">
      <c r="A40" s="9" t="s">
        <v>4988</v>
      </c>
      <c r="B40" s="10">
        <v>484122.72109999997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3D32-C8B1-4E70-98C6-42A34FE4C68F}">
  <dimension ref="A3:C21"/>
  <sheetViews>
    <sheetView workbookViewId="0">
      <selection activeCell="F21" sqref="F21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3" x14ac:dyDescent="0.35">
      <c r="A3" s="8" t="s">
        <v>4987</v>
      </c>
      <c r="B3" t="s">
        <v>4990</v>
      </c>
      <c r="C3" t="s">
        <v>4989</v>
      </c>
    </row>
    <row r="4" spans="1:3" x14ac:dyDescent="0.35">
      <c r="A4" s="9" t="s">
        <v>117</v>
      </c>
      <c r="B4" s="10">
        <v>5535.7886999999992</v>
      </c>
      <c r="C4" s="10">
        <v>22934.449999999997</v>
      </c>
    </row>
    <row r="5" spans="1:3" x14ac:dyDescent="0.35">
      <c r="A5" s="9" t="s">
        <v>205</v>
      </c>
      <c r="B5" s="10">
        <v>2528.7162999999991</v>
      </c>
      <c r="C5" s="10">
        <v>15517.924999999999</v>
      </c>
    </row>
    <row r="6" spans="1:3" x14ac:dyDescent="0.35">
      <c r="A6" s="9" t="s">
        <v>56</v>
      </c>
      <c r="B6" s="10">
        <v>1419.1905000000004</v>
      </c>
      <c r="C6" s="10">
        <v>6115.0059999999976</v>
      </c>
    </row>
    <row r="7" spans="1:3" x14ac:dyDescent="0.35">
      <c r="A7" s="9" t="s">
        <v>41</v>
      </c>
      <c r="B7" s="10">
        <v>5649.9867999999969</v>
      </c>
      <c r="C7" s="10">
        <v>43853.174000000006</v>
      </c>
    </row>
    <row r="8" spans="1:3" x14ac:dyDescent="0.35">
      <c r="A8" s="9" t="s">
        <v>140</v>
      </c>
      <c r="B8" s="10">
        <v>-621.5075000000005</v>
      </c>
      <c r="C8" s="10">
        <v>18121.229599999999</v>
      </c>
    </row>
    <row r="9" spans="1:3" x14ac:dyDescent="0.35">
      <c r="A9" s="9" t="s">
        <v>66</v>
      </c>
      <c r="B9" s="10">
        <v>6993.7566000000043</v>
      </c>
      <c r="C9" s="10">
        <v>79376.59600000002</v>
      </c>
    </row>
    <row r="10" spans="1:3" x14ac:dyDescent="0.35">
      <c r="A10" s="9" t="s">
        <v>1498</v>
      </c>
      <c r="B10" s="10">
        <v>3380.9332999999997</v>
      </c>
      <c r="C10" s="10">
        <v>12049.762000000001</v>
      </c>
    </row>
    <row r="11" spans="1:3" x14ac:dyDescent="0.35">
      <c r="A11" s="9" t="s">
        <v>166</v>
      </c>
      <c r="B11" s="10">
        <v>1472.8036999999995</v>
      </c>
      <c r="C11" s="10">
        <v>3793.1980000000003</v>
      </c>
    </row>
    <row r="12" spans="1:3" x14ac:dyDescent="0.35">
      <c r="A12" s="9" t="s">
        <v>82</v>
      </c>
      <c r="B12" s="10">
        <v>193.52829999999992</v>
      </c>
      <c r="C12" s="10">
        <v>693.50800000000004</v>
      </c>
    </row>
    <row r="13" spans="1:3" x14ac:dyDescent="0.35">
      <c r="A13" s="9" t="s">
        <v>106</v>
      </c>
      <c r="B13" s="10">
        <v>2207.6914999999995</v>
      </c>
      <c r="C13" s="10">
        <v>14626.098</v>
      </c>
    </row>
    <row r="14" spans="1:3" x14ac:dyDescent="0.35">
      <c r="A14" s="9" t="s">
        <v>44</v>
      </c>
      <c r="B14" s="10">
        <v>1106.5159999999996</v>
      </c>
      <c r="C14" s="10">
        <v>2458.9240000000004</v>
      </c>
    </row>
    <row r="15" spans="1:3" x14ac:dyDescent="0.35">
      <c r="A15" s="9" t="s">
        <v>754</v>
      </c>
      <c r="B15" s="10">
        <v>119.79689999999437</v>
      </c>
      <c r="C15" s="10">
        <v>61598.620999999999</v>
      </c>
    </row>
    <row r="16" spans="1:3" x14ac:dyDescent="0.35">
      <c r="A16" s="9" t="s">
        <v>32</v>
      </c>
      <c r="B16" s="10">
        <v>6480.0403999999962</v>
      </c>
      <c r="C16" s="10">
        <v>15090.018</v>
      </c>
    </row>
    <row r="17" spans="1:3" x14ac:dyDescent="0.35">
      <c r="A17" s="9" t="s">
        <v>97</v>
      </c>
      <c r="B17" s="10">
        <v>12012.568900000004</v>
      </c>
      <c r="C17" s="10">
        <v>76660.637999999992</v>
      </c>
    </row>
    <row r="18" spans="1:3" x14ac:dyDescent="0.35">
      <c r="A18" s="9" t="s">
        <v>47</v>
      </c>
      <c r="B18" s="10">
        <v>4180.8869999999988</v>
      </c>
      <c r="C18" s="10">
        <v>50373.161999999975</v>
      </c>
    </row>
    <row r="19" spans="1:3" x14ac:dyDescent="0.35">
      <c r="A19" s="9" t="s">
        <v>475</v>
      </c>
      <c r="B19" s="10">
        <v>483.43659999999971</v>
      </c>
      <c r="C19" s="10">
        <v>14368.629999999994</v>
      </c>
    </row>
    <row r="20" spans="1:3" x14ac:dyDescent="0.35">
      <c r="A20" s="9" t="s">
        <v>339</v>
      </c>
      <c r="B20" s="10">
        <v>-3018.3459000000007</v>
      </c>
      <c r="C20" s="10">
        <v>46491.781499999997</v>
      </c>
    </row>
    <row r="21" spans="1:3" x14ac:dyDescent="0.35">
      <c r="A21" s="9" t="s">
        <v>4988</v>
      </c>
      <c r="B21" s="10">
        <v>50125.788099999991</v>
      </c>
      <c r="C21" s="10">
        <v>484122.72109999991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2528-5AC8-4C38-82CA-62C360B51687}">
  <dimension ref="A3:D7"/>
  <sheetViews>
    <sheetView workbookViewId="0">
      <selection activeCell="D15" sqref="D15"/>
    </sheetView>
  </sheetViews>
  <sheetFormatPr defaultRowHeight="14.5" x14ac:dyDescent="0.35"/>
  <cols>
    <col min="1" max="1" width="12.36328125" bestFit="1" customWidth="1"/>
    <col min="2" max="3" width="11.81640625" bestFit="1" customWidth="1"/>
    <col min="4" max="4" width="14.54296875" bestFit="1" customWidth="1"/>
  </cols>
  <sheetData>
    <row r="3" spans="1:4" x14ac:dyDescent="0.35">
      <c r="A3" s="8" t="s">
        <v>4987</v>
      </c>
      <c r="B3" t="s">
        <v>4989</v>
      </c>
      <c r="C3" t="s">
        <v>4990</v>
      </c>
      <c r="D3" t="s">
        <v>5003</v>
      </c>
    </row>
    <row r="4" spans="1:4" x14ac:dyDescent="0.35">
      <c r="A4" s="9" t="s">
        <v>25</v>
      </c>
      <c r="B4" s="10">
        <v>267377.08860000013</v>
      </c>
      <c r="C4" s="10">
        <v>24897.317399999985</v>
      </c>
      <c r="D4" s="10">
        <v>4053</v>
      </c>
    </row>
    <row r="5" spans="1:4" x14ac:dyDescent="0.35">
      <c r="A5" s="9" t="s">
        <v>74</v>
      </c>
      <c r="B5" s="10">
        <v>125706.04870000001</v>
      </c>
      <c r="C5" s="10">
        <v>13818.903899999998</v>
      </c>
      <c r="D5" s="10">
        <v>2327</v>
      </c>
    </row>
    <row r="6" spans="1:4" x14ac:dyDescent="0.35">
      <c r="A6" s="9" t="s">
        <v>37</v>
      </c>
      <c r="B6" s="10">
        <v>91039.583800000008</v>
      </c>
      <c r="C6" s="10">
        <v>11409.566799999984</v>
      </c>
      <c r="D6" s="10">
        <v>1223</v>
      </c>
    </row>
    <row r="7" spans="1:4" x14ac:dyDescent="0.35">
      <c r="A7" s="9" t="s">
        <v>4988</v>
      </c>
      <c r="B7" s="10">
        <v>484122.7211000002</v>
      </c>
      <c r="C7" s="10">
        <v>50125.788099999969</v>
      </c>
      <c r="D7" s="10">
        <v>7603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C311-C8F3-463E-A684-0131E37BE01E}">
  <dimension ref="A1:Z2000"/>
  <sheetViews>
    <sheetView tabSelected="1" topLeftCell="A2" workbookViewId="0">
      <selection activeCell="G20" sqref="A2:Z2000"/>
    </sheetView>
  </sheetViews>
  <sheetFormatPr defaultRowHeight="14.5" x14ac:dyDescent="0.35"/>
  <cols>
    <col min="3" max="3" width="12.453125" bestFit="1" customWidth="1"/>
    <col min="4" max="4" width="11.08984375" bestFit="1" customWidth="1"/>
    <col min="5" max="5" width="13.08984375" bestFit="1" customWidth="1"/>
    <col min="23" max="23" width="14.453125" bestFit="1" customWidth="1"/>
    <col min="24" max="24" width="14.6328125" bestFit="1" customWidth="1"/>
    <col min="25" max="25" width="13.453125" bestFit="1" customWidth="1"/>
    <col min="26" max="26" width="14.5429687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4983</v>
      </c>
      <c r="W1" t="s">
        <v>4982</v>
      </c>
      <c r="X1" t="s">
        <v>4984</v>
      </c>
      <c r="Y1" t="s">
        <v>4985</v>
      </c>
      <c r="Z1" t="s">
        <v>4986</v>
      </c>
    </row>
    <row r="2" spans="1:26" x14ac:dyDescent="0.35">
      <c r="A2" s="1">
        <v>1</v>
      </c>
      <c r="B2" s="2" t="s">
        <v>21</v>
      </c>
      <c r="C2" s="3">
        <v>44929</v>
      </c>
      <c r="D2" s="3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</v>
      </c>
      <c r="T2" s="1">
        <v>0.2</v>
      </c>
      <c r="U2" s="1">
        <v>5.5511999999999979</v>
      </c>
      <c r="V2">
        <f>YEAR(Table1[[#This Row],[Order Date]])</f>
        <v>2023</v>
      </c>
      <c r="W2" t="str">
        <f>TEXT(Table1[[#This Row],[Order Date]],"mmm")</f>
        <v>Jan</v>
      </c>
      <c r="X2">
        <f t="shared" ref="X2:X65" si="0">IFERROR(U2/S2,0)</f>
        <v>2.775599999999999</v>
      </c>
      <c r="Y2" t="str">
        <f t="shared" ref="Y2:Y65" si="1">IF(U2&gt;0,"Profit",IF(U2&lt;0,"Loss","Break-even"))</f>
        <v>Profit</v>
      </c>
      <c r="Z2" t="str">
        <f t="shared" ref="Z2:Z65" si="2">IF(T2=0,"No Discount",IF(T2&lt;=0.2,"Low",IF(T2&lt;=0.4,"Medium","High")))</f>
        <v>Low</v>
      </c>
    </row>
    <row r="3" spans="1:26" x14ac:dyDescent="0.35">
      <c r="A3" s="1">
        <v>2</v>
      </c>
      <c r="B3" s="2" t="s">
        <v>34</v>
      </c>
      <c r="C3" s="3">
        <v>44930</v>
      </c>
      <c r="D3" s="3">
        <v>44934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3.5399999999999991</v>
      </c>
      <c r="S3" s="1">
        <v>2</v>
      </c>
      <c r="T3" s="1">
        <v>0.8</v>
      </c>
      <c r="U3" s="1">
        <v>-5.4870000000000001</v>
      </c>
      <c r="V3">
        <f>YEAR(Table1[[#This Row],[Order Date]])</f>
        <v>2023</v>
      </c>
      <c r="W3" t="str">
        <f>TEXT(Table1[[#This Row],[Order Date]],"mmm")</f>
        <v>Jan</v>
      </c>
      <c r="X3">
        <f t="shared" si="0"/>
        <v>-2.7435</v>
      </c>
      <c r="Y3" t="str">
        <f t="shared" si="1"/>
        <v>Loss</v>
      </c>
      <c r="Z3" t="str">
        <f t="shared" si="2"/>
        <v>High</v>
      </c>
    </row>
    <row r="4" spans="1:26" x14ac:dyDescent="0.35">
      <c r="A4" s="1">
        <v>3</v>
      </c>
      <c r="B4" s="2" t="s">
        <v>34</v>
      </c>
      <c r="C4" s="3">
        <v>44930</v>
      </c>
      <c r="D4" s="3">
        <v>44934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11.784000000000001</v>
      </c>
      <c r="S4" s="1">
        <v>3</v>
      </c>
      <c r="T4" s="1">
        <v>0.2</v>
      </c>
      <c r="U4" s="1">
        <v>4.2716999999999992</v>
      </c>
      <c r="V4">
        <f>YEAR(Table1[[#This Row],[Order Date]])</f>
        <v>2023</v>
      </c>
      <c r="W4" t="str">
        <f>TEXT(Table1[[#This Row],[Order Date]],"mmm")</f>
        <v>Jan</v>
      </c>
      <c r="X4">
        <f t="shared" si="0"/>
        <v>1.4238999999999997</v>
      </c>
      <c r="Y4" t="str">
        <f t="shared" si="1"/>
        <v>Profit</v>
      </c>
      <c r="Z4" t="str">
        <f t="shared" si="2"/>
        <v>Low</v>
      </c>
    </row>
    <row r="5" spans="1:26" x14ac:dyDescent="0.35">
      <c r="A5" s="1">
        <v>4</v>
      </c>
      <c r="B5" s="2" t="s">
        <v>34</v>
      </c>
      <c r="C5" s="3">
        <v>44930</v>
      </c>
      <c r="D5" s="3">
        <v>44934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272.73599999999999</v>
      </c>
      <c r="S5" s="1">
        <v>3</v>
      </c>
      <c r="T5" s="1">
        <v>0.2</v>
      </c>
      <c r="U5" s="1">
        <v>-64.774800000000013</v>
      </c>
      <c r="V5">
        <f>YEAR(Table1[[#This Row],[Order Date]])</f>
        <v>2023</v>
      </c>
      <c r="W5" t="str">
        <f>TEXT(Table1[[#This Row],[Order Date]],"mmm")</f>
        <v>Jan</v>
      </c>
      <c r="X5">
        <f t="shared" si="0"/>
        <v>-21.591600000000003</v>
      </c>
      <c r="Y5" t="str">
        <f t="shared" si="1"/>
        <v>Loss</v>
      </c>
      <c r="Z5" t="str">
        <f t="shared" si="2"/>
        <v>Low</v>
      </c>
    </row>
    <row r="6" spans="1:26" x14ac:dyDescent="0.35">
      <c r="A6" s="1">
        <v>5</v>
      </c>
      <c r="B6" s="2" t="s">
        <v>49</v>
      </c>
      <c r="C6" s="3">
        <v>44931</v>
      </c>
      <c r="D6" s="3">
        <v>44938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  <c r="V6">
        <f>YEAR(Table1[[#This Row],[Order Date]])</f>
        <v>2023</v>
      </c>
      <c r="W6" t="str">
        <f>TEXT(Table1[[#This Row],[Order Date]],"mmm")</f>
        <v>Jan</v>
      </c>
      <c r="X6">
        <f t="shared" si="0"/>
        <v>1.6280000000000001</v>
      </c>
      <c r="Y6" t="str">
        <f t="shared" si="1"/>
        <v>Profit</v>
      </c>
      <c r="Z6" t="str">
        <f t="shared" si="2"/>
        <v>Low</v>
      </c>
    </row>
    <row r="7" spans="1:26" x14ac:dyDescent="0.35">
      <c r="A7" s="1">
        <v>6</v>
      </c>
      <c r="B7" s="2" t="s">
        <v>58</v>
      </c>
      <c r="C7" s="3">
        <v>44932</v>
      </c>
      <c r="D7" s="3">
        <v>44936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2573.8200000000002</v>
      </c>
      <c r="S7" s="1">
        <v>9</v>
      </c>
      <c r="T7" s="1">
        <v>0</v>
      </c>
      <c r="U7" s="1">
        <v>746.40779999999972</v>
      </c>
      <c r="V7">
        <f>YEAR(Table1[[#This Row],[Order Date]])</f>
        <v>2023</v>
      </c>
      <c r="W7" t="str">
        <f>TEXT(Table1[[#This Row],[Order Date]],"mmm")</f>
        <v>Jan</v>
      </c>
      <c r="X7">
        <f t="shared" si="0"/>
        <v>82.934199999999976</v>
      </c>
      <c r="Y7" t="str">
        <f t="shared" si="1"/>
        <v>Profit</v>
      </c>
      <c r="Z7" t="str">
        <f t="shared" si="2"/>
        <v>No Discount</v>
      </c>
    </row>
    <row r="8" spans="1:26" x14ac:dyDescent="0.35">
      <c r="A8" s="1">
        <v>7</v>
      </c>
      <c r="B8" s="2" t="s">
        <v>58</v>
      </c>
      <c r="C8" s="3">
        <v>44932</v>
      </c>
      <c r="D8" s="3">
        <v>44936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</v>
      </c>
      <c r="T8" s="1">
        <v>0</v>
      </c>
      <c r="U8" s="1">
        <v>1.4796000000000005</v>
      </c>
      <c r="V8">
        <f>YEAR(Table1[[#This Row],[Order Date]])</f>
        <v>2023</v>
      </c>
      <c r="W8" t="str">
        <f>TEXT(Table1[[#This Row],[Order Date]],"mmm")</f>
        <v>Jan</v>
      </c>
      <c r="X8">
        <f t="shared" si="0"/>
        <v>0.73980000000000024</v>
      </c>
      <c r="Y8" t="str">
        <f t="shared" si="1"/>
        <v>Profit</v>
      </c>
      <c r="Z8" t="str">
        <f t="shared" si="2"/>
        <v>No Discount</v>
      </c>
    </row>
    <row r="9" spans="1:26" x14ac:dyDescent="0.35">
      <c r="A9" s="1">
        <v>8</v>
      </c>
      <c r="B9" s="2" t="s">
        <v>70</v>
      </c>
      <c r="C9" s="3">
        <v>44932</v>
      </c>
      <c r="D9" s="3">
        <v>44933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</v>
      </c>
      <c r="T9" s="1">
        <v>0</v>
      </c>
      <c r="U9" s="1">
        <v>5.2397999999999998</v>
      </c>
      <c r="V9">
        <f>YEAR(Table1[[#This Row],[Order Date]])</f>
        <v>2023</v>
      </c>
      <c r="W9" t="str">
        <f>TEXT(Table1[[#This Row],[Order Date]],"mmm")</f>
        <v>Jan</v>
      </c>
      <c r="X9">
        <f t="shared" si="0"/>
        <v>1.7465999999999999</v>
      </c>
      <c r="Y9" t="str">
        <f t="shared" si="1"/>
        <v>Profit</v>
      </c>
      <c r="Z9" t="str">
        <f t="shared" si="2"/>
        <v>No Discount</v>
      </c>
    </row>
    <row r="10" spans="1:26" x14ac:dyDescent="0.35">
      <c r="A10" s="1">
        <v>9</v>
      </c>
      <c r="B10" s="2" t="s">
        <v>58</v>
      </c>
      <c r="C10" s="3">
        <v>44932</v>
      </c>
      <c r="D10" s="3">
        <v>44936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</v>
      </c>
      <c r="T10" s="1">
        <v>0</v>
      </c>
      <c r="U10" s="1">
        <v>274.49099999999999</v>
      </c>
      <c r="V10">
        <f>YEAR(Table1[[#This Row],[Order Date]])</f>
        <v>2023</v>
      </c>
      <c r="W10" t="str">
        <f>TEXT(Table1[[#This Row],[Order Date]],"mmm")</f>
        <v>Jan</v>
      </c>
      <c r="X10">
        <f t="shared" si="0"/>
        <v>137.24549999999999</v>
      </c>
      <c r="Y10" t="str">
        <f t="shared" si="1"/>
        <v>Profit</v>
      </c>
      <c r="Z10" t="str">
        <f t="shared" si="2"/>
        <v>No Discount</v>
      </c>
    </row>
    <row r="11" spans="1:26" x14ac:dyDescent="0.35">
      <c r="A11" s="1">
        <v>10</v>
      </c>
      <c r="B11" s="2" t="s">
        <v>58</v>
      </c>
      <c r="C11" s="3">
        <v>44932</v>
      </c>
      <c r="D11" s="3">
        <v>44936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</v>
      </c>
      <c r="T11" s="1">
        <v>0</v>
      </c>
      <c r="U11" s="1">
        <v>0.31119999999999948</v>
      </c>
      <c r="V11">
        <f>YEAR(Table1[[#This Row],[Order Date]])</f>
        <v>2023</v>
      </c>
      <c r="W11" t="str">
        <f>TEXT(Table1[[#This Row],[Order Date]],"mmm")</f>
        <v>Jan</v>
      </c>
      <c r="X11">
        <f t="shared" si="0"/>
        <v>7.7799999999999869E-2</v>
      </c>
      <c r="Y11" t="str">
        <f t="shared" si="1"/>
        <v>Profit</v>
      </c>
      <c r="Z11" t="str">
        <f t="shared" si="2"/>
        <v>No Discount</v>
      </c>
    </row>
    <row r="12" spans="1:26" x14ac:dyDescent="0.35">
      <c r="A12" s="1">
        <v>11</v>
      </c>
      <c r="B12" s="2" t="s">
        <v>58</v>
      </c>
      <c r="C12" s="3">
        <v>44932</v>
      </c>
      <c r="D12" s="3">
        <v>44936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</v>
      </c>
      <c r="T12" s="1">
        <v>0</v>
      </c>
      <c r="U12" s="1">
        <v>3.0084</v>
      </c>
      <c r="V12">
        <f>YEAR(Table1[[#This Row],[Order Date]])</f>
        <v>2023</v>
      </c>
      <c r="W12" t="str">
        <f>TEXT(Table1[[#This Row],[Order Date]],"mmm")</f>
        <v>Jan</v>
      </c>
      <c r="X12">
        <f t="shared" si="0"/>
        <v>3.0084</v>
      </c>
      <c r="Y12" t="str">
        <f t="shared" si="1"/>
        <v>Profit</v>
      </c>
      <c r="Z12" t="str">
        <f t="shared" si="2"/>
        <v>No Discount</v>
      </c>
    </row>
    <row r="13" spans="1:26" x14ac:dyDescent="0.35">
      <c r="A13" s="1">
        <v>12</v>
      </c>
      <c r="B13" s="2" t="s">
        <v>86</v>
      </c>
      <c r="C13" s="3">
        <v>44932</v>
      </c>
      <c r="D13" s="3">
        <v>44934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  <c r="V13">
        <f>YEAR(Table1[[#This Row],[Order Date]])</f>
        <v>2023</v>
      </c>
      <c r="W13" t="str">
        <f>TEXT(Table1[[#This Row],[Order Date]],"mmm")</f>
        <v>Jan</v>
      </c>
      <c r="X13">
        <f t="shared" si="0"/>
        <v>3.1104000000000003</v>
      </c>
      <c r="Y13" t="str">
        <f t="shared" si="1"/>
        <v>Profit</v>
      </c>
      <c r="Z13" t="str">
        <f t="shared" si="2"/>
        <v>No Discount</v>
      </c>
    </row>
    <row r="14" spans="1:26" x14ac:dyDescent="0.35">
      <c r="A14" s="1">
        <v>13</v>
      </c>
      <c r="B14" s="2" t="s">
        <v>58</v>
      </c>
      <c r="C14" s="3">
        <v>44932</v>
      </c>
      <c r="D14" s="3">
        <v>44936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</v>
      </c>
      <c r="T14" s="1">
        <v>0</v>
      </c>
      <c r="U14" s="1">
        <v>204.10919999999999</v>
      </c>
      <c r="V14">
        <f>YEAR(Table1[[#This Row],[Order Date]])</f>
        <v>2023</v>
      </c>
      <c r="W14" t="str">
        <f>TEXT(Table1[[#This Row],[Order Date]],"mmm")</f>
        <v>Jan</v>
      </c>
      <c r="X14">
        <f t="shared" si="0"/>
        <v>51.027299999999997</v>
      </c>
      <c r="Y14" t="str">
        <f t="shared" si="1"/>
        <v>Profit</v>
      </c>
      <c r="Z14" t="str">
        <f t="shared" si="2"/>
        <v>No Discount</v>
      </c>
    </row>
    <row r="15" spans="1:26" x14ac:dyDescent="0.35">
      <c r="A15" s="1">
        <v>14</v>
      </c>
      <c r="B15" s="2" t="s">
        <v>58</v>
      </c>
      <c r="C15" s="3">
        <v>44932</v>
      </c>
      <c r="D15" s="3">
        <v>44936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</v>
      </c>
      <c r="T15" s="1">
        <v>0</v>
      </c>
      <c r="U15" s="1">
        <v>113.67419999999998</v>
      </c>
      <c r="V15">
        <f>YEAR(Table1[[#This Row],[Order Date]])</f>
        <v>2023</v>
      </c>
      <c r="W15" t="str">
        <f>TEXT(Table1[[#This Row],[Order Date]],"mmm")</f>
        <v>Jan</v>
      </c>
      <c r="X15">
        <f t="shared" si="0"/>
        <v>56.837099999999992</v>
      </c>
      <c r="Y15" t="str">
        <f t="shared" si="1"/>
        <v>Profit</v>
      </c>
      <c r="Z15" t="str">
        <f t="shared" si="2"/>
        <v>No Discount</v>
      </c>
    </row>
    <row r="16" spans="1:26" x14ac:dyDescent="0.35">
      <c r="A16" s="1">
        <v>15</v>
      </c>
      <c r="B16" s="2" t="s">
        <v>101</v>
      </c>
      <c r="C16" s="3">
        <v>44933</v>
      </c>
      <c r="D16" s="3">
        <v>44938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76.728000000000009</v>
      </c>
      <c r="S16" s="1">
        <v>3</v>
      </c>
      <c r="T16" s="1">
        <v>0.6</v>
      </c>
      <c r="U16" s="1">
        <v>-53.709599999999988</v>
      </c>
      <c r="V16">
        <f>YEAR(Table1[[#This Row],[Order Date]])</f>
        <v>2023</v>
      </c>
      <c r="W16" t="str">
        <f>TEXT(Table1[[#This Row],[Order Date]],"mmm")</f>
        <v>Jan</v>
      </c>
      <c r="X16">
        <f t="shared" si="0"/>
        <v>-17.903199999999995</v>
      </c>
      <c r="Y16" t="str">
        <f t="shared" si="1"/>
        <v>Loss</v>
      </c>
      <c r="Z16" t="str">
        <f t="shared" si="2"/>
        <v>High</v>
      </c>
    </row>
    <row r="17" spans="1:26" x14ac:dyDescent="0.35">
      <c r="A17" s="1">
        <v>16</v>
      </c>
      <c r="B17" s="2" t="s">
        <v>101</v>
      </c>
      <c r="C17" s="3">
        <v>44933</v>
      </c>
      <c r="D17" s="3">
        <v>44938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10.429999999999998</v>
      </c>
      <c r="S17" s="1">
        <v>7</v>
      </c>
      <c r="T17" s="1">
        <v>0.8</v>
      </c>
      <c r="U17" s="1">
        <v>-18.252500000000005</v>
      </c>
      <c r="V17">
        <f>YEAR(Table1[[#This Row],[Order Date]])</f>
        <v>2023</v>
      </c>
      <c r="W17" t="str">
        <f>TEXT(Table1[[#This Row],[Order Date]],"mmm")</f>
        <v>Jan</v>
      </c>
      <c r="X17">
        <f t="shared" si="0"/>
        <v>-2.6075000000000008</v>
      </c>
      <c r="Y17" t="str">
        <f t="shared" si="1"/>
        <v>Loss</v>
      </c>
      <c r="Z17" t="str">
        <f t="shared" si="2"/>
        <v>High</v>
      </c>
    </row>
    <row r="18" spans="1:26" x14ac:dyDescent="0.35">
      <c r="A18" s="1">
        <v>17</v>
      </c>
      <c r="B18" s="2" t="s">
        <v>110</v>
      </c>
      <c r="C18" s="3">
        <v>44935</v>
      </c>
      <c r="D18" s="3">
        <v>44939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9.3439999999999994</v>
      </c>
      <c r="S18" s="1">
        <v>2</v>
      </c>
      <c r="T18" s="1">
        <v>0.2</v>
      </c>
      <c r="U18" s="1">
        <v>1.1679999999999997</v>
      </c>
      <c r="V18">
        <f>YEAR(Table1[[#This Row],[Order Date]])</f>
        <v>2023</v>
      </c>
      <c r="W18" t="str">
        <f>TEXT(Table1[[#This Row],[Order Date]],"mmm")</f>
        <v>Jan</v>
      </c>
      <c r="X18">
        <f t="shared" si="0"/>
        <v>0.58399999999999985</v>
      </c>
      <c r="Y18" t="str">
        <f t="shared" si="1"/>
        <v>Profit</v>
      </c>
      <c r="Z18" t="str">
        <f t="shared" si="2"/>
        <v>Low</v>
      </c>
    </row>
    <row r="19" spans="1:26" x14ac:dyDescent="0.35">
      <c r="A19" s="1">
        <v>18</v>
      </c>
      <c r="B19" s="2" t="s">
        <v>110</v>
      </c>
      <c r="C19" s="3">
        <v>44935</v>
      </c>
      <c r="D19" s="3">
        <v>44939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31.200000000000003</v>
      </c>
      <c r="S19" s="1">
        <v>3</v>
      </c>
      <c r="T19" s="1">
        <v>0.2</v>
      </c>
      <c r="U19" s="1">
        <v>9.7499999999999964</v>
      </c>
      <c r="V19">
        <f>YEAR(Table1[[#This Row],[Order Date]])</f>
        <v>2023</v>
      </c>
      <c r="W19" t="str">
        <f>TEXT(Table1[[#This Row],[Order Date]],"mmm")</f>
        <v>Jan</v>
      </c>
      <c r="X19">
        <f t="shared" si="0"/>
        <v>3.2499999999999987</v>
      </c>
      <c r="Y19" t="str">
        <f t="shared" si="1"/>
        <v>Profit</v>
      </c>
      <c r="Z19" t="str">
        <f t="shared" si="2"/>
        <v>Low</v>
      </c>
    </row>
    <row r="20" spans="1:26" x14ac:dyDescent="0.35">
      <c r="A20" s="1">
        <v>19</v>
      </c>
      <c r="B20" s="2" t="s">
        <v>119</v>
      </c>
      <c r="C20" s="3">
        <v>44936</v>
      </c>
      <c r="D20" s="3">
        <v>44941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</v>
      </c>
      <c r="T20" s="1">
        <v>0</v>
      </c>
      <c r="U20" s="1">
        <v>21.295400000000001</v>
      </c>
      <c r="V20">
        <f>YEAR(Table1[[#This Row],[Order Date]])</f>
        <v>2023</v>
      </c>
      <c r="W20" t="str">
        <f>TEXT(Table1[[#This Row],[Order Date]],"mmm")</f>
        <v>Jan</v>
      </c>
      <c r="X20">
        <f t="shared" si="0"/>
        <v>21.295400000000001</v>
      </c>
      <c r="Y20" t="str">
        <f t="shared" si="1"/>
        <v>Profit</v>
      </c>
      <c r="Z20" t="str">
        <f t="shared" si="2"/>
        <v>No Discount</v>
      </c>
    </row>
    <row r="21" spans="1:26" x14ac:dyDescent="0.35">
      <c r="A21" s="1">
        <v>20</v>
      </c>
      <c r="B21" s="2" t="s">
        <v>119</v>
      </c>
      <c r="C21" s="3">
        <v>44936</v>
      </c>
      <c r="D21" s="3">
        <v>44941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</v>
      </c>
      <c r="T21" s="1">
        <v>0</v>
      </c>
      <c r="U21" s="1">
        <v>1.3583000000000001</v>
      </c>
      <c r="V21">
        <f>YEAR(Table1[[#This Row],[Order Date]])</f>
        <v>2023</v>
      </c>
      <c r="W21" t="str">
        <f>TEXT(Table1[[#This Row],[Order Date]],"mmm")</f>
        <v>Jan</v>
      </c>
      <c r="X21">
        <f t="shared" si="0"/>
        <v>1.3583000000000001</v>
      </c>
      <c r="Y21" t="str">
        <f t="shared" si="1"/>
        <v>Profit</v>
      </c>
      <c r="Z21" t="str">
        <f t="shared" si="2"/>
        <v>No Discount</v>
      </c>
    </row>
    <row r="22" spans="1:26" x14ac:dyDescent="0.35">
      <c r="A22" s="1">
        <v>21</v>
      </c>
      <c r="B22" s="2" t="s">
        <v>128</v>
      </c>
      <c r="C22" s="3">
        <v>44937</v>
      </c>
      <c r="D22" s="3">
        <v>44940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</v>
      </c>
      <c r="T22" s="1">
        <v>0</v>
      </c>
      <c r="U22" s="1">
        <v>3.0813999999999995</v>
      </c>
      <c r="V22">
        <f>YEAR(Table1[[#This Row],[Order Date]])</f>
        <v>2023</v>
      </c>
      <c r="W22" t="str">
        <f>TEXT(Table1[[#This Row],[Order Date]],"mmm")</f>
        <v>Jan</v>
      </c>
      <c r="X22">
        <f t="shared" si="0"/>
        <v>1.5406999999999997</v>
      </c>
      <c r="Y22" t="str">
        <f t="shared" si="1"/>
        <v>Profit</v>
      </c>
      <c r="Z22" t="str">
        <f t="shared" si="2"/>
        <v>No Discount</v>
      </c>
    </row>
    <row r="23" spans="1:26" x14ac:dyDescent="0.35">
      <c r="A23" s="1">
        <v>22</v>
      </c>
      <c r="B23" s="2" t="s">
        <v>135</v>
      </c>
      <c r="C23" s="3">
        <v>44939</v>
      </c>
      <c r="D23" s="3">
        <v>44944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333.99899999999997</v>
      </c>
      <c r="S23" s="1">
        <v>3</v>
      </c>
      <c r="T23" s="1">
        <v>0.15</v>
      </c>
      <c r="U23" s="1">
        <v>3.9294000000000082</v>
      </c>
      <c r="V23">
        <f>YEAR(Table1[[#This Row],[Order Date]])</f>
        <v>2023</v>
      </c>
      <c r="W23" t="str">
        <f>TEXT(Table1[[#This Row],[Order Date]],"mmm")</f>
        <v>Jan</v>
      </c>
      <c r="X23">
        <f t="shared" si="0"/>
        <v>1.3098000000000027</v>
      </c>
      <c r="Y23" t="str">
        <f t="shared" si="1"/>
        <v>Profit</v>
      </c>
      <c r="Z23" t="str">
        <f t="shared" si="2"/>
        <v>Low</v>
      </c>
    </row>
    <row r="24" spans="1:26" x14ac:dyDescent="0.35">
      <c r="A24" s="1">
        <v>23</v>
      </c>
      <c r="B24" s="2" t="s">
        <v>142</v>
      </c>
      <c r="C24" s="3">
        <v>44939</v>
      </c>
      <c r="D24" s="3">
        <v>44942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545.93999999999994</v>
      </c>
      <c r="S24" s="1">
        <v>6</v>
      </c>
      <c r="T24" s="1">
        <v>0</v>
      </c>
      <c r="U24" s="1">
        <v>87.350400000000036</v>
      </c>
      <c r="V24">
        <f>YEAR(Table1[[#This Row],[Order Date]])</f>
        <v>2023</v>
      </c>
      <c r="W24" t="str">
        <f>TEXT(Table1[[#This Row],[Order Date]],"mmm")</f>
        <v>Jan</v>
      </c>
      <c r="X24">
        <f t="shared" si="0"/>
        <v>14.558400000000006</v>
      </c>
      <c r="Y24" t="str">
        <f t="shared" si="1"/>
        <v>Profit</v>
      </c>
      <c r="Z24" t="str">
        <f t="shared" si="2"/>
        <v>No Discount</v>
      </c>
    </row>
    <row r="25" spans="1:26" x14ac:dyDescent="0.35">
      <c r="A25" s="1">
        <v>24</v>
      </c>
      <c r="B25" s="2" t="s">
        <v>135</v>
      </c>
      <c r="C25" s="3">
        <v>44939</v>
      </c>
      <c r="D25" s="3">
        <v>44944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19.899999999999999</v>
      </c>
      <c r="S25" s="1">
        <v>5</v>
      </c>
      <c r="T25" s="1">
        <v>0</v>
      </c>
      <c r="U25" s="1">
        <v>6.5669999999999984</v>
      </c>
      <c r="V25">
        <f>YEAR(Table1[[#This Row],[Order Date]])</f>
        <v>2023</v>
      </c>
      <c r="W25" t="str">
        <f>TEXT(Table1[[#This Row],[Order Date]],"mmm")</f>
        <v>Jan</v>
      </c>
      <c r="X25">
        <f t="shared" si="0"/>
        <v>1.3133999999999997</v>
      </c>
      <c r="Y25" t="str">
        <f t="shared" si="1"/>
        <v>Profit</v>
      </c>
      <c r="Z25" t="str">
        <f t="shared" si="2"/>
        <v>No Discount</v>
      </c>
    </row>
    <row r="26" spans="1:26" x14ac:dyDescent="0.35">
      <c r="A26" s="1">
        <v>25</v>
      </c>
      <c r="B26" s="2" t="s">
        <v>151</v>
      </c>
      <c r="C26" s="3">
        <v>44939</v>
      </c>
      <c r="D26" s="3">
        <v>44944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3.4380000000000006</v>
      </c>
      <c r="S26" s="1">
        <v>2</v>
      </c>
      <c r="T26" s="1">
        <v>0.7</v>
      </c>
      <c r="U26" s="1">
        <v>-2.5212000000000003</v>
      </c>
      <c r="V26">
        <f>YEAR(Table1[[#This Row],[Order Date]])</f>
        <v>2023</v>
      </c>
      <c r="W26" t="str">
        <f>TEXT(Table1[[#This Row],[Order Date]],"mmm")</f>
        <v>Jan</v>
      </c>
      <c r="X26">
        <f t="shared" si="0"/>
        <v>-1.2606000000000002</v>
      </c>
      <c r="Y26" t="str">
        <f t="shared" si="1"/>
        <v>Loss</v>
      </c>
      <c r="Z26" t="str">
        <f t="shared" si="2"/>
        <v>High</v>
      </c>
    </row>
    <row r="27" spans="1:26" x14ac:dyDescent="0.35">
      <c r="A27" s="1">
        <v>26</v>
      </c>
      <c r="B27" s="2" t="s">
        <v>158</v>
      </c>
      <c r="C27" s="3">
        <v>44939</v>
      </c>
      <c r="D27" s="3">
        <v>44941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</v>
      </c>
      <c r="T27" s="1">
        <v>0</v>
      </c>
      <c r="U27" s="1">
        <v>2.7071999999999994</v>
      </c>
      <c r="V27">
        <f>YEAR(Table1[[#This Row],[Order Date]])</f>
        <v>2023</v>
      </c>
      <c r="W27" t="str">
        <f>TEXT(Table1[[#This Row],[Order Date]],"mmm")</f>
        <v>Jan</v>
      </c>
      <c r="X27">
        <f t="shared" si="0"/>
        <v>0.90239999999999976</v>
      </c>
      <c r="Y27" t="str">
        <f t="shared" si="1"/>
        <v>Profit</v>
      </c>
      <c r="Z27" t="str">
        <f t="shared" si="2"/>
        <v>No Discount</v>
      </c>
    </row>
    <row r="28" spans="1:26" x14ac:dyDescent="0.35">
      <c r="A28" s="1">
        <v>27</v>
      </c>
      <c r="B28" s="2" t="s">
        <v>158</v>
      </c>
      <c r="C28" s="3">
        <v>44939</v>
      </c>
      <c r="D28" s="3">
        <v>44941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</v>
      </c>
      <c r="T28" s="1">
        <v>0</v>
      </c>
      <c r="U28" s="1">
        <v>25.47</v>
      </c>
      <c r="V28">
        <f>YEAR(Table1[[#This Row],[Order Date]])</f>
        <v>2023</v>
      </c>
      <c r="W28" t="str">
        <f>TEXT(Table1[[#This Row],[Order Date]],"mmm")</f>
        <v>Jan</v>
      </c>
      <c r="X28">
        <f t="shared" si="0"/>
        <v>8.49</v>
      </c>
      <c r="Y28" t="str">
        <f t="shared" si="1"/>
        <v>Profit</v>
      </c>
      <c r="Z28" t="str">
        <f t="shared" si="2"/>
        <v>No Discount</v>
      </c>
    </row>
    <row r="29" spans="1:26" x14ac:dyDescent="0.35">
      <c r="A29" s="1">
        <v>28</v>
      </c>
      <c r="B29" s="2" t="s">
        <v>158</v>
      </c>
      <c r="C29" s="3">
        <v>44939</v>
      </c>
      <c r="D29" s="3">
        <v>44941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</v>
      </c>
      <c r="T29" s="1">
        <v>0</v>
      </c>
      <c r="U29" s="1">
        <v>5.3391999999999991</v>
      </c>
      <c r="V29">
        <f>YEAR(Table1[[#This Row],[Order Date]])</f>
        <v>2023</v>
      </c>
      <c r="W29" t="str">
        <f>TEXT(Table1[[#This Row],[Order Date]],"mmm")</f>
        <v>Jan</v>
      </c>
      <c r="X29">
        <f t="shared" si="0"/>
        <v>2.6695999999999995</v>
      </c>
      <c r="Y29" t="str">
        <f t="shared" si="1"/>
        <v>Profit</v>
      </c>
      <c r="Z29" t="str">
        <f t="shared" si="2"/>
        <v>No Discount</v>
      </c>
    </row>
    <row r="30" spans="1:26" x14ac:dyDescent="0.35">
      <c r="A30" s="1">
        <v>29</v>
      </c>
      <c r="B30" s="2" t="s">
        <v>151</v>
      </c>
      <c r="C30" s="3">
        <v>44939</v>
      </c>
      <c r="D30" s="3">
        <v>44944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37.408000000000001</v>
      </c>
      <c r="S30" s="1">
        <v>7</v>
      </c>
      <c r="T30" s="1">
        <v>0.2</v>
      </c>
      <c r="U30" s="1">
        <v>13.0928</v>
      </c>
      <c r="V30">
        <f>YEAR(Table1[[#This Row],[Order Date]])</f>
        <v>2023</v>
      </c>
      <c r="W30" t="str">
        <f>TEXT(Table1[[#This Row],[Order Date]],"mmm")</f>
        <v>Jan</v>
      </c>
      <c r="X30">
        <f t="shared" si="0"/>
        <v>1.8704000000000001</v>
      </c>
      <c r="Y30" t="str">
        <f t="shared" si="1"/>
        <v>Profit</v>
      </c>
      <c r="Z30" t="str">
        <f t="shared" si="2"/>
        <v>Low</v>
      </c>
    </row>
    <row r="31" spans="1:26" x14ac:dyDescent="0.35">
      <c r="A31" s="1">
        <v>30</v>
      </c>
      <c r="B31" s="2" t="s">
        <v>158</v>
      </c>
      <c r="C31" s="3">
        <v>44939</v>
      </c>
      <c r="D31" s="3">
        <v>44941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572.58000000000004</v>
      </c>
      <c r="S31" s="1">
        <v>6</v>
      </c>
      <c r="T31" s="1">
        <v>0</v>
      </c>
      <c r="U31" s="1">
        <v>34.354799999999955</v>
      </c>
      <c r="V31">
        <f>YEAR(Table1[[#This Row],[Order Date]])</f>
        <v>2023</v>
      </c>
      <c r="W31" t="str">
        <f>TEXT(Table1[[#This Row],[Order Date]],"mmm")</f>
        <v>Jan</v>
      </c>
      <c r="X31">
        <f t="shared" si="0"/>
        <v>5.7257999999999925</v>
      </c>
      <c r="Y31" t="str">
        <f t="shared" si="1"/>
        <v>Profit</v>
      </c>
      <c r="Z31" t="str">
        <f t="shared" si="2"/>
        <v>No Discount</v>
      </c>
    </row>
    <row r="32" spans="1:26" x14ac:dyDescent="0.35">
      <c r="A32" s="1">
        <v>31</v>
      </c>
      <c r="B32" s="2" t="s">
        <v>135</v>
      </c>
      <c r="C32" s="3">
        <v>44939</v>
      </c>
      <c r="D32" s="3">
        <v>44944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1325.8500000000001</v>
      </c>
      <c r="S32" s="1">
        <v>5</v>
      </c>
      <c r="T32" s="1">
        <v>0</v>
      </c>
      <c r="U32" s="1">
        <v>238.65299999999991</v>
      </c>
      <c r="V32">
        <f>YEAR(Table1[[#This Row],[Order Date]])</f>
        <v>2023</v>
      </c>
      <c r="W32" t="str">
        <f>TEXT(Table1[[#This Row],[Order Date]],"mmm")</f>
        <v>Jan</v>
      </c>
      <c r="X32">
        <f t="shared" si="0"/>
        <v>47.730599999999981</v>
      </c>
      <c r="Y32" t="str">
        <f t="shared" si="1"/>
        <v>Profit</v>
      </c>
      <c r="Z32" t="str">
        <f t="shared" si="2"/>
        <v>No Discount</v>
      </c>
    </row>
    <row r="33" spans="1:26" x14ac:dyDescent="0.35">
      <c r="A33" s="1">
        <v>32</v>
      </c>
      <c r="B33" s="2" t="s">
        <v>158</v>
      </c>
      <c r="C33" s="3">
        <v>44939</v>
      </c>
      <c r="D33" s="3">
        <v>44941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</v>
      </c>
      <c r="T33" s="1">
        <v>0</v>
      </c>
      <c r="U33" s="1">
        <v>258.69600000000003</v>
      </c>
      <c r="V33">
        <f>YEAR(Table1[[#This Row],[Order Date]])</f>
        <v>2023</v>
      </c>
      <c r="W33" t="str">
        <f>TEXT(Table1[[#This Row],[Order Date]],"mmm")</f>
        <v>Jan</v>
      </c>
      <c r="X33">
        <f t="shared" si="0"/>
        <v>43.116000000000007</v>
      </c>
      <c r="Y33" t="str">
        <f t="shared" si="1"/>
        <v>Profit</v>
      </c>
      <c r="Z33" t="str">
        <f t="shared" si="2"/>
        <v>No Discount</v>
      </c>
    </row>
    <row r="34" spans="1:26" x14ac:dyDescent="0.35">
      <c r="A34" s="1">
        <v>33</v>
      </c>
      <c r="B34" s="2" t="s">
        <v>178</v>
      </c>
      <c r="C34" s="3">
        <v>44940</v>
      </c>
      <c r="D34" s="3">
        <v>44941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</v>
      </c>
      <c r="T34" s="1">
        <v>0.5</v>
      </c>
      <c r="U34" s="1">
        <v>-53.285600000000009</v>
      </c>
      <c r="V34">
        <f>YEAR(Table1[[#This Row],[Order Date]])</f>
        <v>2023</v>
      </c>
      <c r="W34" t="str">
        <f>TEXT(Table1[[#This Row],[Order Date]],"mmm")</f>
        <v>Jan</v>
      </c>
      <c r="X34">
        <f t="shared" si="0"/>
        <v>-13.321400000000002</v>
      </c>
      <c r="Y34" t="str">
        <f t="shared" si="1"/>
        <v>Loss</v>
      </c>
      <c r="Z34" t="str">
        <f t="shared" si="2"/>
        <v>High</v>
      </c>
    </row>
    <row r="35" spans="1:26" x14ac:dyDescent="0.35">
      <c r="A35" s="1">
        <v>34</v>
      </c>
      <c r="B35" s="2" t="s">
        <v>183</v>
      </c>
      <c r="C35" s="3">
        <v>44941</v>
      </c>
      <c r="D35" s="3">
        <v>44943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149.94999999999999</v>
      </c>
      <c r="S35" s="1">
        <v>5</v>
      </c>
      <c r="T35" s="1">
        <v>0</v>
      </c>
      <c r="U35" s="1">
        <v>65.978000000000009</v>
      </c>
      <c r="V35">
        <f>YEAR(Table1[[#This Row],[Order Date]])</f>
        <v>2023</v>
      </c>
      <c r="W35" t="str">
        <f>TEXT(Table1[[#This Row],[Order Date]],"mmm")</f>
        <v>Jan</v>
      </c>
      <c r="X35">
        <f t="shared" si="0"/>
        <v>13.195600000000002</v>
      </c>
      <c r="Y35" t="str">
        <f t="shared" si="1"/>
        <v>Profit</v>
      </c>
      <c r="Z35" t="str">
        <f t="shared" si="2"/>
        <v>No Discount</v>
      </c>
    </row>
    <row r="36" spans="1:26" x14ac:dyDescent="0.35">
      <c r="A36" s="1">
        <v>35</v>
      </c>
      <c r="B36" s="2" t="s">
        <v>189</v>
      </c>
      <c r="C36" s="3">
        <v>44942</v>
      </c>
      <c r="D36" s="3">
        <v>44944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127.10400000000001</v>
      </c>
      <c r="S36" s="1">
        <v>6</v>
      </c>
      <c r="T36" s="1">
        <v>0.2</v>
      </c>
      <c r="U36" s="1">
        <v>28.598399999999998</v>
      </c>
      <c r="V36">
        <f>YEAR(Table1[[#This Row],[Order Date]])</f>
        <v>2023</v>
      </c>
      <c r="W36" t="str">
        <f>TEXT(Table1[[#This Row],[Order Date]],"mmm")</f>
        <v>Jan</v>
      </c>
      <c r="X36">
        <f t="shared" si="0"/>
        <v>4.7664</v>
      </c>
      <c r="Y36" t="str">
        <f t="shared" si="1"/>
        <v>Profit</v>
      </c>
      <c r="Z36" t="str">
        <f t="shared" si="2"/>
        <v>Low</v>
      </c>
    </row>
    <row r="37" spans="1:26" x14ac:dyDescent="0.35">
      <c r="A37" s="1">
        <v>36</v>
      </c>
      <c r="B37" s="2" t="s">
        <v>189</v>
      </c>
      <c r="C37" s="3">
        <v>44942</v>
      </c>
      <c r="D37" s="3">
        <v>44944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18.588000000000005</v>
      </c>
      <c r="S37" s="1">
        <v>2</v>
      </c>
      <c r="T37" s="1">
        <v>0.7</v>
      </c>
      <c r="U37" s="1">
        <v>-13.6312</v>
      </c>
      <c r="V37">
        <f>YEAR(Table1[[#This Row],[Order Date]])</f>
        <v>2023</v>
      </c>
      <c r="W37" t="str">
        <f>TEXT(Table1[[#This Row],[Order Date]],"mmm")</f>
        <v>Jan</v>
      </c>
      <c r="X37">
        <f t="shared" si="0"/>
        <v>-6.8155999999999999</v>
      </c>
      <c r="Y37" t="str">
        <f t="shared" si="1"/>
        <v>Loss</v>
      </c>
      <c r="Z37" t="str">
        <f t="shared" si="2"/>
        <v>High</v>
      </c>
    </row>
    <row r="38" spans="1:26" x14ac:dyDescent="0.35">
      <c r="A38" s="1">
        <v>37</v>
      </c>
      <c r="B38" s="2" t="s">
        <v>189</v>
      </c>
      <c r="C38" s="3">
        <v>44942</v>
      </c>
      <c r="D38" s="3">
        <v>44944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30.072000000000003</v>
      </c>
      <c r="S38" s="1">
        <v>3</v>
      </c>
      <c r="T38" s="1">
        <v>0.2</v>
      </c>
      <c r="U38" s="1">
        <v>10.149299999999997</v>
      </c>
      <c r="V38">
        <f>YEAR(Table1[[#This Row],[Order Date]])</f>
        <v>2023</v>
      </c>
      <c r="W38" t="str">
        <f>TEXT(Table1[[#This Row],[Order Date]],"mmm")</f>
        <v>Jan</v>
      </c>
      <c r="X38">
        <f t="shared" si="0"/>
        <v>3.3830999999999989</v>
      </c>
      <c r="Y38" t="str">
        <f t="shared" si="1"/>
        <v>Profit</v>
      </c>
      <c r="Z38" t="str">
        <f t="shared" si="2"/>
        <v>Low</v>
      </c>
    </row>
    <row r="39" spans="1:26" x14ac:dyDescent="0.35">
      <c r="A39" s="1">
        <v>38</v>
      </c>
      <c r="B39" s="2" t="s">
        <v>189</v>
      </c>
      <c r="C39" s="3">
        <v>44942</v>
      </c>
      <c r="D39" s="3">
        <v>44944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124.19999999999999</v>
      </c>
      <c r="S39" s="1">
        <v>3</v>
      </c>
      <c r="T39" s="1">
        <v>0.4</v>
      </c>
      <c r="U39" s="1">
        <v>-31.050000000000011</v>
      </c>
      <c r="V39">
        <f>YEAR(Table1[[#This Row],[Order Date]])</f>
        <v>2023</v>
      </c>
      <c r="W39" t="str">
        <f>TEXT(Table1[[#This Row],[Order Date]],"mmm")</f>
        <v>Jan</v>
      </c>
      <c r="X39">
        <f t="shared" si="0"/>
        <v>-10.350000000000003</v>
      </c>
      <c r="Y39" t="str">
        <f t="shared" si="1"/>
        <v>Loss</v>
      </c>
      <c r="Z39" t="str">
        <f t="shared" si="2"/>
        <v>Medium</v>
      </c>
    </row>
    <row r="40" spans="1:26" x14ac:dyDescent="0.35">
      <c r="A40" s="1">
        <v>39</v>
      </c>
      <c r="B40" s="2" t="s">
        <v>200</v>
      </c>
      <c r="C40" s="3">
        <v>44944</v>
      </c>
      <c r="D40" s="3">
        <v>44947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64.864000000000004</v>
      </c>
      <c r="S40" s="1">
        <v>4</v>
      </c>
      <c r="T40" s="1">
        <v>0.2</v>
      </c>
      <c r="U40" s="1">
        <v>6.4864000000000033</v>
      </c>
      <c r="V40">
        <f>YEAR(Table1[[#This Row],[Order Date]])</f>
        <v>2023</v>
      </c>
      <c r="W40" t="str">
        <f>TEXT(Table1[[#This Row],[Order Date]],"mmm")</f>
        <v>Jan</v>
      </c>
      <c r="X40">
        <f t="shared" si="0"/>
        <v>1.6216000000000008</v>
      </c>
      <c r="Y40" t="str">
        <f t="shared" si="1"/>
        <v>Profit</v>
      </c>
      <c r="Z40" t="str">
        <f t="shared" si="2"/>
        <v>Low</v>
      </c>
    </row>
    <row r="41" spans="1:26" x14ac:dyDescent="0.35">
      <c r="A41" s="1">
        <v>40</v>
      </c>
      <c r="B41" s="2" t="s">
        <v>207</v>
      </c>
      <c r="C41" s="3">
        <v>44945</v>
      </c>
      <c r="D41" s="3">
        <v>44946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181.47000000000003</v>
      </c>
      <c r="S41" s="1">
        <v>5</v>
      </c>
      <c r="T41" s="1">
        <v>0.7</v>
      </c>
      <c r="U41" s="1">
        <v>-320.59699999999998</v>
      </c>
      <c r="V41">
        <f>YEAR(Table1[[#This Row],[Order Date]])</f>
        <v>2023</v>
      </c>
      <c r="W41" t="str">
        <f>TEXT(Table1[[#This Row],[Order Date]],"mmm")</f>
        <v>Jan</v>
      </c>
      <c r="X41">
        <f t="shared" si="0"/>
        <v>-64.119399999999999</v>
      </c>
      <c r="Y41" t="str">
        <f t="shared" si="1"/>
        <v>Loss</v>
      </c>
      <c r="Z41" t="str">
        <f t="shared" si="2"/>
        <v>High</v>
      </c>
    </row>
    <row r="42" spans="1:26" x14ac:dyDescent="0.35">
      <c r="A42" s="1">
        <v>41</v>
      </c>
      <c r="B42" s="2" t="s">
        <v>207</v>
      </c>
      <c r="C42" s="3">
        <v>44945</v>
      </c>
      <c r="D42" s="3">
        <v>44946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  <c r="V42">
        <f>YEAR(Table1[[#This Row],[Order Date]])</f>
        <v>2023</v>
      </c>
      <c r="W42" t="str">
        <f>TEXT(Table1[[#This Row],[Order Date]],"mmm")</f>
        <v>Jan</v>
      </c>
      <c r="X42">
        <f t="shared" si="0"/>
        <v>-2.3715999999999999</v>
      </c>
      <c r="Y42" t="str">
        <f t="shared" si="1"/>
        <v>Loss</v>
      </c>
      <c r="Z42" t="str">
        <f t="shared" si="2"/>
        <v>High</v>
      </c>
    </row>
    <row r="43" spans="1:26" x14ac:dyDescent="0.35">
      <c r="A43" s="1">
        <v>42</v>
      </c>
      <c r="B43" s="2" t="s">
        <v>207</v>
      </c>
      <c r="C43" s="3">
        <v>44945</v>
      </c>
      <c r="D43" s="3">
        <v>44946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</v>
      </c>
      <c r="T43" s="1">
        <v>0.2</v>
      </c>
      <c r="U43" s="1">
        <v>36.692999999999998</v>
      </c>
      <c r="V43">
        <f>YEAR(Table1[[#This Row],[Order Date]])</f>
        <v>2023</v>
      </c>
      <c r="W43" t="str">
        <f>TEXT(Table1[[#This Row],[Order Date]],"mmm")</f>
        <v>Jan</v>
      </c>
      <c r="X43">
        <f t="shared" si="0"/>
        <v>7.3385999999999996</v>
      </c>
      <c r="Y43" t="str">
        <f t="shared" si="1"/>
        <v>Profit</v>
      </c>
      <c r="Z43" t="str">
        <f t="shared" si="2"/>
        <v>Low</v>
      </c>
    </row>
    <row r="44" spans="1:26" x14ac:dyDescent="0.35">
      <c r="A44" s="1">
        <v>43</v>
      </c>
      <c r="B44" s="2" t="s">
        <v>207</v>
      </c>
      <c r="C44" s="3">
        <v>44945</v>
      </c>
      <c r="D44" s="3">
        <v>44946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</v>
      </c>
      <c r="T44" s="1">
        <v>0.2</v>
      </c>
      <c r="U44" s="1">
        <v>19.622399999999999</v>
      </c>
      <c r="V44">
        <f>YEAR(Table1[[#This Row],[Order Date]])</f>
        <v>2023</v>
      </c>
      <c r="W44" t="str">
        <f>TEXT(Table1[[#This Row],[Order Date]],"mmm")</f>
        <v>Jan</v>
      </c>
      <c r="X44">
        <f t="shared" si="0"/>
        <v>4.9055999999999997</v>
      </c>
      <c r="Y44" t="str">
        <f t="shared" si="1"/>
        <v>Profit</v>
      </c>
      <c r="Z44" t="str">
        <f t="shared" si="2"/>
        <v>Low</v>
      </c>
    </row>
    <row r="45" spans="1:26" x14ac:dyDescent="0.35">
      <c r="A45" s="1">
        <v>44</v>
      </c>
      <c r="B45" s="2" t="s">
        <v>220</v>
      </c>
      <c r="C45" s="3">
        <v>44946</v>
      </c>
      <c r="D45" s="3">
        <v>44952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</v>
      </c>
      <c r="T45" s="1">
        <v>0</v>
      </c>
      <c r="U45" s="1">
        <v>224.2673999999999</v>
      </c>
      <c r="V45">
        <f>YEAR(Table1[[#This Row],[Order Date]])</f>
        <v>2023</v>
      </c>
      <c r="W45" t="str">
        <f>TEXT(Table1[[#This Row],[Order Date]],"mmm")</f>
        <v>Jan</v>
      </c>
      <c r="X45">
        <f t="shared" si="0"/>
        <v>74.755799999999965</v>
      </c>
      <c r="Y45" t="str">
        <f t="shared" si="1"/>
        <v>Profit</v>
      </c>
      <c r="Z45" t="str">
        <f t="shared" si="2"/>
        <v>No Discount</v>
      </c>
    </row>
    <row r="46" spans="1:26" x14ac:dyDescent="0.35">
      <c r="A46" s="1">
        <v>45</v>
      </c>
      <c r="B46" s="2" t="s">
        <v>227</v>
      </c>
      <c r="C46" s="3">
        <v>44946</v>
      </c>
      <c r="D46" s="3">
        <v>44952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</v>
      </c>
      <c r="T46" s="1">
        <v>0</v>
      </c>
      <c r="U46" s="1">
        <v>4.8608999999999991</v>
      </c>
      <c r="V46">
        <f>YEAR(Table1[[#This Row],[Order Date]])</f>
        <v>2023</v>
      </c>
      <c r="W46" t="str">
        <f>TEXT(Table1[[#This Row],[Order Date]],"mmm")</f>
        <v>Jan</v>
      </c>
      <c r="X46">
        <f t="shared" si="0"/>
        <v>1.6202999999999996</v>
      </c>
      <c r="Y46" t="str">
        <f t="shared" si="1"/>
        <v>Profit</v>
      </c>
      <c r="Z46" t="str">
        <f t="shared" si="2"/>
        <v>No Discount</v>
      </c>
    </row>
    <row r="47" spans="1:26" x14ac:dyDescent="0.35">
      <c r="A47" s="1">
        <v>46</v>
      </c>
      <c r="B47" s="2" t="s">
        <v>227</v>
      </c>
      <c r="C47" s="3">
        <v>44946</v>
      </c>
      <c r="D47" s="3">
        <v>44952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</v>
      </c>
      <c r="T47" s="1">
        <v>0</v>
      </c>
      <c r="U47" s="1">
        <v>30.023400000000009</v>
      </c>
      <c r="V47">
        <f>YEAR(Table1[[#This Row],[Order Date]])</f>
        <v>2023</v>
      </c>
      <c r="W47" t="str">
        <f>TEXT(Table1[[#This Row],[Order Date]],"mmm")</f>
        <v>Jan</v>
      </c>
      <c r="X47">
        <f t="shared" si="0"/>
        <v>10.007800000000003</v>
      </c>
      <c r="Y47" t="str">
        <f t="shared" si="1"/>
        <v>Profit</v>
      </c>
      <c r="Z47" t="str">
        <f t="shared" si="2"/>
        <v>No Discount</v>
      </c>
    </row>
    <row r="48" spans="1:26" x14ac:dyDescent="0.35">
      <c r="A48" s="1">
        <v>47</v>
      </c>
      <c r="B48" s="2" t="s">
        <v>220</v>
      </c>
      <c r="C48" s="3">
        <v>44946</v>
      </c>
      <c r="D48" s="3">
        <v>44952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</v>
      </c>
      <c r="T48" s="1">
        <v>0</v>
      </c>
      <c r="U48" s="1">
        <v>11.579999999999998</v>
      </c>
      <c r="V48">
        <f>YEAR(Table1[[#This Row],[Order Date]])</f>
        <v>2023</v>
      </c>
      <c r="W48" t="str">
        <f>TEXT(Table1[[#This Row],[Order Date]],"mmm")</f>
        <v>Jan</v>
      </c>
      <c r="X48">
        <f t="shared" si="0"/>
        <v>2.8949999999999996</v>
      </c>
      <c r="Y48" t="str">
        <f t="shared" si="1"/>
        <v>Profit</v>
      </c>
      <c r="Z48" t="str">
        <f t="shared" si="2"/>
        <v>No Discount</v>
      </c>
    </row>
    <row r="49" spans="1:26" x14ac:dyDescent="0.35">
      <c r="A49" s="1">
        <v>48</v>
      </c>
      <c r="B49" s="2" t="s">
        <v>238</v>
      </c>
      <c r="C49" s="3">
        <v>44946</v>
      </c>
      <c r="D49" s="3">
        <v>44951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</v>
      </c>
      <c r="T49" s="1">
        <v>0</v>
      </c>
      <c r="U49" s="1">
        <v>5.7899999999999991</v>
      </c>
      <c r="V49">
        <f>YEAR(Table1[[#This Row],[Order Date]])</f>
        <v>2023</v>
      </c>
      <c r="W49" t="str">
        <f>TEXT(Table1[[#This Row],[Order Date]],"mmm")</f>
        <v>Jan</v>
      </c>
      <c r="X49">
        <f t="shared" si="0"/>
        <v>2.8949999999999996</v>
      </c>
      <c r="Y49" t="str">
        <f t="shared" si="1"/>
        <v>Profit</v>
      </c>
      <c r="Z49" t="str">
        <f t="shared" si="2"/>
        <v>No Discount</v>
      </c>
    </row>
    <row r="50" spans="1:26" x14ac:dyDescent="0.35">
      <c r="A50" s="1">
        <v>49</v>
      </c>
      <c r="B50" s="2" t="s">
        <v>227</v>
      </c>
      <c r="C50" s="3">
        <v>44946</v>
      </c>
      <c r="D50" s="3">
        <v>44952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247.71600000000001</v>
      </c>
      <c r="S50" s="1">
        <v>4</v>
      </c>
      <c r="T50" s="1">
        <v>0.1</v>
      </c>
      <c r="U50" s="1">
        <v>93.581600000000009</v>
      </c>
      <c r="V50">
        <f>YEAR(Table1[[#This Row],[Order Date]])</f>
        <v>2023</v>
      </c>
      <c r="W50" t="str">
        <f>TEXT(Table1[[#This Row],[Order Date]],"mmm")</f>
        <v>Jan</v>
      </c>
      <c r="X50">
        <f t="shared" si="0"/>
        <v>23.395400000000002</v>
      </c>
      <c r="Y50" t="str">
        <f t="shared" si="1"/>
        <v>Profit</v>
      </c>
      <c r="Z50" t="str">
        <f t="shared" si="2"/>
        <v>Low</v>
      </c>
    </row>
    <row r="51" spans="1:26" x14ac:dyDescent="0.35">
      <c r="A51" s="1">
        <v>50</v>
      </c>
      <c r="B51" s="2" t="s">
        <v>220</v>
      </c>
      <c r="C51" s="3">
        <v>44946</v>
      </c>
      <c r="D51" s="3">
        <v>44952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22.959999999999997</v>
      </c>
      <c r="S51" s="1">
        <v>7</v>
      </c>
      <c r="T51" s="1">
        <v>0</v>
      </c>
      <c r="U51" s="1">
        <v>6.6583999999999968</v>
      </c>
      <c r="V51">
        <f>YEAR(Table1[[#This Row],[Order Date]])</f>
        <v>2023</v>
      </c>
      <c r="W51" t="str">
        <f>TEXT(Table1[[#This Row],[Order Date]],"mmm")</f>
        <v>Jan</v>
      </c>
      <c r="X51">
        <f t="shared" si="0"/>
        <v>0.95119999999999949</v>
      </c>
      <c r="Y51" t="str">
        <f t="shared" si="1"/>
        <v>Profit</v>
      </c>
      <c r="Z51" t="str">
        <f t="shared" si="2"/>
        <v>No Discount</v>
      </c>
    </row>
    <row r="52" spans="1:26" x14ac:dyDescent="0.35">
      <c r="A52" s="1">
        <v>51</v>
      </c>
      <c r="B52" s="2" t="s">
        <v>220</v>
      </c>
      <c r="C52" s="3">
        <v>44946</v>
      </c>
      <c r="D52" s="3">
        <v>44952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</v>
      </c>
      <c r="T52" s="1">
        <v>0</v>
      </c>
      <c r="U52" s="1">
        <v>1.7901</v>
      </c>
      <c r="V52">
        <f>YEAR(Table1[[#This Row],[Order Date]])</f>
        <v>2023</v>
      </c>
      <c r="W52" t="str">
        <f>TEXT(Table1[[#This Row],[Order Date]],"mmm")</f>
        <v>Jan</v>
      </c>
      <c r="X52">
        <f t="shared" si="0"/>
        <v>0.59670000000000001</v>
      </c>
      <c r="Y52" t="str">
        <f t="shared" si="1"/>
        <v>Profit</v>
      </c>
      <c r="Z52" t="str">
        <f t="shared" si="2"/>
        <v>No Discount</v>
      </c>
    </row>
    <row r="53" spans="1:26" x14ac:dyDescent="0.35">
      <c r="A53" s="1">
        <v>52</v>
      </c>
      <c r="B53" s="2" t="s">
        <v>227</v>
      </c>
      <c r="C53" s="3">
        <v>44946</v>
      </c>
      <c r="D53" s="3">
        <v>44952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</v>
      </c>
      <c r="T53" s="1">
        <v>0</v>
      </c>
      <c r="U53" s="1">
        <v>12.736799999999999</v>
      </c>
      <c r="V53">
        <f>YEAR(Table1[[#This Row],[Order Date]])</f>
        <v>2023</v>
      </c>
      <c r="W53" t="str">
        <f>TEXT(Table1[[#This Row],[Order Date]],"mmm")</f>
        <v>Jan</v>
      </c>
      <c r="X53">
        <f t="shared" si="0"/>
        <v>4.2455999999999996</v>
      </c>
      <c r="Y53" t="str">
        <f t="shared" si="1"/>
        <v>Profit</v>
      </c>
      <c r="Z53" t="str">
        <f t="shared" si="2"/>
        <v>No Discount</v>
      </c>
    </row>
    <row r="54" spans="1:26" x14ac:dyDescent="0.35">
      <c r="A54" s="1">
        <v>53</v>
      </c>
      <c r="B54" s="2" t="s">
        <v>227</v>
      </c>
      <c r="C54" s="3">
        <v>44946</v>
      </c>
      <c r="D54" s="3">
        <v>44952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</v>
      </c>
      <c r="T54" s="1">
        <v>0</v>
      </c>
      <c r="U54" s="1">
        <v>8.9534999999999982</v>
      </c>
      <c r="V54">
        <f>YEAR(Table1[[#This Row],[Order Date]])</f>
        <v>2023</v>
      </c>
      <c r="W54" t="str">
        <f>TEXT(Table1[[#This Row],[Order Date]],"mmm")</f>
        <v>Jan</v>
      </c>
      <c r="X54">
        <f t="shared" si="0"/>
        <v>1.7906999999999997</v>
      </c>
      <c r="Y54" t="str">
        <f t="shared" si="1"/>
        <v>Profit</v>
      </c>
      <c r="Z54" t="str">
        <f t="shared" si="2"/>
        <v>No Discount</v>
      </c>
    </row>
    <row r="55" spans="1:26" x14ac:dyDescent="0.35">
      <c r="A55" s="1">
        <v>54</v>
      </c>
      <c r="B55" s="2" t="s">
        <v>251</v>
      </c>
      <c r="C55" s="3">
        <v>44946</v>
      </c>
      <c r="D55" s="3">
        <v>44952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67.194000000000003</v>
      </c>
      <c r="S55" s="1">
        <v>1</v>
      </c>
      <c r="T55" s="1">
        <v>0.7</v>
      </c>
      <c r="U55" s="1">
        <v>-51.515399999999985</v>
      </c>
      <c r="V55">
        <f>YEAR(Table1[[#This Row],[Order Date]])</f>
        <v>2023</v>
      </c>
      <c r="W55" t="str">
        <f>TEXT(Table1[[#This Row],[Order Date]],"mmm")</f>
        <v>Jan</v>
      </c>
      <c r="X55">
        <f t="shared" si="0"/>
        <v>-51.515399999999985</v>
      </c>
      <c r="Y55" t="str">
        <f t="shared" si="1"/>
        <v>Loss</v>
      </c>
      <c r="Z55" t="str">
        <f t="shared" si="2"/>
        <v>High</v>
      </c>
    </row>
    <row r="56" spans="1:26" x14ac:dyDescent="0.35">
      <c r="A56" s="1">
        <v>55</v>
      </c>
      <c r="B56" s="2" t="s">
        <v>227</v>
      </c>
      <c r="C56" s="3">
        <v>44946</v>
      </c>
      <c r="D56" s="3">
        <v>44952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29.700000000000003</v>
      </c>
      <c r="S56" s="1">
        <v>5</v>
      </c>
      <c r="T56" s="1">
        <v>0</v>
      </c>
      <c r="U56" s="1">
        <v>13.365</v>
      </c>
      <c r="V56">
        <f>YEAR(Table1[[#This Row],[Order Date]])</f>
        <v>2023</v>
      </c>
      <c r="W56" t="str">
        <f>TEXT(Table1[[#This Row],[Order Date]],"mmm")</f>
        <v>Jan</v>
      </c>
      <c r="X56">
        <f t="shared" si="0"/>
        <v>2.673</v>
      </c>
      <c r="Y56" t="str">
        <f t="shared" si="1"/>
        <v>Profit</v>
      </c>
      <c r="Z56" t="str">
        <f t="shared" si="2"/>
        <v>No Discount</v>
      </c>
    </row>
    <row r="57" spans="1:26" x14ac:dyDescent="0.35">
      <c r="A57" s="1">
        <v>56</v>
      </c>
      <c r="B57" s="2" t="s">
        <v>220</v>
      </c>
      <c r="C57" s="3">
        <v>44946</v>
      </c>
      <c r="D57" s="3">
        <v>44952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</v>
      </c>
      <c r="T57" s="1">
        <v>0</v>
      </c>
      <c r="U57" s="1">
        <v>10.969799999999999</v>
      </c>
      <c r="V57">
        <f>YEAR(Table1[[#This Row],[Order Date]])</f>
        <v>2023</v>
      </c>
      <c r="W57" t="str">
        <f>TEXT(Table1[[#This Row],[Order Date]],"mmm")</f>
        <v>Jan</v>
      </c>
      <c r="X57">
        <f t="shared" si="0"/>
        <v>3.6565999999999996</v>
      </c>
      <c r="Y57" t="str">
        <f t="shared" si="1"/>
        <v>Profit</v>
      </c>
      <c r="Z57" t="str">
        <f t="shared" si="2"/>
        <v>No Discount</v>
      </c>
    </row>
    <row r="58" spans="1:26" x14ac:dyDescent="0.35">
      <c r="A58" s="1">
        <v>57</v>
      </c>
      <c r="B58" s="2" t="s">
        <v>238</v>
      </c>
      <c r="C58" s="3">
        <v>44946</v>
      </c>
      <c r="D58" s="3">
        <v>44951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</v>
      </c>
      <c r="T58" s="1">
        <v>0</v>
      </c>
      <c r="U58" s="1">
        <v>9.2927999999999997</v>
      </c>
      <c r="V58">
        <f>YEAR(Table1[[#This Row],[Order Date]])</f>
        <v>2023</v>
      </c>
      <c r="W58" t="str">
        <f>TEXT(Table1[[#This Row],[Order Date]],"mmm")</f>
        <v>Jan</v>
      </c>
      <c r="X58">
        <f t="shared" si="0"/>
        <v>4.6463999999999999</v>
      </c>
      <c r="Y58" t="str">
        <f t="shared" si="1"/>
        <v>Profit</v>
      </c>
      <c r="Z58" t="str">
        <f t="shared" si="2"/>
        <v>No Discount</v>
      </c>
    </row>
    <row r="59" spans="1:26" x14ac:dyDescent="0.35">
      <c r="A59" s="1">
        <v>58</v>
      </c>
      <c r="B59" s="2" t="s">
        <v>227</v>
      </c>
      <c r="C59" s="3">
        <v>44946</v>
      </c>
      <c r="D59" s="3">
        <v>44952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</v>
      </c>
      <c r="T59" s="1">
        <v>0</v>
      </c>
      <c r="U59" s="1">
        <v>4.0541999999999998</v>
      </c>
      <c r="V59">
        <f>YEAR(Table1[[#This Row],[Order Date]])</f>
        <v>2023</v>
      </c>
      <c r="W59" t="str">
        <f>TEXT(Table1[[#This Row],[Order Date]],"mmm")</f>
        <v>Jan</v>
      </c>
      <c r="X59">
        <f t="shared" si="0"/>
        <v>4.0541999999999998</v>
      </c>
      <c r="Y59" t="str">
        <f t="shared" si="1"/>
        <v>Profit</v>
      </c>
      <c r="Z59" t="str">
        <f t="shared" si="2"/>
        <v>No Discount</v>
      </c>
    </row>
    <row r="60" spans="1:26" x14ac:dyDescent="0.35">
      <c r="A60" s="1">
        <v>59</v>
      </c>
      <c r="B60" s="2" t="s">
        <v>227</v>
      </c>
      <c r="C60" s="3">
        <v>44946</v>
      </c>
      <c r="D60" s="3">
        <v>44952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</v>
      </c>
      <c r="T60" s="1">
        <v>0</v>
      </c>
      <c r="U60" s="1">
        <v>15.979199999999999</v>
      </c>
      <c r="V60">
        <f>YEAR(Table1[[#This Row],[Order Date]])</f>
        <v>2023</v>
      </c>
      <c r="W60" t="str">
        <f>TEXT(Table1[[#This Row],[Order Date]],"mmm")</f>
        <v>Jan</v>
      </c>
      <c r="X60">
        <f t="shared" si="0"/>
        <v>7.9895999999999994</v>
      </c>
      <c r="Y60" t="str">
        <f t="shared" si="1"/>
        <v>Profit</v>
      </c>
      <c r="Z60" t="str">
        <f t="shared" si="2"/>
        <v>No Discount</v>
      </c>
    </row>
    <row r="61" spans="1:26" x14ac:dyDescent="0.35">
      <c r="A61" s="1">
        <v>60</v>
      </c>
      <c r="B61" s="2" t="s">
        <v>220</v>
      </c>
      <c r="C61" s="3">
        <v>44946</v>
      </c>
      <c r="D61" s="3">
        <v>44952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</v>
      </c>
      <c r="T61" s="1">
        <v>0</v>
      </c>
      <c r="U61" s="1">
        <v>181.98179999999999</v>
      </c>
      <c r="V61">
        <f>YEAR(Table1[[#This Row],[Order Date]])</f>
        <v>2023</v>
      </c>
      <c r="W61" t="str">
        <f>TEXT(Table1[[#This Row],[Order Date]],"mmm")</f>
        <v>Jan</v>
      </c>
      <c r="X61">
        <f t="shared" si="0"/>
        <v>25.997399999999999</v>
      </c>
      <c r="Y61" t="str">
        <f t="shared" si="1"/>
        <v>Profit</v>
      </c>
      <c r="Z61" t="str">
        <f t="shared" si="2"/>
        <v>No Discount</v>
      </c>
    </row>
    <row r="62" spans="1:26" x14ac:dyDescent="0.35">
      <c r="A62" s="1">
        <v>61</v>
      </c>
      <c r="B62" s="2" t="s">
        <v>269</v>
      </c>
      <c r="C62" s="3">
        <v>44947</v>
      </c>
      <c r="D62" s="3">
        <v>44949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25.248000000000001</v>
      </c>
      <c r="S62" s="1">
        <v>3</v>
      </c>
      <c r="T62" s="1">
        <v>0.2</v>
      </c>
      <c r="U62" s="1">
        <v>4.1027999999999993</v>
      </c>
      <c r="V62">
        <f>YEAR(Table1[[#This Row],[Order Date]])</f>
        <v>2023</v>
      </c>
      <c r="W62" t="str">
        <f>TEXT(Table1[[#This Row],[Order Date]],"mmm")</f>
        <v>Jan</v>
      </c>
      <c r="X62">
        <f t="shared" si="0"/>
        <v>1.3675999999999997</v>
      </c>
      <c r="Y62" t="str">
        <f t="shared" si="1"/>
        <v>Profit</v>
      </c>
      <c r="Z62" t="str">
        <f t="shared" si="2"/>
        <v>Low</v>
      </c>
    </row>
    <row r="63" spans="1:26" x14ac:dyDescent="0.35">
      <c r="A63" s="1">
        <v>62</v>
      </c>
      <c r="B63" s="2" t="s">
        <v>276</v>
      </c>
      <c r="C63" s="3">
        <v>44947</v>
      </c>
      <c r="D63" s="3">
        <v>44950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>
        <v>24.3</v>
      </c>
      <c r="S63" s="4">
        <v>5</v>
      </c>
      <c r="T63" s="4">
        <v>0</v>
      </c>
      <c r="U63" s="4">
        <v>10.45</v>
      </c>
      <c r="V63">
        <f>YEAR(Table1[[#This Row],[Order Date]])</f>
        <v>2023</v>
      </c>
      <c r="W63" t="str">
        <f>TEXT(Table1[[#This Row],[Order Date]],"mmm")</f>
        <v>Jan</v>
      </c>
      <c r="X63">
        <f t="shared" si="0"/>
        <v>2.09</v>
      </c>
      <c r="Y63" t="str">
        <f t="shared" si="1"/>
        <v>Profit</v>
      </c>
      <c r="Z63" t="str">
        <f t="shared" si="2"/>
        <v>No Discount</v>
      </c>
    </row>
    <row r="64" spans="1:26" x14ac:dyDescent="0.35">
      <c r="A64" s="1">
        <v>63</v>
      </c>
      <c r="B64" s="2" t="s">
        <v>276</v>
      </c>
      <c r="C64" s="3">
        <v>44947</v>
      </c>
      <c r="D64" s="3">
        <v>44950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>
        <v>9.48</v>
      </c>
      <c r="S64" s="4">
        <v>1</v>
      </c>
      <c r="T64" s="4">
        <v>0</v>
      </c>
      <c r="U64" s="4">
        <v>3.79</v>
      </c>
      <c r="V64">
        <f>YEAR(Table1[[#This Row],[Order Date]])</f>
        <v>2023</v>
      </c>
      <c r="W64" t="str">
        <f>TEXT(Table1[[#This Row],[Order Date]],"mmm")</f>
        <v>Jan</v>
      </c>
      <c r="X64">
        <f t="shared" si="0"/>
        <v>3.79</v>
      </c>
      <c r="Y64" t="str">
        <f t="shared" si="1"/>
        <v>Profit</v>
      </c>
      <c r="Z64" t="str">
        <f t="shared" si="2"/>
        <v>No Discount</v>
      </c>
    </row>
    <row r="65" spans="1:26" x14ac:dyDescent="0.35">
      <c r="A65" s="1">
        <v>64</v>
      </c>
      <c r="B65" s="2" t="s">
        <v>276</v>
      </c>
      <c r="C65" s="3">
        <v>44947</v>
      </c>
      <c r="D65" s="3">
        <v>44950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>
        <v>31.4</v>
      </c>
      <c r="S65" s="4">
        <v>5</v>
      </c>
      <c r="T65" s="4">
        <v>0</v>
      </c>
      <c r="U65" s="4">
        <v>13.19</v>
      </c>
      <c r="V65">
        <f>YEAR(Table1[[#This Row],[Order Date]])</f>
        <v>2023</v>
      </c>
      <c r="W65" t="str">
        <f>TEXT(Table1[[#This Row],[Order Date]],"mmm")</f>
        <v>Jan</v>
      </c>
      <c r="X65">
        <f t="shared" si="0"/>
        <v>2.6379999999999999</v>
      </c>
      <c r="Y65" t="str">
        <f t="shared" si="1"/>
        <v>Profit</v>
      </c>
      <c r="Z65" t="str">
        <f t="shared" si="2"/>
        <v>No Discount</v>
      </c>
    </row>
    <row r="66" spans="1:26" x14ac:dyDescent="0.35">
      <c r="A66" s="1">
        <v>65</v>
      </c>
      <c r="B66" s="2" t="s">
        <v>276</v>
      </c>
      <c r="C66" s="3">
        <v>44947</v>
      </c>
      <c r="D66" s="3">
        <v>44950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>
        <v>6.48</v>
      </c>
      <c r="S66" s="4">
        <v>1</v>
      </c>
      <c r="T66" s="4">
        <v>0</v>
      </c>
      <c r="U66" s="4">
        <v>3.11</v>
      </c>
      <c r="V66">
        <f>YEAR(Table1[[#This Row],[Order Date]])</f>
        <v>2023</v>
      </c>
      <c r="W66" t="str">
        <f>TEXT(Table1[[#This Row],[Order Date]],"mmm")</f>
        <v>Jan</v>
      </c>
      <c r="X66">
        <f t="shared" ref="X66:X129" si="3">IFERROR(U66/S66,0)</f>
        <v>3.11</v>
      </c>
      <c r="Y66" t="str">
        <f t="shared" ref="Y66:Y129" si="4">IF(U66&gt;0,"Profit",IF(U66&lt;0,"Loss","Break-even"))</f>
        <v>Profit</v>
      </c>
      <c r="Z66" t="str">
        <f t="shared" ref="Z66:Z129" si="5">IF(T66=0,"No Discount",IF(T66&lt;=0.2,"Low",IF(T66&lt;=0.4,"Medium","High")))</f>
        <v>No Discount</v>
      </c>
    </row>
    <row r="67" spans="1:26" x14ac:dyDescent="0.35">
      <c r="A67" s="1">
        <v>66</v>
      </c>
      <c r="B67" s="2" t="s">
        <v>276</v>
      </c>
      <c r="C67" s="3">
        <v>44947</v>
      </c>
      <c r="D67" s="3">
        <v>44950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>
        <v>209.5</v>
      </c>
      <c r="S67" s="4">
        <v>10</v>
      </c>
      <c r="T67" s="4">
        <v>0</v>
      </c>
      <c r="U67" s="4">
        <v>58.66</v>
      </c>
      <c r="V67">
        <f>YEAR(Table1[[#This Row],[Order Date]])</f>
        <v>2023</v>
      </c>
      <c r="W67" t="str">
        <f>TEXT(Table1[[#This Row],[Order Date]],"mmm")</f>
        <v>Jan</v>
      </c>
      <c r="X67">
        <f t="shared" si="3"/>
        <v>5.8659999999999997</v>
      </c>
      <c r="Y67" t="str">
        <f t="shared" si="4"/>
        <v>Profit</v>
      </c>
      <c r="Z67" t="str">
        <f t="shared" si="5"/>
        <v>No Discount</v>
      </c>
    </row>
    <row r="68" spans="1:26" x14ac:dyDescent="0.35">
      <c r="A68" s="1">
        <v>67</v>
      </c>
      <c r="B68" s="2" t="s">
        <v>293</v>
      </c>
      <c r="C68" s="3">
        <v>44949</v>
      </c>
      <c r="D68" s="3">
        <v>44953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5.9399999999999995</v>
      </c>
      <c r="S68" s="1">
        <v>3</v>
      </c>
      <c r="T68" s="1">
        <v>0</v>
      </c>
      <c r="U68" s="1">
        <v>0</v>
      </c>
      <c r="V68">
        <f>YEAR(Table1[[#This Row],[Order Date]])</f>
        <v>2023</v>
      </c>
      <c r="W68" t="str">
        <f>TEXT(Table1[[#This Row],[Order Date]],"mmm")</f>
        <v>Jan</v>
      </c>
      <c r="X68">
        <f t="shared" si="3"/>
        <v>0</v>
      </c>
      <c r="Y68" t="str">
        <f t="shared" si="4"/>
        <v>Break-even</v>
      </c>
      <c r="Z68" t="str">
        <f t="shared" si="5"/>
        <v>No Discount</v>
      </c>
    </row>
    <row r="69" spans="1:26" x14ac:dyDescent="0.35">
      <c r="A69" s="1">
        <v>68</v>
      </c>
      <c r="B69" s="2" t="s">
        <v>300</v>
      </c>
      <c r="C69" s="3">
        <v>44949</v>
      </c>
      <c r="D69" s="3">
        <v>44954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</v>
      </c>
      <c r="T69" s="1">
        <v>0</v>
      </c>
      <c r="U69" s="1">
        <v>19.238399999999999</v>
      </c>
      <c r="V69">
        <f>YEAR(Table1[[#This Row],[Order Date]])</f>
        <v>2023</v>
      </c>
      <c r="W69" t="str">
        <f>TEXT(Table1[[#This Row],[Order Date]],"mmm")</f>
        <v>Jan</v>
      </c>
      <c r="X69">
        <f t="shared" si="3"/>
        <v>3.2063999999999999</v>
      </c>
      <c r="Y69" t="str">
        <f t="shared" si="4"/>
        <v>Profit</v>
      </c>
      <c r="Z69" t="str">
        <f t="shared" si="5"/>
        <v>No Discount</v>
      </c>
    </row>
    <row r="70" spans="1:26" x14ac:dyDescent="0.35">
      <c r="A70" s="1">
        <v>69</v>
      </c>
      <c r="B70" s="2" t="s">
        <v>307</v>
      </c>
      <c r="C70" s="3">
        <v>44952</v>
      </c>
      <c r="D70" s="3">
        <v>44955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</v>
      </c>
      <c r="T70" s="1">
        <v>0</v>
      </c>
      <c r="U70" s="1">
        <v>39.748800000000003</v>
      </c>
      <c r="V70">
        <f>YEAR(Table1[[#This Row],[Order Date]])</f>
        <v>2023</v>
      </c>
      <c r="W70" t="str">
        <f>TEXT(Table1[[#This Row],[Order Date]],"mmm")</f>
        <v>Jan</v>
      </c>
      <c r="X70">
        <f t="shared" si="3"/>
        <v>19.874400000000001</v>
      </c>
      <c r="Y70" t="str">
        <f t="shared" si="4"/>
        <v>Profit</v>
      </c>
      <c r="Z70" t="str">
        <f t="shared" si="5"/>
        <v>No Discount</v>
      </c>
    </row>
    <row r="71" spans="1:26" x14ac:dyDescent="0.35">
      <c r="A71" s="1">
        <v>70</v>
      </c>
      <c r="B71" s="2" t="s">
        <v>314</v>
      </c>
      <c r="C71" s="3">
        <v>44952</v>
      </c>
      <c r="D71" s="3">
        <v>44957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12.419999999999998</v>
      </c>
      <c r="S71" s="1">
        <v>3</v>
      </c>
      <c r="T71" s="1">
        <v>0</v>
      </c>
      <c r="U71" s="1">
        <v>4.4711999999999996</v>
      </c>
      <c r="V71">
        <f>YEAR(Table1[[#This Row],[Order Date]])</f>
        <v>2023</v>
      </c>
      <c r="W71" t="str">
        <f>TEXT(Table1[[#This Row],[Order Date]],"mmm")</f>
        <v>Jan</v>
      </c>
      <c r="X71">
        <f t="shared" si="3"/>
        <v>1.4903999999999999</v>
      </c>
      <c r="Y71" t="str">
        <f t="shared" si="4"/>
        <v>Profit</v>
      </c>
      <c r="Z71" t="str">
        <f t="shared" si="5"/>
        <v>No Discount</v>
      </c>
    </row>
    <row r="72" spans="1:26" x14ac:dyDescent="0.35">
      <c r="A72" s="1">
        <v>71</v>
      </c>
      <c r="B72" s="2" t="s">
        <v>314</v>
      </c>
      <c r="C72" s="3">
        <v>44952</v>
      </c>
      <c r="D72" s="3">
        <v>44957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62.820000000000007</v>
      </c>
      <c r="S72" s="1">
        <v>3</v>
      </c>
      <c r="T72" s="1">
        <v>0</v>
      </c>
      <c r="U72" s="1">
        <v>30.7818</v>
      </c>
      <c r="V72">
        <f>YEAR(Table1[[#This Row],[Order Date]])</f>
        <v>2023</v>
      </c>
      <c r="W72" t="str">
        <f>TEXT(Table1[[#This Row],[Order Date]],"mmm")</f>
        <v>Jan</v>
      </c>
      <c r="X72">
        <f t="shared" si="3"/>
        <v>10.2606</v>
      </c>
      <c r="Y72" t="str">
        <f t="shared" si="4"/>
        <v>Profit</v>
      </c>
      <c r="Z72" t="str">
        <f t="shared" si="5"/>
        <v>No Discount</v>
      </c>
    </row>
    <row r="73" spans="1:26" x14ac:dyDescent="0.35">
      <c r="A73" s="1">
        <v>72</v>
      </c>
      <c r="B73" s="2" t="s">
        <v>307</v>
      </c>
      <c r="C73" s="3">
        <v>44952</v>
      </c>
      <c r="D73" s="3">
        <v>44955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</v>
      </c>
      <c r="T73" s="1">
        <v>0</v>
      </c>
      <c r="U73" s="1">
        <v>5.0195999999999996</v>
      </c>
      <c r="V73">
        <f>YEAR(Table1[[#This Row],[Order Date]])</f>
        <v>2023</v>
      </c>
      <c r="W73" t="str">
        <f>TEXT(Table1[[#This Row],[Order Date]],"mmm")</f>
        <v>Jan</v>
      </c>
      <c r="X73">
        <f t="shared" si="3"/>
        <v>2.5097999999999998</v>
      </c>
      <c r="Y73" t="str">
        <f t="shared" si="4"/>
        <v>Profit</v>
      </c>
      <c r="Z73" t="str">
        <f t="shared" si="5"/>
        <v>No Discount</v>
      </c>
    </row>
    <row r="74" spans="1:26" x14ac:dyDescent="0.35">
      <c r="A74" s="1">
        <v>73</v>
      </c>
      <c r="B74" s="2" t="s">
        <v>314</v>
      </c>
      <c r="C74" s="3">
        <v>44952</v>
      </c>
      <c r="D74" s="3">
        <v>44957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</v>
      </c>
      <c r="T74" s="1">
        <v>0</v>
      </c>
      <c r="U74" s="1">
        <v>8.34</v>
      </c>
      <c r="V74">
        <f>YEAR(Table1[[#This Row],[Order Date]])</f>
        <v>2023</v>
      </c>
      <c r="W74" t="str">
        <f>TEXT(Table1[[#This Row],[Order Date]],"mmm")</f>
        <v>Jan</v>
      </c>
      <c r="X74">
        <f t="shared" si="3"/>
        <v>4.17</v>
      </c>
      <c r="Y74" t="str">
        <f t="shared" si="4"/>
        <v>Profit</v>
      </c>
      <c r="Z74" t="str">
        <f t="shared" si="5"/>
        <v>No Discount</v>
      </c>
    </row>
    <row r="75" spans="1:26" x14ac:dyDescent="0.35">
      <c r="A75" s="1">
        <v>74</v>
      </c>
      <c r="B75" s="2" t="s">
        <v>314</v>
      </c>
      <c r="C75" s="3">
        <v>44952</v>
      </c>
      <c r="D75" s="3">
        <v>44957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  <c r="V75">
        <f>YEAR(Table1[[#This Row],[Order Date]])</f>
        <v>2023</v>
      </c>
      <c r="W75" t="str">
        <f>TEXT(Table1[[#This Row],[Order Date]],"mmm")</f>
        <v>Jan</v>
      </c>
      <c r="X75">
        <f t="shared" si="3"/>
        <v>3.1104000000000003</v>
      </c>
      <c r="Y75" t="str">
        <f t="shared" si="4"/>
        <v>Profit</v>
      </c>
      <c r="Z75" t="str">
        <f t="shared" si="5"/>
        <v>No Discount</v>
      </c>
    </row>
    <row r="76" spans="1:26" x14ac:dyDescent="0.35">
      <c r="A76" s="1">
        <v>75</v>
      </c>
      <c r="B76" s="2" t="s">
        <v>314</v>
      </c>
      <c r="C76" s="3">
        <v>44952</v>
      </c>
      <c r="D76" s="3">
        <v>44957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</v>
      </c>
      <c r="T76" s="1">
        <v>0</v>
      </c>
      <c r="U76" s="1">
        <v>0</v>
      </c>
      <c r="V76">
        <f>YEAR(Table1[[#This Row],[Order Date]])</f>
        <v>2023</v>
      </c>
      <c r="W76" t="str">
        <f>TEXT(Table1[[#This Row],[Order Date]],"mmm")</f>
        <v>Jan</v>
      </c>
      <c r="X76">
        <f t="shared" si="3"/>
        <v>0</v>
      </c>
      <c r="Y76" t="str">
        <f t="shared" si="4"/>
        <v>Break-even</v>
      </c>
      <c r="Z76" t="str">
        <f t="shared" si="5"/>
        <v>No Discount</v>
      </c>
    </row>
    <row r="77" spans="1:26" x14ac:dyDescent="0.35">
      <c r="A77" s="1">
        <v>76</v>
      </c>
      <c r="B77" s="2" t="s">
        <v>314</v>
      </c>
      <c r="C77" s="3">
        <v>44952</v>
      </c>
      <c r="D77" s="3">
        <v>44957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</v>
      </c>
      <c r="T77" s="1">
        <v>0</v>
      </c>
      <c r="U77" s="1">
        <v>52.634399999999999</v>
      </c>
      <c r="V77">
        <f>YEAR(Table1[[#This Row],[Order Date]])</f>
        <v>2023</v>
      </c>
      <c r="W77" t="str">
        <f>TEXT(Table1[[#This Row],[Order Date]],"mmm")</f>
        <v>Jan</v>
      </c>
      <c r="X77">
        <f t="shared" si="3"/>
        <v>26.3172</v>
      </c>
      <c r="Y77" t="str">
        <f t="shared" si="4"/>
        <v>Profit</v>
      </c>
      <c r="Z77" t="str">
        <f t="shared" si="5"/>
        <v>No Discount</v>
      </c>
    </row>
    <row r="78" spans="1:26" x14ac:dyDescent="0.35">
      <c r="A78" s="1">
        <v>77</v>
      </c>
      <c r="B78" s="2" t="s">
        <v>314</v>
      </c>
      <c r="C78" s="3">
        <v>44952</v>
      </c>
      <c r="D78" s="3">
        <v>44957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</v>
      </c>
      <c r="T78" s="1">
        <v>0</v>
      </c>
      <c r="U78" s="1">
        <v>0</v>
      </c>
      <c r="V78">
        <f>YEAR(Table1[[#This Row],[Order Date]])</f>
        <v>2023</v>
      </c>
      <c r="W78" t="str">
        <f>TEXT(Table1[[#This Row],[Order Date]],"mmm")</f>
        <v>Jan</v>
      </c>
      <c r="X78">
        <f t="shared" si="3"/>
        <v>0</v>
      </c>
      <c r="Y78" t="str">
        <f t="shared" si="4"/>
        <v>Break-even</v>
      </c>
      <c r="Z78" t="str">
        <f t="shared" si="5"/>
        <v>No Discount</v>
      </c>
    </row>
    <row r="79" spans="1:26" x14ac:dyDescent="0.35">
      <c r="A79" s="1">
        <v>78</v>
      </c>
      <c r="B79" s="2" t="s">
        <v>334</v>
      </c>
      <c r="C79" s="3">
        <v>44953</v>
      </c>
      <c r="D79" s="3">
        <v>44959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</v>
      </c>
      <c r="S79" s="1">
        <v>3</v>
      </c>
      <c r="T79" s="1">
        <v>0.2</v>
      </c>
      <c r="U79" s="1">
        <v>-16.649999999999991</v>
      </c>
      <c r="V79">
        <f>YEAR(Table1[[#This Row],[Order Date]])</f>
        <v>2023</v>
      </c>
      <c r="W79" t="str">
        <f>TEXT(Table1[[#This Row],[Order Date]],"mmm")</f>
        <v>Jan</v>
      </c>
      <c r="X79">
        <f t="shared" si="3"/>
        <v>-5.5499999999999972</v>
      </c>
      <c r="Y79" t="str">
        <f t="shared" si="4"/>
        <v>Loss</v>
      </c>
      <c r="Z79" t="str">
        <f t="shared" si="5"/>
        <v>Low</v>
      </c>
    </row>
    <row r="80" spans="1:26" x14ac:dyDescent="0.35">
      <c r="A80" s="1">
        <v>79</v>
      </c>
      <c r="B80" s="2" t="s">
        <v>334</v>
      </c>
      <c r="C80" s="3">
        <v>44953</v>
      </c>
      <c r="D80" s="3">
        <v>44959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</v>
      </c>
      <c r="T80" s="1">
        <v>0</v>
      </c>
      <c r="U80" s="1">
        <v>12.025199999999998</v>
      </c>
      <c r="V80">
        <f>YEAR(Table1[[#This Row],[Order Date]])</f>
        <v>2023</v>
      </c>
      <c r="W80" t="str">
        <f>TEXT(Table1[[#This Row],[Order Date]],"mmm")</f>
        <v>Jan</v>
      </c>
      <c r="X80">
        <f t="shared" si="3"/>
        <v>3.0062999999999995</v>
      </c>
      <c r="Y80" t="str">
        <f t="shared" si="4"/>
        <v>Profit</v>
      </c>
      <c r="Z80" t="str">
        <f t="shared" si="5"/>
        <v>No Discount</v>
      </c>
    </row>
    <row r="81" spans="1:26" x14ac:dyDescent="0.35">
      <c r="A81" s="1">
        <v>80</v>
      </c>
      <c r="B81" s="2" t="s">
        <v>334</v>
      </c>
      <c r="C81" s="3">
        <v>44953</v>
      </c>
      <c r="D81" s="3">
        <v>44959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</v>
      </c>
      <c r="T81" s="1">
        <v>0</v>
      </c>
      <c r="U81" s="1">
        <v>14.307499999999997</v>
      </c>
      <c r="V81">
        <f>YEAR(Table1[[#This Row],[Order Date]])</f>
        <v>2023</v>
      </c>
      <c r="W81" t="str">
        <f>TEXT(Table1[[#This Row],[Order Date]],"mmm")</f>
        <v>Jan</v>
      </c>
      <c r="X81">
        <f t="shared" si="3"/>
        <v>14.307499999999997</v>
      </c>
      <c r="Y81" t="str">
        <f t="shared" si="4"/>
        <v>Profit</v>
      </c>
      <c r="Z81" t="str">
        <f t="shared" si="5"/>
        <v>No Discount</v>
      </c>
    </row>
    <row r="82" spans="1:26" x14ac:dyDescent="0.35">
      <c r="A82" s="1">
        <v>81</v>
      </c>
      <c r="B82" s="2" t="s">
        <v>345</v>
      </c>
      <c r="C82" s="3">
        <v>44954</v>
      </c>
      <c r="D82" s="3">
        <v>44960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3.9280000000000004</v>
      </c>
      <c r="S82" s="1">
        <v>1</v>
      </c>
      <c r="T82" s="1">
        <v>0.2</v>
      </c>
      <c r="U82" s="1">
        <v>1.3256999999999999</v>
      </c>
      <c r="V82">
        <f>YEAR(Table1[[#This Row],[Order Date]])</f>
        <v>2023</v>
      </c>
      <c r="W82" t="str">
        <f>TEXT(Table1[[#This Row],[Order Date]],"mmm")</f>
        <v>Jan</v>
      </c>
      <c r="X82">
        <f t="shared" si="3"/>
        <v>1.3256999999999999</v>
      </c>
      <c r="Y82" t="str">
        <f t="shared" si="4"/>
        <v>Profit</v>
      </c>
      <c r="Z82" t="str">
        <f t="shared" si="5"/>
        <v>Low</v>
      </c>
    </row>
    <row r="83" spans="1:26" x14ac:dyDescent="0.35">
      <c r="A83" s="1">
        <v>82</v>
      </c>
      <c r="B83" s="2" t="s">
        <v>352</v>
      </c>
      <c r="C83" s="3">
        <v>44956</v>
      </c>
      <c r="D83" s="3">
        <v>44961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</v>
      </c>
      <c r="T83" s="1">
        <v>0</v>
      </c>
      <c r="U83" s="1">
        <v>4.7519999999999998</v>
      </c>
      <c r="V83">
        <f>YEAR(Table1[[#This Row],[Order Date]])</f>
        <v>2023</v>
      </c>
      <c r="W83" t="str">
        <f>TEXT(Table1[[#This Row],[Order Date]],"mmm")</f>
        <v>Jan</v>
      </c>
      <c r="X83">
        <f t="shared" si="3"/>
        <v>2.3759999999999999</v>
      </c>
      <c r="Y83" t="str">
        <f t="shared" si="4"/>
        <v>Profit</v>
      </c>
      <c r="Z83" t="str">
        <f t="shared" si="5"/>
        <v>No Discount</v>
      </c>
    </row>
    <row r="84" spans="1:26" x14ac:dyDescent="0.35">
      <c r="A84" s="1">
        <v>83</v>
      </c>
      <c r="B84" s="2" t="s">
        <v>352</v>
      </c>
      <c r="C84" s="3">
        <v>44956</v>
      </c>
      <c r="D84" s="3">
        <v>44961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</v>
      </c>
      <c r="T84" s="1">
        <v>0</v>
      </c>
      <c r="U84" s="1">
        <v>6.8982000000000028</v>
      </c>
      <c r="V84">
        <f>YEAR(Table1[[#This Row],[Order Date]])</f>
        <v>2023</v>
      </c>
      <c r="W84" t="str">
        <f>TEXT(Table1[[#This Row],[Order Date]],"mmm")</f>
        <v>Jan</v>
      </c>
      <c r="X84">
        <f t="shared" si="3"/>
        <v>3.4491000000000014</v>
      </c>
      <c r="Y84" t="str">
        <f t="shared" si="4"/>
        <v>Profit</v>
      </c>
      <c r="Z84" t="str">
        <f t="shared" si="5"/>
        <v>No Discount</v>
      </c>
    </row>
    <row r="85" spans="1:26" x14ac:dyDescent="0.35">
      <c r="A85" s="1">
        <v>84</v>
      </c>
      <c r="B85" s="2" t="s">
        <v>360</v>
      </c>
      <c r="C85" s="3">
        <v>44957</v>
      </c>
      <c r="D85" s="3">
        <v>44959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</v>
      </c>
      <c r="T85" s="1">
        <v>0.15</v>
      </c>
      <c r="U85" s="1">
        <v>3.4195999999999884</v>
      </c>
      <c r="V85">
        <f>YEAR(Table1[[#This Row],[Order Date]])</f>
        <v>2023</v>
      </c>
      <c r="W85" t="str">
        <f>TEXT(Table1[[#This Row],[Order Date]],"mmm")</f>
        <v>Jan</v>
      </c>
      <c r="X85">
        <f t="shared" si="3"/>
        <v>1.7097999999999942</v>
      </c>
      <c r="Y85" t="str">
        <f t="shared" si="4"/>
        <v>Profit</v>
      </c>
      <c r="Z85" t="str">
        <f t="shared" si="5"/>
        <v>Low</v>
      </c>
    </row>
    <row r="86" spans="1:26" x14ac:dyDescent="0.35">
      <c r="A86" s="1">
        <v>85</v>
      </c>
      <c r="B86" s="2" t="s">
        <v>366</v>
      </c>
      <c r="C86" s="3">
        <v>44958</v>
      </c>
      <c r="D86" s="3">
        <v>44960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468.90000000000003</v>
      </c>
      <c r="S86" s="1">
        <v>6</v>
      </c>
      <c r="T86" s="1">
        <v>0</v>
      </c>
      <c r="U86" s="1">
        <v>206.31600000000006</v>
      </c>
      <c r="V86">
        <f>YEAR(Table1[[#This Row],[Order Date]])</f>
        <v>2023</v>
      </c>
      <c r="W86" t="str">
        <f>TEXT(Table1[[#This Row],[Order Date]],"mmm")</f>
        <v>Feb</v>
      </c>
      <c r="X86">
        <f t="shared" si="3"/>
        <v>34.38600000000001</v>
      </c>
      <c r="Y86" t="str">
        <f t="shared" si="4"/>
        <v>Profit</v>
      </c>
      <c r="Z86" t="str">
        <f t="shared" si="5"/>
        <v>No Discount</v>
      </c>
    </row>
    <row r="87" spans="1:26" x14ac:dyDescent="0.35">
      <c r="A87" s="1">
        <v>86</v>
      </c>
      <c r="B87" s="2" t="s">
        <v>373</v>
      </c>
      <c r="C87" s="3">
        <v>44959</v>
      </c>
      <c r="D87" s="3">
        <v>44966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18.336000000000002</v>
      </c>
      <c r="S87" s="1">
        <v>2</v>
      </c>
      <c r="T87" s="1">
        <v>0.7</v>
      </c>
      <c r="U87" s="1">
        <v>-12.224</v>
      </c>
      <c r="V87">
        <f>YEAR(Table1[[#This Row],[Order Date]])</f>
        <v>2023</v>
      </c>
      <c r="W87" t="str">
        <f>TEXT(Table1[[#This Row],[Order Date]],"mmm")</f>
        <v>Feb</v>
      </c>
      <c r="X87">
        <f t="shared" si="3"/>
        <v>-6.1120000000000001</v>
      </c>
      <c r="Y87" t="str">
        <f t="shared" si="4"/>
        <v>Loss</v>
      </c>
      <c r="Z87" t="str">
        <f t="shared" si="5"/>
        <v>High</v>
      </c>
    </row>
    <row r="88" spans="1:26" x14ac:dyDescent="0.35">
      <c r="A88" s="1">
        <v>87</v>
      </c>
      <c r="B88" s="2" t="s">
        <v>379</v>
      </c>
      <c r="C88" s="3">
        <v>44959</v>
      </c>
      <c r="D88" s="3">
        <v>44963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12.350000000000001</v>
      </c>
      <c r="S88" s="1">
        <v>5</v>
      </c>
      <c r="T88" s="1">
        <v>0</v>
      </c>
      <c r="U88" s="1">
        <v>5.8045</v>
      </c>
      <c r="V88">
        <f>YEAR(Table1[[#This Row],[Order Date]])</f>
        <v>2023</v>
      </c>
      <c r="W88" t="str">
        <f>TEXT(Table1[[#This Row],[Order Date]],"mmm")</f>
        <v>Feb</v>
      </c>
      <c r="X88">
        <f t="shared" si="3"/>
        <v>1.1609</v>
      </c>
      <c r="Y88" t="str">
        <f t="shared" si="4"/>
        <v>Profit</v>
      </c>
      <c r="Z88" t="str">
        <f t="shared" si="5"/>
        <v>No Discount</v>
      </c>
    </row>
    <row r="89" spans="1:26" x14ac:dyDescent="0.35">
      <c r="A89" s="1">
        <v>88</v>
      </c>
      <c r="B89" s="2" t="s">
        <v>373</v>
      </c>
      <c r="C89" s="3">
        <v>44959</v>
      </c>
      <c r="D89" s="3">
        <v>44966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</v>
      </c>
      <c r="T89" s="1">
        <v>0.2</v>
      </c>
      <c r="U89" s="1">
        <v>13.571999999999996</v>
      </c>
      <c r="V89">
        <f>YEAR(Table1[[#This Row],[Order Date]])</f>
        <v>2023</v>
      </c>
      <c r="W89" t="str">
        <f>TEXT(Table1[[#This Row],[Order Date]],"mmm")</f>
        <v>Feb</v>
      </c>
      <c r="X89">
        <f t="shared" si="3"/>
        <v>2.714399999999999</v>
      </c>
      <c r="Y89" t="str">
        <f t="shared" si="4"/>
        <v>Profit</v>
      </c>
      <c r="Z89" t="str">
        <f t="shared" si="5"/>
        <v>Low</v>
      </c>
    </row>
    <row r="90" spans="1:26" x14ac:dyDescent="0.35">
      <c r="A90" s="1">
        <v>89</v>
      </c>
      <c r="B90" s="2" t="s">
        <v>386</v>
      </c>
      <c r="C90" s="3">
        <v>44960</v>
      </c>
      <c r="D90" s="3">
        <v>44963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13.272000000000002</v>
      </c>
      <c r="S90" s="1">
        <v>3</v>
      </c>
      <c r="T90" s="1">
        <v>0.2</v>
      </c>
      <c r="U90" s="1">
        <v>4.3133999999999997</v>
      </c>
      <c r="V90">
        <f>YEAR(Table1[[#This Row],[Order Date]])</f>
        <v>2023</v>
      </c>
      <c r="W90" t="str">
        <f>TEXT(Table1[[#This Row],[Order Date]],"mmm")</f>
        <v>Feb</v>
      </c>
      <c r="X90">
        <f t="shared" si="3"/>
        <v>1.4378</v>
      </c>
      <c r="Y90" t="str">
        <f t="shared" si="4"/>
        <v>Profit</v>
      </c>
      <c r="Z90" t="str">
        <f t="shared" si="5"/>
        <v>Low</v>
      </c>
    </row>
    <row r="91" spans="1:26" x14ac:dyDescent="0.35">
      <c r="A91" s="1">
        <v>90</v>
      </c>
      <c r="B91" s="2" t="s">
        <v>386</v>
      </c>
      <c r="C91" s="3">
        <v>44960</v>
      </c>
      <c r="D91" s="3">
        <v>44963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</v>
      </c>
      <c r="T91" s="1">
        <v>0.2</v>
      </c>
      <c r="U91" s="1">
        <v>27.247999999999998</v>
      </c>
      <c r="V91">
        <f>YEAR(Table1[[#This Row],[Order Date]])</f>
        <v>2023</v>
      </c>
      <c r="W91" t="str">
        <f>TEXT(Table1[[#This Row],[Order Date]],"mmm")</f>
        <v>Feb</v>
      </c>
      <c r="X91">
        <f t="shared" si="3"/>
        <v>13.623999999999999</v>
      </c>
      <c r="Y91" t="str">
        <f t="shared" si="4"/>
        <v>Profit</v>
      </c>
      <c r="Z91" t="str">
        <f t="shared" si="5"/>
        <v>Low</v>
      </c>
    </row>
    <row r="92" spans="1:26" x14ac:dyDescent="0.35">
      <c r="A92" s="1">
        <v>91</v>
      </c>
      <c r="B92" s="2" t="s">
        <v>393</v>
      </c>
      <c r="C92" s="3">
        <v>44961</v>
      </c>
      <c r="D92" s="3">
        <v>44965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17.248000000000001</v>
      </c>
      <c r="S92" s="1">
        <v>2</v>
      </c>
      <c r="T92" s="1">
        <v>0.2</v>
      </c>
      <c r="U92" s="1">
        <v>6.0367999999999986</v>
      </c>
      <c r="V92">
        <f>YEAR(Table1[[#This Row],[Order Date]])</f>
        <v>2023</v>
      </c>
      <c r="W92" t="str">
        <f>TEXT(Table1[[#This Row],[Order Date]],"mmm")</f>
        <v>Feb</v>
      </c>
      <c r="X92">
        <f t="shared" si="3"/>
        <v>3.0183999999999993</v>
      </c>
      <c r="Y92" t="str">
        <f t="shared" si="4"/>
        <v>Profit</v>
      </c>
      <c r="Z92" t="str">
        <f t="shared" si="5"/>
        <v>Low</v>
      </c>
    </row>
    <row r="93" spans="1:26" x14ac:dyDescent="0.35">
      <c r="A93" s="1">
        <v>92</v>
      </c>
      <c r="B93" s="2" t="s">
        <v>397</v>
      </c>
      <c r="C93" s="3">
        <v>44961</v>
      </c>
      <c r="D93" s="3">
        <v>44965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82.896000000000001</v>
      </c>
      <c r="S93" s="1">
        <v>3</v>
      </c>
      <c r="T93" s="1">
        <v>0.2</v>
      </c>
      <c r="U93" s="1">
        <v>29.0136</v>
      </c>
      <c r="V93">
        <f>YEAR(Table1[[#This Row],[Order Date]])</f>
        <v>2023</v>
      </c>
      <c r="W93" t="str">
        <f>TEXT(Table1[[#This Row],[Order Date]],"mmm")</f>
        <v>Feb</v>
      </c>
      <c r="X93">
        <f t="shared" si="3"/>
        <v>9.6712000000000007</v>
      </c>
      <c r="Y93" t="str">
        <f t="shared" si="4"/>
        <v>Profit</v>
      </c>
      <c r="Z93" t="str">
        <f t="shared" si="5"/>
        <v>Low</v>
      </c>
    </row>
    <row r="94" spans="1:26" x14ac:dyDescent="0.35">
      <c r="A94" s="1">
        <v>93</v>
      </c>
      <c r="B94" s="2" t="s">
        <v>397</v>
      </c>
      <c r="C94" s="3">
        <v>44961</v>
      </c>
      <c r="D94" s="3">
        <v>44965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</v>
      </c>
      <c r="T94" s="1">
        <v>0</v>
      </c>
      <c r="U94" s="1">
        <v>16.0928</v>
      </c>
      <c r="V94">
        <f>YEAR(Table1[[#This Row],[Order Date]])</f>
        <v>2023</v>
      </c>
      <c r="W94" t="str">
        <f>TEXT(Table1[[#This Row],[Order Date]],"mmm")</f>
        <v>Feb</v>
      </c>
      <c r="X94">
        <f t="shared" si="3"/>
        <v>4.0232000000000001</v>
      </c>
      <c r="Y94" t="str">
        <f t="shared" si="4"/>
        <v>Profit</v>
      </c>
      <c r="Z94" t="str">
        <f t="shared" si="5"/>
        <v>No Discount</v>
      </c>
    </row>
    <row r="95" spans="1:26" x14ac:dyDescent="0.35">
      <c r="A95" s="1">
        <v>94</v>
      </c>
      <c r="B95" s="2" t="s">
        <v>404</v>
      </c>
      <c r="C95" s="3">
        <v>44963</v>
      </c>
      <c r="D95" s="3">
        <v>44967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8.9519999999999982</v>
      </c>
      <c r="S95" s="1">
        <v>2</v>
      </c>
      <c r="T95" s="1">
        <v>0.8</v>
      </c>
      <c r="U95" s="1">
        <v>-14.770800000000001</v>
      </c>
      <c r="V95">
        <f>YEAR(Table1[[#This Row],[Order Date]])</f>
        <v>2023</v>
      </c>
      <c r="W95" t="str">
        <f>TEXT(Table1[[#This Row],[Order Date]],"mmm")</f>
        <v>Feb</v>
      </c>
      <c r="X95">
        <f t="shared" si="3"/>
        <v>-7.3854000000000006</v>
      </c>
      <c r="Y95" t="str">
        <f t="shared" si="4"/>
        <v>Loss</v>
      </c>
      <c r="Z95" t="str">
        <f t="shared" si="5"/>
        <v>High</v>
      </c>
    </row>
    <row r="96" spans="1:26" x14ac:dyDescent="0.35">
      <c r="A96" s="1">
        <v>95</v>
      </c>
      <c r="B96" s="2" t="s">
        <v>408</v>
      </c>
      <c r="C96" s="3">
        <v>44963</v>
      </c>
      <c r="D96" s="3">
        <v>44966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</v>
      </c>
      <c r="S96" s="1">
        <v>4</v>
      </c>
      <c r="T96" s="1">
        <v>0</v>
      </c>
      <c r="U96" s="1">
        <v>7.1999999999999993</v>
      </c>
      <c r="V96">
        <f>YEAR(Table1[[#This Row],[Order Date]])</f>
        <v>2023</v>
      </c>
      <c r="W96" t="str">
        <f>TEXT(Table1[[#This Row],[Order Date]],"mmm")</f>
        <v>Feb</v>
      </c>
      <c r="X96">
        <f t="shared" si="3"/>
        <v>1.7999999999999998</v>
      </c>
      <c r="Y96" t="str">
        <f t="shared" si="4"/>
        <v>Profit</v>
      </c>
      <c r="Z96" t="str">
        <f t="shared" si="5"/>
        <v>No Discount</v>
      </c>
    </row>
    <row r="97" spans="1:26" x14ac:dyDescent="0.35">
      <c r="A97" s="1">
        <v>96</v>
      </c>
      <c r="B97" s="2" t="s">
        <v>408</v>
      </c>
      <c r="C97" s="3">
        <v>44963</v>
      </c>
      <c r="D97" s="3">
        <v>44966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144.94999999999999</v>
      </c>
      <c r="S97" s="1">
        <v>5</v>
      </c>
      <c r="T97" s="1">
        <v>0</v>
      </c>
      <c r="U97" s="1">
        <v>42.035499999999985</v>
      </c>
      <c r="V97">
        <f>YEAR(Table1[[#This Row],[Order Date]])</f>
        <v>2023</v>
      </c>
      <c r="W97" t="str">
        <f>TEXT(Table1[[#This Row],[Order Date]],"mmm")</f>
        <v>Feb</v>
      </c>
      <c r="X97">
        <f t="shared" si="3"/>
        <v>8.4070999999999962</v>
      </c>
      <c r="Y97" t="str">
        <f t="shared" si="4"/>
        <v>Profit</v>
      </c>
      <c r="Z97" t="str">
        <f t="shared" si="5"/>
        <v>No Discount</v>
      </c>
    </row>
    <row r="98" spans="1:26" x14ac:dyDescent="0.35">
      <c r="A98" s="1">
        <v>97</v>
      </c>
      <c r="B98" s="2" t="s">
        <v>408</v>
      </c>
      <c r="C98" s="3">
        <v>44963</v>
      </c>
      <c r="D98" s="3">
        <v>44966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161.61000000000001</v>
      </c>
      <c r="S98" s="1">
        <v>1</v>
      </c>
      <c r="T98" s="1">
        <v>0</v>
      </c>
      <c r="U98" s="1">
        <v>42.018600000000006</v>
      </c>
      <c r="V98">
        <f>YEAR(Table1[[#This Row],[Order Date]])</f>
        <v>2023</v>
      </c>
      <c r="W98" t="str">
        <f>TEXT(Table1[[#This Row],[Order Date]],"mmm")</f>
        <v>Feb</v>
      </c>
      <c r="X98">
        <f t="shared" si="3"/>
        <v>42.018600000000006</v>
      </c>
      <c r="Y98" t="str">
        <f t="shared" si="4"/>
        <v>Profit</v>
      </c>
      <c r="Z98" t="str">
        <f t="shared" si="5"/>
        <v>No Discount</v>
      </c>
    </row>
    <row r="99" spans="1:26" x14ac:dyDescent="0.35">
      <c r="A99" s="1">
        <v>98</v>
      </c>
      <c r="B99" s="2" t="s">
        <v>418</v>
      </c>
      <c r="C99" s="3">
        <v>44964</v>
      </c>
      <c r="D99" s="3">
        <v>44967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  <c r="V99">
        <f>YEAR(Table1[[#This Row],[Order Date]])</f>
        <v>2023</v>
      </c>
      <c r="W99" t="str">
        <f>TEXT(Table1[[#This Row],[Order Date]],"mmm")</f>
        <v>Feb</v>
      </c>
      <c r="X99">
        <f t="shared" si="3"/>
        <v>2.4359999999999999</v>
      </c>
      <c r="Y99" t="str">
        <f t="shared" si="4"/>
        <v>Profit</v>
      </c>
      <c r="Z99" t="str">
        <f t="shared" si="5"/>
        <v>No Discount</v>
      </c>
    </row>
    <row r="100" spans="1:26" x14ac:dyDescent="0.35">
      <c r="A100" s="1">
        <v>99</v>
      </c>
      <c r="B100" s="2" t="s">
        <v>421</v>
      </c>
      <c r="C100" s="3">
        <v>44964</v>
      </c>
      <c r="D100" s="3">
        <v>44969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</v>
      </c>
      <c r="T100" s="1">
        <v>0</v>
      </c>
      <c r="U100" s="1">
        <v>49.604800000000012</v>
      </c>
      <c r="V100">
        <f>YEAR(Table1[[#This Row],[Order Date]])</f>
        <v>2023</v>
      </c>
      <c r="W100" t="str">
        <f>TEXT(Table1[[#This Row],[Order Date]],"mmm")</f>
        <v>Feb</v>
      </c>
      <c r="X100">
        <f t="shared" si="3"/>
        <v>7.086400000000002</v>
      </c>
      <c r="Y100" t="str">
        <f t="shared" si="4"/>
        <v>Profit</v>
      </c>
      <c r="Z100" t="str">
        <f t="shared" si="5"/>
        <v>No Discount</v>
      </c>
    </row>
    <row r="101" spans="1:26" x14ac:dyDescent="0.35">
      <c r="A101" s="1">
        <v>100</v>
      </c>
      <c r="B101" s="2" t="s">
        <v>428</v>
      </c>
      <c r="C101" s="3">
        <v>44965</v>
      </c>
      <c r="D101" s="3">
        <v>44966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</v>
      </c>
      <c r="T101" s="1">
        <v>0</v>
      </c>
      <c r="U101" s="1">
        <v>5.5327999999999999</v>
      </c>
      <c r="V101">
        <f>YEAR(Table1[[#This Row],[Order Date]])</f>
        <v>2023</v>
      </c>
      <c r="W101" t="str">
        <f>TEXT(Table1[[#This Row],[Order Date]],"mmm")</f>
        <v>Feb</v>
      </c>
      <c r="X101">
        <f t="shared" si="3"/>
        <v>2.7664</v>
      </c>
      <c r="Y101" t="str">
        <f t="shared" si="4"/>
        <v>Profit</v>
      </c>
      <c r="Z101" t="str">
        <f t="shared" si="5"/>
        <v>No Discount</v>
      </c>
    </row>
    <row r="102" spans="1:26" x14ac:dyDescent="0.35">
      <c r="A102" s="1">
        <v>101</v>
      </c>
      <c r="B102" s="2" t="s">
        <v>434</v>
      </c>
      <c r="C102" s="3">
        <v>44968</v>
      </c>
      <c r="D102" s="3">
        <v>44972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</v>
      </c>
      <c r="T102" s="1">
        <v>0</v>
      </c>
      <c r="U102" s="1">
        <v>15.222499999999997</v>
      </c>
      <c r="V102">
        <f>YEAR(Table1[[#This Row],[Order Date]])</f>
        <v>2023</v>
      </c>
      <c r="W102" t="str">
        <f>TEXT(Table1[[#This Row],[Order Date]],"mmm")</f>
        <v>Feb</v>
      </c>
      <c r="X102">
        <f t="shared" si="3"/>
        <v>15.222499999999997</v>
      </c>
      <c r="Y102" t="str">
        <f t="shared" si="4"/>
        <v>Profit</v>
      </c>
      <c r="Z102" t="str">
        <f t="shared" si="5"/>
        <v>No Discount</v>
      </c>
    </row>
    <row r="103" spans="1:26" x14ac:dyDescent="0.35">
      <c r="A103" s="1">
        <v>102</v>
      </c>
      <c r="B103" s="2" t="s">
        <v>434</v>
      </c>
      <c r="C103" s="3">
        <v>44968</v>
      </c>
      <c r="D103" s="3">
        <v>44972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</v>
      </c>
      <c r="T103" s="1">
        <v>0</v>
      </c>
      <c r="U103" s="1">
        <v>53.270399999999995</v>
      </c>
      <c r="V103">
        <f>YEAR(Table1[[#This Row],[Order Date]])</f>
        <v>2023</v>
      </c>
      <c r="W103" t="str">
        <f>TEXT(Table1[[#This Row],[Order Date]],"mmm")</f>
        <v>Feb</v>
      </c>
      <c r="X103">
        <f t="shared" si="3"/>
        <v>17.756799999999998</v>
      </c>
      <c r="Y103" t="str">
        <f t="shared" si="4"/>
        <v>Profit</v>
      </c>
      <c r="Z103" t="str">
        <f t="shared" si="5"/>
        <v>No Discount</v>
      </c>
    </row>
    <row r="104" spans="1:26" x14ac:dyDescent="0.35">
      <c r="A104" s="1">
        <v>103</v>
      </c>
      <c r="B104" s="2" t="s">
        <v>443</v>
      </c>
      <c r="C104" s="3">
        <v>44968</v>
      </c>
      <c r="D104" s="3">
        <v>44972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</v>
      </c>
      <c r="T104" s="1">
        <v>0</v>
      </c>
      <c r="U104" s="1">
        <v>75.37319999999994</v>
      </c>
      <c r="V104">
        <f>YEAR(Table1[[#This Row],[Order Date]])</f>
        <v>2023</v>
      </c>
      <c r="W104" t="str">
        <f>TEXT(Table1[[#This Row],[Order Date]],"mmm")</f>
        <v>Feb</v>
      </c>
      <c r="X104">
        <f t="shared" si="3"/>
        <v>12.56219999999999</v>
      </c>
      <c r="Y104" t="str">
        <f t="shared" si="4"/>
        <v>Profit</v>
      </c>
      <c r="Z104" t="str">
        <f t="shared" si="5"/>
        <v>No Discount</v>
      </c>
    </row>
    <row r="105" spans="1:26" x14ac:dyDescent="0.35">
      <c r="A105" s="1">
        <v>104</v>
      </c>
      <c r="B105" s="2" t="s">
        <v>443</v>
      </c>
      <c r="C105" s="3">
        <v>44968</v>
      </c>
      <c r="D105" s="3">
        <v>44972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</v>
      </c>
      <c r="T105" s="1">
        <v>0</v>
      </c>
      <c r="U105" s="1">
        <v>8.2061999999999991</v>
      </c>
      <c r="V105">
        <f>YEAR(Table1[[#This Row],[Order Date]])</f>
        <v>2023</v>
      </c>
      <c r="W105" t="str">
        <f>TEXT(Table1[[#This Row],[Order Date]],"mmm")</f>
        <v>Feb</v>
      </c>
      <c r="X105">
        <f t="shared" si="3"/>
        <v>4.1030999999999995</v>
      </c>
      <c r="Y105" t="str">
        <f t="shared" si="4"/>
        <v>Profit</v>
      </c>
      <c r="Z105" t="str">
        <f t="shared" si="5"/>
        <v>No Discount</v>
      </c>
    </row>
    <row r="106" spans="1:26" x14ac:dyDescent="0.35">
      <c r="A106" s="1">
        <v>105</v>
      </c>
      <c r="B106" s="2" t="s">
        <v>434</v>
      </c>
      <c r="C106" s="3">
        <v>44968</v>
      </c>
      <c r="D106" s="3">
        <v>44972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51.900000000000006</v>
      </c>
      <c r="S106" s="1">
        <v>3</v>
      </c>
      <c r="T106" s="1">
        <v>0</v>
      </c>
      <c r="U106" s="1">
        <v>24.393000000000001</v>
      </c>
      <c r="V106">
        <f>YEAR(Table1[[#This Row],[Order Date]])</f>
        <v>2023</v>
      </c>
      <c r="W106" t="str">
        <f>TEXT(Table1[[#This Row],[Order Date]],"mmm")</f>
        <v>Feb</v>
      </c>
      <c r="X106">
        <f t="shared" si="3"/>
        <v>8.1310000000000002</v>
      </c>
      <c r="Y106" t="str">
        <f t="shared" si="4"/>
        <v>Profit</v>
      </c>
      <c r="Z106" t="str">
        <f t="shared" si="5"/>
        <v>No Discount</v>
      </c>
    </row>
    <row r="107" spans="1:26" x14ac:dyDescent="0.35">
      <c r="A107" s="1">
        <v>106</v>
      </c>
      <c r="B107" s="2" t="s">
        <v>434</v>
      </c>
      <c r="C107" s="3">
        <v>44968</v>
      </c>
      <c r="D107" s="3">
        <v>44972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</v>
      </c>
      <c r="T107" s="1">
        <v>0</v>
      </c>
      <c r="U107" s="1">
        <v>4.4344000000000001</v>
      </c>
      <c r="V107">
        <f>YEAR(Table1[[#This Row],[Order Date]])</f>
        <v>2023</v>
      </c>
      <c r="W107" t="str">
        <f>TEXT(Table1[[#This Row],[Order Date]],"mmm")</f>
        <v>Feb</v>
      </c>
      <c r="X107">
        <f t="shared" si="3"/>
        <v>2.2172000000000001</v>
      </c>
      <c r="Y107" t="str">
        <f t="shared" si="4"/>
        <v>Profit</v>
      </c>
      <c r="Z107" t="str">
        <f t="shared" si="5"/>
        <v>No Discount</v>
      </c>
    </row>
    <row r="108" spans="1:26" x14ac:dyDescent="0.35">
      <c r="A108" s="1">
        <v>107</v>
      </c>
      <c r="B108" s="2" t="s">
        <v>434</v>
      </c>
      <c r="C108" s="3">
        <v>44968</v>
      </c>
      <c r="D108" s="3">
        <v>44972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14.940000000000001</v>
      </c>
      <c r="S108" s="1">
        <v>3</v>
      </c>
      <c r="T108" s="1">
        <v>0</v>
      </c>
      <c r="U108" s="1">
        <v>6.8723999999999998</v>
      </c>
      <c r="V108">
        <f>YEAR(Table1[[#This Row],[Order Date]])</f>
        <v>2023</v>
      </c>
      <c r="W108" t="str">
        <f>TEXT(Table1[[#This Row],[Order Date]],"mmm")</f>
        <v>Feb</v>
      </c>
      <c r="X108">
        <f t="shared" si="3"/>
        <v>2.2907999999999999</v>
      </c>
      <c r="Y108" t="str">
        <f t="shared" si="4"/>
        <v>Profit</v>
      </c>
      <c r="Z108" t="str">
        <f t="shared" si="5"/>
        <v>No Discount</v>
      </c>
    </row>
    <row r="109" spans="1:26" x14ac:dyDescent="0.35">
      <c r="A109" s="1">
        <v>108</v>
      </c>
      <c r="B109" s="2" t="s">
        <v>434</v>
      </c>
      <c r="C109" s="3">
        <v>44968</v>
      </c>
      <c r="D109" s="3">
        <v>44972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64.959999999999994</v>
      </c>
      <c r="S109" s="1">
        <v>2</v>
      </c>
      <c r="T109" s="1">
        <v>0</v>
      </c>
      <c r="U109" s="1">
        <v>2.598399999999998</v>
      </c>
      <c r="V109">
        <f>YEAR(Table1[[#This Row],[Order Date]])</f>
        <v>2023</v>
      </c>
      <c r="W109" t="str">
        <f>TEXT(Table1[[#This Row],[Order Date]],"mmm")</f>
        <v>Feb</v>
      </c>
      <c r="X109">
        <f t="shared" si="3"/>
        <v>1.299199999999999</v>
      </c>
      <c r="Y109" t="str">
        <f t="shared" si="4"/>
        <v>Profit</v>
      </c>
      <c r="Z109" t="str">
        <f t="shared" si="5"/>
        <v>No Discount</v>
      </c>
    </row>
    <row r="110" spans="1:26" x14ac:dyDescent="0.35">
      <c r="A110" s="1">
        <v>109</v>
      </c>
      <c r="B110" s="2" t="s">
        <v>443</v>
      </c>
      <c r="C110" s="3">
        <v>44968</v>
      </c>
      <c r="D110" s="3">
        <v>44972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234.45000000000002</v>
      </c>
      <c r="S110" s="1">
        <v>3</v>
      </c>
      <c r="T110" s="1">
        <v>0</v>
      </c>
      <c r="U110" s="1">
        <v>103.15800000000003</v>
      </c>
      <c r="V110">
        <f>YEAR(Table1[[#This Row],[Order Date]])</f>
        <v>2023</v>
      </c>
      <c r="W110" t="str">
        <f>TEXT(Table1[[#This Row],[Order Date]],"mmm")</f>
        <v>Feb</v>
      </c>
      <c r="X110">
        <f t="shared" si="3"/>
        <v>34.38600000000001</v>
      </c>
      <c r="Y110" t="str">
        <f t="shared" si="4"/>
        <v>Profit</v>
      </c>
      <c r="Z110" t="str">
        <f t="shared" si="5"/>
        <v>No Discount</v>
      </c>
    </row>
    <row r="111" spans="1:26" x14ac:dyDescent="0.35">
      <c r="A111" s="1">
        <v>110</v>
      </c>
      <c r="B111" s="2" t="s">
        <v>458</v>
      </c>
      <c r="C111" s="3">
        <v>44969</v>
      </c>
      <c r="D111" s="3">
        <v>44975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129.56800000000001</v>
      </c>
      <c r="S111" s="1">
        <v>2</v>
      </c>
      <c r="T111" s="1">
        <v>0.2</v>
      </c>
      <c r="U111" s="1">
        <v>-24.294000000000018</v>
      </c>
      <c r="V111">
        <f>YEAR(Table1[[#This Row],[Order Date]])</f>
        <v>2023</v>
      </c>
      <c r="W111" t="str">
        <f>TEXT(Table1[[#This Row],[Order Date]],"mmm")</f>
        <v>Feb</v>
      </c>
      <c r="X111">
        <f t="shared" si="3"/>
        <v>-12.147000000000009</v>
      </c>
      <c r="Y111" t="str">
        <f t="shared" si="4"/>
        <v>Loss</v>
      </c>
      <c r="Z111" t="str">
        <f t="shared" si="5"/>
        <v>Low</v>
      </c>
    </row>
    <row r="112" spans="1:26" x14ac:dyDescent="0.35">
      <c r="A112" s="1">
        <v>111</v>
      </c>
      <c r="B112" s="2" t="s">
        <v>464</v>
      </c>
      <c r="C112" s="3">
        <v>44971</v>
      </c>
      <c r="D112" s="3">
        <v>44975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</v>
      </c>
      <c r="T112" s="1">
        <v>0</v>
      </c>
      <c r="U112" s="1">
        <v>22.948799999999999</v>
      </c>
      <c r="V112">
        <f>YEAR(Table1[[#This Row],[Order Date]])</f>
        <v>2023</v>
      </c>
      <c r="W112" t="str">
        <f>TEXT(Table1[[#This Row],[Order Date]],"mmm")</f>
        <v>Feb</v>
      </c>
      <c r="X112">
        <f t="shared" si="3"/>
        <v>11.474399999999999</v>
      </c>
      <c r="Y112" t="str">
        <f t="shared" si="4"/>
        <v>Profit</v>
      </c>
      <c r="Z112" t="str">
        <f t="shared" si="5"/>
        <v>No Discount</v>
      </c>
    </row>
    <row r="113" spans="1:26" x14ac:dyDescent="0.35">
      <c r="A113" s="1">
        <v>112</v>
      </c>
      <c r="B113" s="2" t="s">
        <v>469</v>
      </c>
      <c r="C113" s="3">
        <v>44971</v>
      </c>
      <c r="D113" s="3">
        <v>44976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16.176000000000002</v>
      </c>
      <c r="S113" s="1">
        <v>3</v>
      </c>
      <c r="T113" s="1">
        <v>0.2</v>
      </c>
      <c r="U113" s="1">
        <v>6.0659999999999989</v>
      </c>
      <c r="V113">
        <f>YEAR(Table1[[#This Row],[Order Date]])</f>
        <v>2023</v>
      </c>
      <c r="W113" t="str">
        <f>TEXT(Table1[[#This Row],[Order Date]],"mmm")</f>
        <v>Feb</v>
      </c>
      <c r="X113">
        <f t="shared" si="3"/>
        <v>2.0219999999999998</v>
      </c>
      <c r="Y113" t="str">
        <f t="shared" si="4"/>
        <v>Profit</v>
      </c>
      <c r="Z113" t="str">
        <f t="shared" si="5"/>
        <v>Low</v>
      </c>
    </row>
    <row r="114" spans="1:26" x14ac:dyDescent="0.35">
      <c r="A114" s="1">
        <v>113</v>
      </c>
      <c r="B114" s="2" t="s">
        <v>464</v>
      </c>
      <c r="C114" s="3">
        <v>44971</v>
      </c>
      <c r="D114" s="3">
        <v>44975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</v>
      </c>
      <c r="T114" s="1">
        <v>0</v>
      </c>
      <c r="U114" s="1">
        <v>4.7724000000000046</v>
      </c>
      <c r="V114">
        <f>YEAR(Table1[[#This Row],[Order Date]])</f>
        <v>2023</v>
      </c>
      <c r="W114" t="str">
        <f>TEXT(Table1[[#This Row],[Order Date]],"mmm")</f>
        <v>Feb</v>
      </c>
      <c r="X114">
        <f t="shared" si="3"/>
        <v>2.3862000000000023</v>
      </c>
      <c r="Y114" t="str">
        <f t="shared" si="4"/>
        <v>Profit</v>
      </c>
      <c r="Z114" t="str">
        <f t="shared" si="5"/>
        <v>No Discount</v>
      </c>
    </row>
    <row r="115" spans="1:26" x14ac:dyDescent="0.35">
      <c r="A115" s="1">
        <v>114</v>
      </c>
      <c r="B115" s="2" t="s">
        <v>464</v>
      </c>
      <c r="C115" s="3">
        <v>44971</v>
      </c>
      <c r="D115" s="3">
        <v>44975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239.96999999999997</v>
      </c>
      <c r="S115" s="1">
        <v>3</v>
      </c>
      <c r="T115" s="1">
        <v>0</v>
      </c>
      <c r="U115" s="1">
        <v>86.389199999999988</v>
      </c>
      <c r="V115">
        <f>YEAR(Table1[[#This Row],[Order Date]])</f>
        <v>2023</v>
      </c>
      <c r="W115" t="str">
        <f>TEXT(Table1[[#This Row],[Order Date]],"mmm")</f>
        <v>Feb</v>
      </c>
      <c r="X115">
        <f t="shared" si="3"/>
        <v>28.796399999999995</v>
      </c>
      <c r="Y115" t="str">
        <f t="shared" si="4"/>
        <v>Profit</v>
      </c>
      <c r="Z115" t="str">
        <f t="shared" si="5"/>
        <v>No Discount</v>
      </c>
    </row>
    <row r="116" spans="1:26" x14ac:dyDescent="0.35">
      <c r="A116" s="1">
        <v>115</v>
      </c>
      <c r="B116" s="2" t="s">
        <v>479</v>
      </c>
      <c r="C116" s="3">
        <v>44972</v>
      </c>
      <c r="D116" s="3">
        <v>44976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</v>
      </c>
      <c r="T116" s="1">
        <v>0.2</v>
      </c>
      <c r="U116" s="1">
        <v>7.2089999999999996</v>
      </c>
      <c r="V116">
        <f>YEAR(Table1[[#This Row],[Order Date]])</f>
        <v>2023</v>
      </c>
      <c r="W116" t="str">
        <f>TEXT(Table1[[#This Row],[Order Date]],"mmm")</f>
        <v>Feb</v>
      </c>
      <c r="X116">
        <f t="shared" si="3"/>
        <v>1.4418</v>
      </c>
      <c r="Y116" t="str">
        <f t="shared" si="4"/>
        <v>Profit</v>
      </c>
      <c r="Z116" t="str">
        <f t="shared" si="5"/>
        <v>Low</v>
      </c>
    </row>
    <row r="117" spans="1:26" x14ac:dyDescent="0.35">
      <c r="A117" s="1">
        <v>116</v>
      </c>
      <c r="B117" s="2" t="s">
        <v>484</v>
      </c>
      <c r="C117" s="3">
        <v>44973</v>
      </c>
      <c r="D117" s="3">
        <v>44978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7.9599999999999973</v>
      </c>
      <c r="S117" s="1">
        <v>2</v>
      </c>
      <c r="T117" s="1">
        <v>0.8</v>
      </c>
      <c r="U117" s="1">
        <v>-13.930000000000003</v>
      </c>
      <c r="V117">
        <f>YEAR(Table1[[#This Row],[Order Date]])</f>
        <v>2023</v>
      </c>
      <c r="W117" t="str">
        <f>TEXT(Table1[[#This Row],[Order Date]],"mmm")</f>
        <v>Feb</v>
      </c>
      <c r="X117">
        <f t="shared" si="3"/>
        <v>-6.9650000000000016</v>
      </c>
      <c r="Y117" t="str">
        <f t="shared" si="4"/>
        <v>Loss</v>
      </c>
      <c r="Z117" t="str">
        <f t="shared" si="5"/>
        <v>High</v>
      </c>
    </row>
    <row r="118" spans="1:26" x14ac:dyDescent="0.35">
      <c r="A118" s="1">
        <v>117</v>
      </c>
      <c r="B118" s="2" t="s">
        <v>484</v>
      </c>
      <c r="C118" s="3">
        <v>44973</v>
      </c>
      <c r="D118" s="3">
        <v>44978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1.0799999999999998</v>
      </c>
      <c r="S118" s="1">
        <v>3</v>
      </c>
      <c r="T118" s="1">
        <v>0.8</v>
      </c>
      <c r="U118" s="1">
        <v>-1.7280000000000002</v>
      </c>
      <c r="V118">
        <f>YEAR(Table1[[#This Row],[Order Date]])</f>
        <v>2023</v>
      </c>
      <c r="W118" t="str">
        <f>TEXT(Table1[[#This Row],[Order Date]],"mmm")</f>
        <v>Feb</v>
      </c>
      <c r="X118">
        <f t="shared" si="3"/>
        <v>-0.57600000000000007</v>
      </c>
      <c r="Y118" t="str">
        <f t="shared" si="4"/>
        <v>Loss</v>
      </c>
      <c r="Z118" t="str">
        <f t="shared" si="5"/>
        <v>High</v>
      </c>
    </row>
    <row r="119" spans="1:26" x14ac:dyDescent="0.35">
      <c r="A119" s="1">
        <v>118</v>
      </c>
      <c r="B119" s="2" t="s">
        <v>492</v>
      </c>
      <c r="C119" s="3">
        <v>44974</v>
      </c>
      <c r="D119" s="3">
        <v>44981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54.207999999999998</v>
      </c>
      <c r="S119" s="1">
        <v>14</v>
      </c>
      <c r="T119" s="1">
        <v>0.2</v>
      </c>
      <c r="U119" s="1">
        <v>8.808799999999998</v>
      </c>
      <c r="V119">
        <f>YEAR(Table1[[#This Row],[Order Date]])</f>
        <v>2023</v>
      </c>
      <c r="W119" t="str">
        <f>TEXT(Table1[[#This Row],[Order Date]],"mmm")</f>
        <v>Feb</v>
      </c>
      <c r="X119">
        <f t="shared" si="3"/>
        <v>0.62919999999999987</v>
      </c>
      <c r="Y119" t="str">
        <f t="shared" si="4"/>
        <v>Profit</v>
      </c>
      <c r="Z119" t="str">
        <f t="shared" si="5"/>
        <v>Low</v>
      </c>
    </row>
    <row r="120" spans="1:26" x14ac:dyDescent="0.35">
      <c r="A120" s="1">
        <v>119</v>
      </c>
      <c r="B120" s="2" t="s">
        <v>496</v>
      </c>
      <c r="C120" s="3">
        <v>44975</v>
      </c>
      <c r="D120" s="3">
        <v>44975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</v>
      </c>
      <c r="T120" s="1">
        <v>0.6</v>
      </c>
      <c r="U120" s="1">
        <v>-11.321999999999999</v>
      </c>
      <c r="V120">
        <f>YEAR(Table1[[#This Row],[Order Date]])</f>
        <v>2023</v>
      </c>
      <c r="W120" t="str">
        <f>TEXT(Table1[[#This Row],[Order Date]],"mmm")</f>
        <v>Feb</v>
      </c>
      <c r="X120">
        <f t="shared" si="3"/>
        <v>-2.2643999999999997</v>
      </c>
      <c r="Y120" t="str">
        <f t="shared" si="4"/>
        <v>Loss</v>
      </c>
      <c r="Z120" t="str">
        <f t="shared" si="5"/>
        <v>High</v>
      </c>
    </row>
    <row r="121" spans="1:26" x14ac:dyDescent="0.35">
      <c r="A121" s="1">
        <v>120</v>
      </c>
      <c r="B121" s="2" t="s">
        <v>503</v>
      </c>
      <c r="C121" s="3">
        <v>44975</v>
      </c>
      <c r="D121" s="3">
        <v>44981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12.624000000000001</v>
      </c>
      <c r="S121" s="1">
        <v>2</v>
      </c>
      <c r="T121" s="1">
        <v>0.2</v>
      </c>
      <c r="U121" s="1">
        <v>-2.5248000000000022</v>
      </c>
      <c r="V121">
        <f>YEAR(Table1[[#This Row],[Order Date]])</f>
        <v>2023</v>
      </c>
      <c r="W121" t="str">
        <f>TEXT(Table1[[#This Row],[Order Date]],"mmm")</f>
        <v>Feb</v>
      </c>
      <c r="X121">
        <f t="shared" si="3"/>
        <v>-1.2624000000000011</v>
      </c>
      <c r="Y121" t="str">
        <f t="shared" si="4"/>
        <v>Loss</v>
      </c>
      <c r="Z121" t="str">
        <f t="shared" si="5"/>
        <v>Low</v>
      </c>
    </row>
    <row r="122" spans="1:26" x14ac:dyDescent="0.35">
      <c r="A122" s="1">
        <v>121</v>
      </c>
      <c r="B122" s="2" t="s">
        <v>509</v>
      </c>
      <c r="C122" s="3">
        <v>44977</v>
      </c>
      <c r="D122" s="3">
        <v>44983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</v>
      </c>
      <c r="T122" s="1">
        <v>0</v>
      </c>
      <c r="U122" s="1">
        <v>6.9087999999999994</v>
      </c>
      <c r="V122">
        <f>YEAR(Table1[[#This Row],[Order Date]])</f>
        <v>2023</v>
      </c>
      <c r="W122" t="str">
        <f>TEXT(Table1[[#This Row],[Order Date]],"mmm")</f>
        <v>Feb</v>
      </c>
      <c r="X122">
        <f t="shared" si="3"/>
        <v>1.7271999999999998</v>
      </c>
      <c r="Y122" t="str">
        <f t="shared" si="4"/>
        <v>Profit</v>
      </c>
      <c r="Z122" t="str">
        <f t="shared" si="5"/>
        <v>No Discount</v>
      </c>
    </row>
    <row r="123" spans="1:26" x14ac:dyDescent="0.35">
      <c r="A123" s="1">
        <v>122</v>
      </c>
      <c r="B123" s="2" t="s">
        <v>515</v>
      </c>
      <c r="C123" s="3">
        <v>44977</v>
      </c>
      <c r="D123" s="3">
        <v>44981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</v>
      </c>
      <c r="T123" s="1">
        <v>0</v>
      </c>
      <c r="U123" s="1">
        <v>6.2208000000000006</v>
      </c>
      <c r="V123">
        <f>YEAR(Table1[[#This Row],[Order Date]])</f>
        <v>2023</v>
      </c>
      <c r="W123" t="str">
        <f>TEXT(Table1[[#This Row],[Order Date]],"mmm")</f>
        <v>Feb</v>
      </c>
      <c r="X123">
        <f t="shared" si="3"/>
        <v>3.1104000000000003</v>
      </c>
      <c r="Y123" t="str">
        <f t="shared" si="4"/>
        <v>Profit</v>
      </c>
      <c r="Z123" t="str">
        <f t="shared" si="5"/>
        <v>No Discount</v>
      </c>
    </row>
    <row r="124" spans="1:26" x14ac:dyDescent="0.35">
      <c r="A124" s="1">
        <v>123</v>
      </c>
      <c r="B124" s="2" t="s">
        <v>509</v>
      </c>
      <c r="C124" s="3">
        <v>44977</v>
      </c>
      <c r="D124" s="3">
        <v>44983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</v>
      </c>
      <c r="T124" s="1">
        <v>0</v>
      </c>
      <c r="U124" s="1">
        <v>22.4316</v>
      </c>
      <c r="V124">
        <f>YEAR(Table1[[#This Row],[Order Date]])</f>
        <v>2023</v>
      </c>
      <c r="W124" t="str">
        <f>TEXT(Table1[[#This Row],[Order Date]],"mmm")</f>
        <v>Feb</v>
      </c>
      <c r="X124">
        <f t="shared" si="3"/>
        <v>7.4771999999999998</v>
      </c>
      <c r="Y124" t="str">
        <f t="shared" si="4"/>
        <v>Profit</v>
      </c>
      <c r="Z124" t="str">
        <f t="shared" si="5"/>
        <v>No Discount</v>
      </c>
    </row>
    <row r="125" spans="1:26" x14ac:dyDescent="0.35">
      <c r="A125" s="1">
        <v>124</v>
      </c>
      <c r="B125" s="2" t="s">
        <v>522</v>
      </c>
      <c r="C125" s="3">
        <v>44978</v>
      </c>
      <c r="D125" s="3">
        <v>44982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8.8499999999999979</v>
      </c>
      <c r="S125" s="1">
        <v>5</v>
      </c>
      <c r="T125" s="1">
        <v>0.8</v>
      </c>
      <c r="U125" s="1">
        <v>-13.717499999999998</v>
      </c>
      <c r="V125">
        <f>YEAR(Table1[[#This Row],[Order Date]])</f>
        <v>2023</v>
      </c>
      <c r="W125" t="str">
        <f>TEXT(Table1[[#This Row],[Order Date]],"mmm")</f>
        <v>Feb</v>
      </c>
      <c r="X125">
        <f t="shared" si="3"/>
        <v>-2.7434999999999996</v>
      </c>
      <c r="Y125" t="str">
        <f t="shared" si="4"/>
        <v>Loss</v>
      </c>
      <c r="Z125" t="str">
        <f t="shared" si="5"/>
        <v>High</v>
      </c>
    </row>
    <row r="126" spans="1:26" x14ac:dyDescent="0.35">
      <c r="A126" s="1">
        <v>125</v>
      </c>
      <c r="B126" s="2" t="s">
        <v>526</v>
      </c>
      <c r="C126" s="3">
        <v>44979</v>
      </c>
      <c r="D126" s="3">
        <v>44981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  <c r="V126">
        <f>YEAR(Table1[[#This Row],[Order Date]])</f>
        <v>2023</v>
      </c>
      <c r="W126" t="str">
        <f>TEXT(Table1[[#This Row],[Order Date]],"mmm")</f>
        <v>Feb</v>
      </c>
      <c r="X126">
        <f t="shared" si="3"/>
        <v>3.1104000000000003</v>
      </c>
      <c r="Y126" t="str">
        <f t="shared" si="4"/>
        <v>Profit</v>
      </c>
      <c r="Z126" t="str">
        <f t="shared" si="5"/>
        <v>No Discount</v>
      </c>
    </row>
    <row r="127" spans="1:26" x14ac:dyDescent="0.35">
      <c r="A127" s="1">
        <v>126</v>
      </c>
      <c r="B127" s="2" t="s">
        <v>532</v>
      </c>
      <c r="C127" s="3">
        <v>44980</v>
      </c>
      <c r="D127" s="3">
        <v>44984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4.427999999999999</v>
      </c>
      <c r="S127" s="1">
        <v>3</v>
      </c>
      <c r="T127" s="1">
        <v>0.8</v>
      </c>
      <c r="U127" s="1">
        <v>-6.8633999999999986</v>
      </c>
      <c r="V127">
        <f>YEAR(Table1[[#This Row],[Order Date]])</f>
        <v>2023</v>
      </c>
      <c r="W127" t="str">
        <f>TEXT(Table1[[#This Row],[Order Date]],"mmm")</f>
        <v>Feb</v>
      </c>
      <c r="X127">
        <f t="shared" si="3"/>
        <v>-2.2877999999999994</v>
      </c>
      <c r="Y127" t="str">
        <f t="shared" si="4"/>
        <v>Loss</v>
      </c>
      <c r="Z127" t="str">
        <f t="shared" si="5"/>
        <v>High</v>
      </c>
    </row>
    <row r="128" spans="1:26" x14ac:dyDescent="0.35">
      <c r="A128" s="1">
        <v>127</v>
      </c>
      <c r="B128" s="2" t="s">
        <v>532</v>
      </c>
      <c r="C128" s="3">
        <v>44980</v>
      </c>
      <c r="D128" s="3">
        <v>44984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6.9360000000000008</v>
      </c>
      <c r="S128" s="1">
        <v>3</v>
      </c>
      <c r="T128" s="1">
        <v>0.2</v>
      </c>
      <c r="U128" s="1">
        <v>2.3409000000000004</v>
      </c>
      <c r="V128">
        <f>YEAR(Table1[[#This Row],[Order Date]])</f>
        <v>2023</v>
      </c>
      <c r="W128" t="str">
        <f>TEXT(Table1[[#This Row],[Order Date]],"mmm")</f>
        <v>Feb</v>
      </c>
      <c r="X128">
        <f t="shared" si="3"/>
        <v>0.7803000000000001</v>
      </c>
      <c r="Y128" t="str">
        <f t="shared" si="4"/>
        <v>Profit</v>
      </c>
      <c r="Z128" t="str">
        <f t="shared" si="5"/>
        <v>Low</v>
      </c>
    </row>
    <row r="129" spans="1:26" x14ac:dyDescent="0.35">
      <c r="A129" s="1">
        <v>128</v>
      </c>
      <c r="B129" s="2" t="s">
        <v>540</v>
      </c>
      <c r="C129" s="3">
        <v>44981</v>
      </c>
      <c r="D129" s="3">
        <v>44987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22.776000000000003</v>
      </c>
      <c r="S129" s="1">
        <v>3</v>
      </c>
      <c r="T129" s="1">
        <v>0.2</v>
      </c>
      <c r="U129" s="1">
        <v>7.6868999999999996</v>
      </c>
      <c r="V129">
        <f>YEAR(Table1[[#This Row],[Order Date]])</f>
        <v>2023</v>
      </c>
      <c r="W129" t="str">
        <f>TEXT(Table1[[#This Row],[Order Date]],"mmm")</f>
        <v>Feb</v>
      </c>
      <c r="X129">
        <f t="shared" si="3"/>
        <v>2.5623</v>
      </c>
      <c r="Y129" t="str">
        <f t="shared" si="4"/>
        <v>Profit</v>
      </c>
      <c r="Z129" t="str">
        <f t="shared" si="5"/>
        <v>Low</v>
      </c>
    </row>
    <row r="130" spans="1:26" x14ac:dyDescent="0.35">
      <c r="A130" s="1">
        <v>129</v>
      </c>
      <c r="B130" s="2" t="s">
        <v>540</v>
      </c>
      <c r="C130" s="3">
        <v>44981</v>
      </c>
      <c r="D130" s="3">
        <v>44987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32.896000000000001</v>
      </c>
      <c r="S130" s="1">
        <v>4</v>
      </c>
      <c r="T130" s="1">
        <v>0.2</v>
      </c>
      <c r="U130" s="1">
        <v>11.102399999999996</v>
      </c>
      <c r="V130">
        <f>YEAR(Table1[[#This Row],[Order Date]])</f>
        <v>2023</v>
      </c>
      <c r="W130" t="str">
        <f>TEXT(Table1[[#This Row],[Order Date]],"mmm")</f>
        <v>Feb</v>
      </c>
      <c r="X130">
        <f t="shared" ref="X130:X193" si="6">IFERROR(U130/S130,0)</f>
        <v>2.775599999999999</v>
      </c>
      <c r="Y130" t="str">
        <f t="shared" ref="Y130:Y193" si="7">IF(U130&gt;0,"Profit",IF(U130&lt;0,"Loss","Break-even"))</f>
        <v>Profit</v>
      </c>
      <c r="Z130" t="str">
        <f t="shared" ref="Z130:Z193" si="8">IF(T130=0,"No Discount",IF(T130&lt;=0.2,"Low",IF(T130&lt;=0.4,"Medium","High")))</f>
        <v>Low</v>
      </c>
    </row>
    <row r="131" spans="1:26" x14ac:dyDescent="0.35">
      <c r="A131" s="1">
        <v>130</v>
      </c>
      <c r="B131" s="2" t="s">
        <v>546</v>
      </c>
      <c r="C131" s="3">
        <v>44984</v>
      </c>
      <c r="D131" s="3">
        <v>44988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19.456000000000003</v>
      </c>
      <c r="S131" s="1">
        <v>4</v>
      </c>
      <c r="T131" s="1">
        <v>0.2</v>
      </c>
      <c r="U131" s="1">
        <v>3.4047999999999981</v>
      </c>
      <c r="V131">
        <f>YEAR(Table1[[#This Row],[Order Date]])</f>
        <v>2023</v>
      </c>
      <c r="W131" t="str">
        <f>TEXT(Table1[[#This Row],[Order Date]],"mmm")</f>
        <v>Feb</v>
      </c>
      <c r="X131">
        <f t="shared" si="6"/>
        <v>0.85119999999999951</v>
      </c>
      <c r="Y131" t="str">
        <f t="shared" si="7"/>
        <v>Profit</v>
      </c>
      <c r="Z131" t="str">
        <f t="shared" si="8"/>
        <v>Low</v>
      </c>
    </row>
    <row r="132" spans="1:26" x14ac:dyDescent="0.35">
      <c r="A132" s="1">
        <v>131</v>
      </c>
      <c r="B132" s="2" t="s">
        <v>552</v>
      </c>
      <c r="C132" s="3">
        <v>44986</v>
      </c>
      <c r="D132" s="3">
        <v>44990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634.11599999999999</v>
      </c>
      <c r="S132" s="1">
        <v>6</v>
      </c>
      <c r="T132" s="1">
        <v>0.3</v>
      </c>
      <c r="U132" s="1">
        <v>-172.11720000000003</v>
      </c>
      <c r="V132">
        <f>YEAR(Table1[[#This Row],[Order Date]])</f>
        <v>2023</v>
      </c>
      <c r="W132" t="str">
        <f>TEXT(Table1[[#This Row],[Order Date]],"mmm")</f>
        <v>Mar</v>
      </c>
      <c r="X132">
        <f t="shared" si="6"/>
        <v>-28.686200000000003</v>
      </c>
      <c r="Y132" t="str">
        <f t="shared" si="7"/>
        <v>Loss</v>
      </c>
      <c r="Z132" t="str">
        <f t="shared" si="8"/>
        <v>Medium</v>
      </c>
    </row>
    <row r="133" spans="1:26" x14ac:dyDescent="0.35">
      <c r="A133" s="1">
        <v>132</v>
      </c>
      <c r="B133" s="2" t="s">
        <v>558</v>
      </c>
      <c r="C133" s="3">
        <v>44986</v>
      </c>
      <c r="D133" s="3">
        <v>44990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362.24999999999994</v>
      </c>
      <c r="S133" s="1">
        <v>6</v>
      </c>
      <c r="T133" s="1">
        <v>0.3</v>
      </c>
      <c r="U133" s="1">
        <v>0</v>
      </c>
      <c r="V133">
        <f>YEAR(Table1[[#This Row],[Order Date]])</f>
        <v>2023</v>
      </c>
      <c r="W133" t="str">
        <f>TEXT(Table1[[#This Row],[Order Date]],"mmm")</f>
        <v>Mar</v>
      </c>
      <c r="X133">
        <f t="shared" si="6"/>
        <v>0</v>
      </c>
      <c r="Y133" t="str">
        <f t="shared" si="7"/>
        <v>Break-even</v>
      </c>
      <c r="Z133" t="str">
        <f t="shared" si="8"/>
        <v>Medium</v>
      </c>
    </row>
    <row r="134" spans="1:26" x14ac:dyDescent="0.35">
      <c r="A134" s="1">
        <v>133</v>
      </c>
      <c r="B134" s="2" t="s">
        <v>563</v>
      </c>
      <c r="C134" s="3">
        <v>44986</v>
      </c>
      <c r="D134" s="3">
        <v>44991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457.56800000000004</v>
      </c>
      <c r="S134" s="1">
        <v>2</v>
      </c>
      <c r="T134" s="1">
        <v>0.2</v>
      </c>
      <c r="U134" s="1">
        <v>51.476399999999941</v>
      </c>
      <c r="V134">
        <f>YEAR(Table1[[#This Row],[Order Date]])</f>
        <v>2023</v>
      </c>
      <c r="W134" t="str">
        <f>TEXT(Table1[[#This Row],[Order Date]],"mmm")</f>
        <v>Mar</v>
      </c>
      <c r="X134">
        <f t="shared" si="6"/>
        <v>25.738199999999971</v>
      </c>
      <c r="Y134" t="str">
        <f t="shared" si="7"/>
        <v>Profit</v>
      </c>
      <c r="Z134" t="str">
        <f t="shared" si="8"/>
        <v>Low</v>
      </c>
    </row>
    <row r="135" spans="1:26" x14ac:dyDescent="0.35">
      <c r="A135" s="1">
        <v>134</v>
      </c>
      <c r="B135" s="2" t="s">
        <v>558</v>
      </c>
      <c r="C135" s="3">
        <v>44986</v>
      </c>
      <c r="D135" s="3">
        <v>44990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63.552000000000007</v>
      </c>
      <c r="S135" s="1">
        <v>6</v>
      </c>
      <c r="T135" s="1">
        <v>0.6</v>
      </c>
      <c r="U135" s="1">
        <v>-34.953600000000002</v>
      </c>
      <c r="V135">
        <f>YEAR(Table1[[#This Row],[Order Date]])</f>
        <v>2023</v>
      </c>
      <c r="W135" t="str">
        <f>TEXT(Table1[[#This Row],[Order Date]],"mmm")</f>
        <v>Mar</v>
      </c>
      <c r="X135">
        <f t="shared" si="6"/>
        <v>-5.8256000000000006</v>
      </c>
      <c r="Y135" t="str">
        <f t="shared" si="7"/>
        <v>Loss</v>
      </c>
      <c r="Z135" t="str">
        <f t="shared" si="8"/>
        <v>High</v>
      </c>
    </row>
    <row r="136" spans="1:26" x14ac:dyDescent="0.35">
      <c r="A136" s="1">
        <v>135</v>
      </c>
      <c r="B136" s="2" t="s">
        <v>566</v>
      </c>
      <c r="C136" s="3">
        <v>44986</v>
      </c>
      <c r="D136" s="3">
        <v>44992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>
        <f>YEAR(Table1[[#This Row],[Order Date]])</f>
        <v>2023</v>
      </c>
      <c r="W136" t="str">
        <f>TEXT(Table1[[#This Row],[Order Date]],"mmm")</f>
        <v>Mar</v>
      </c>
      <c r="X136">
        <f t="shared" si="6"/>
        <v>-14.343200000000015</v>
      </c>
      <c r="Y136" t="str">
        <f t="shared" si="7"/>
        <v>Loss</v>
      </c>
      <c r="Z136" t="str">
        <f t="shared" si="8"/>
        <v>Medium</v>
      </c>
    </row>
    <row r="137" spans="1:26" x14ac:dyDescent="0.35">
      <c r="A137" s="1">
        <v>136</v>
      </c>
      <c r="B137" s="2" t="s">
        <v>558</v>
      </c>
      <c r="C137" s="3">
        <v>44986</v>
      </c>
      <c r="D137" s="3">
        <v>44990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</v>
      </c>
      <c r="T137" s="1">
        <v>0.2</v>
      </c>
      <c r="U137" s="1">
        <v>-3.5324999999999998</v>
      </c>
      <c r="V137">
        <f>YEAR(Table1[[#This Row],[Order Date]])</f>
        <v>2023</v>
      </c>
      <c r="W137" t="str">
        <f>TEXT(Table1[[#This Row],[Order Date]],"mmm")</f>
        <v>Mar</v>
      </c>
      <c r="X137">
        <f t="shared" si="6"/>
        <v>-0.70649999999999991</v>
      </c>
      <c r="Y137" t="str">
        <f t="shared" si="7"/>
        <v>Loss</v>
      </c>
      <c r="Z137" t="str">
        <f t="shared" si="8"/>
        <v>Low</v>
      </c>
    </row>
    <row r="138" spans="1:26" x14ac:dyDescent="0.35">
      <c r="A138" s="1">
        <v>137</v>
      </c>
      <c r="B138" s="2" t="s">
        <v>552</v>
      </c>
      <c r="C138" s="3">
        <v>44986</v>
      </c>
      <c r="D138" s="3">
        <v>44990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17.472000000000001</v>
      </c>
      <c r="S138" s="1">
        <v>3</v>
      </c>
      <c r="T138" s="1">
        <v>0.2</v>
      </c>
      <c r="U138" s="1">
        <v>5.6783999999999981</v>
      </c>
      <c r="V138">
        <f>YEAR(Table1[[#This Row],[Order Date]])</f>
        <v>2023</v>
      </c>
      <c r="W138" t="str">
        <f>TEXT(Table1[[#This Row],[Order Date]],"mmm")</f>
        <v>Mar</v>
      </c>
      <c r="X138">
        <f t="shared" si="6"/>
        <v>1.8927999999999994</v>
      </c>
      <c r="Y138" t="str">
        <f t="shared" si="7"/>
        <v>Profit</v>
      </c>
      <c r="Z138" t="str">
        <f t="shared" si="8"/>
        <v>Low</v>
      </c>
    </row>
    <row r="139" spans="1:26" x14ac:dyDescent="0.35">
      <c r="A139" s="1">
        <v>138</v>
      </c>
      <c r="B139" s="2" t="s">
        <v>558</v>
      </c>
      <c r="C139" s="3">
        <v>44986</v>
      </c>
      <c r="D139" s="3">
        <v>44990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129.55199999999999</v>
      </c>
      <c r="S139" s="1">
        <v>3</v>
      </c>
      <c r="T139" s="1">
        <v>0.2</v>
      </c>
      <c r="U139" s="1">
        <v>-22.671600000000005</v>
      </c>
      <c r="V139">
        <f>YEAR(Table1[[#This Row],[Order Date]])</f>
        <v>2023</v>
      </c>
      <c r="W139" t="str">
        <f>TEXT(Table1[[#This Row],[Order Date]],"mmm")</f>
        <v>Mar</v>
      </c>
      <c r="X139">
        <f t="shared" si="6"/>
        <v>-7.5572000000000017</v>
      </c>
      <c r="Y139" t="str">
        <f t="shared" si="7"/>
        <v>Loss</v>
      </c>
      <c r="Z139" t="str">
        <f t="shared" si="8"/>
        <v>Low</v>
      </c>
    </row>
    <row r="140" spans="1:26" x14ac:dyDescent="0.35">
      <c r="A140" s="1">
        <v>139</v>
      </c>
      <c r="B140" s="2" t="s">
        <v>566</v>
      </c>
      <c r="C140" s="3">
        <v>44986</v>
      </c>
      <c r="D140" s="3">
        <v>44992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</v>
      </c>
      <c r="T140" s="1">
        <v>0.2</v>
      </c>
      <c r="U140" s="1">
        <v>8.5844999999999914</v>
      </c>
      <c r="V140">
        <f>YEAR(Table1[[#This Row],[Order Date]])</f>
        <v>2023</v>
      </c>
      <c r="W140" t="str">
        <f>TEXT(Table1[[#This Row],[Order Date]],"mmm")</f>
        <v>Mar</v>
      </c>
      <c r="X140">
        <f t="shared" si="6"/>
        <v>2.8614999999999973</v>
      </c>
      <c r="Y140" t="str">
        <f t="shared" si="7"/>
        <v>Profit</v>
      </c>
      <c r="Z140" t="str">
        <f t="shared" si="8"/>
        <v>Low</v>
      </c>
    </row>
    <row r="141" spans="1:26" x14ac:dyDescent="0.35">
      <c r="A141" s="1">
        <v>140</v>
      </c>
      <c r="B141" s="2" t="s">
        <v>577</v>
      </c>
      <c r="C141" s="3">
        <v>44986</v>
      </c>
      <c r="D141" s="3">
        <v>44990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5.9399999999999995</v>
      </c>
      <c r="S141" s="1">
        <v>3</v>
      </c>
      <c r="T141" s="1">
        <v>0</v>
      </c>
      <c r="U141" s="1">
        <v>1.6037999999999999</v>
      </c>
      <c r="V141">
        <f>YEAR(Table1[[#This Row],[Order Date]])</f>
        <v>2023</v>
      </c>
      <c r="W141" t="str">
        <f>TEXT(Table1[[#This Row],[Order Date]],"mmm")</f>
        <v>Mar</v>
      </c>
      <c r="X141">
        <f t="shared" si="6"/>
        <v>0.53459999999999996</v>
      </c>
      <c r="Y141" t="str">
        <f t="shared" si="7"/>
        <v>Profit</v>
      </c>
      <c r="Z141" t="str">
        <f t="shared" si="8"/>
        <v>No Discount</v>
      </c>
    </row>
    <row r="142" spans="1:26" x14ac:dyDescent="0.35">
      <c r="A142" s="1">
        <v>141</v>
      </c>
      <c r="B142" s="2" t="s">
        <v>582</v>
      </c>
      <c r="C142" s="3">
        <v>44987</v>
      </c>
      <c r="D142" s="3">
        <v>44993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</v>
      </c>
      <c r="T142" s="1">
        <v>0</v>
      </c>
      <c r="U142" s="1">
        <v>5.3391999999999991</v>
      </c>
      <c r="V142">
        <f>YEAR(Table1[[#This Row],[Order Date]])</f>
        <v>2023</v>
      </c>
      <c r="W142" t="str">
        <f>TEXT(Table1[[#This Row],[Order Date]],"mmm")</f>
        <v>Mar</v>
      </c>
      <c r="X142">
        <f t="shared" si="6"/>
        <v>2.6695999999999995</v>
      </c>
      <c r="Y142" t="str">
        <f t="shared" si="7"/>
        <v>Profit</v>
      </c>
      <c r="Z142" t="str">
        <f t="shared" si="8"/>
        <v>No Discount</v>
      </c>
    </row>
    <row r="143" spans="1:26" x14ac:dyDescent="0.35">
      <c r="A143" s="1">
        <v>142</v>
      </c>
      <c r="B143" s="2" t="s">
        <v>585</v>
      </c>
      <c r="C143" s="3">
        <v>44987</v>
      </c>
      <c r="D143" s="3">
        <v>44991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3.4240000000000004</v>
      </c>
      <c r="S143" s="1">
        <v>1</v>
      </c>
      <c r="T143" s="1">
        <v>0.2</v>
      </c>
      <c r="U143" s="1">
        <v>1.0699999999999996</v>
      </c>
      <c r="V143">
        <f>YEAR(Table1[[#This Row],[Order Date]])</f>
        <v>2023</v>
      </c>
      <c r="W143" t="str">
        <f>TEXT(Table1[[#This Row],[Order Date]],"mmm")</f>
        <v>Mar</v>
      </c>
      <c r="X143">
        <f t="shared" si="6"/>
        <v>1.0699999999999996</v>
      </c>
      <c r="Y143" t="str">
        <f t="shared" si="7"/>
        <v>Profit</v>
      </c>
      <c r="Z143" t="str">
        <f t="shared" si="8"/>
        <v>Low</v>
      </c>
    </row>
    <row r="144" spans="1:26" x14ac:dyDescent="0.35">
      <c r="A144" s="1">
        <v>143</v>
      </c>
      <c r="B144" s="2" t="s">
        <v>582</v>
      </c>
      <c r="C144" s="3">
        <v>44987</v>
      </c>
      <c r="D144" s="3">
        <v>44993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</v>
      </c>
      <c r="T144" s="1">
        <v>0</v>
      </c>
      <c r="U144" s="1">
        <v>17.472000000000001</v>
      </c>
      <c r="V144">
        <f>YEAR(Table1[[#This Row],[Order Date]])</f>
        <v>2023</v>
      </c>
      <c r="W144" t="str">
        <f>TEXT(Table1[[#This Row],[Order Date]],"mmm")</f>
        <v>Mar</v>
      </c>
      <c r="X144">
        <f t="shared" si="6"/>
        <v>3.4944000000000002</v>
      </c>
      <c r="Y144" t="str">
        <f t="shared" si="7"/>
        <v>Profit</v>
      </c>
      <c r="Z144" t="str">
        <f t="shared" si="8"/>
        <v>No Discount</v>
      </c>
    </row>
    <row r="145" spans="1:26" x14ac:dyDescent="0.35">
      <c r="A145" s="1">
        <v>144</v>
      </c>
      <c r="B145" s="2" t="s">
        <v>585</v>
      </c>
      <c r="C145" s="3">
        <v>44987</v>
      </c>
      <c r="D145" s="3">
        <v>44991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151.20000000000002</v>
      </c>
      <c r="S145" s="1">
        <v>3</v>
      </c>
      <c r="T145" s="1">
        <v>0.2</v>
      </c>
      <c r="U145" s="1">
        <v>32.130000000000003</v>
      </c>
      <c r="V145">
        <f>YEAR(Table1[[#This Row],[Order Date]])</f>
        <v>2023</v>
      </c>
      <c r="W145" t="str">
        <f>TEXT(Table1[[#This Row],[Order Date]],"mmm")</f>
        <v>Mar</v>
      </c>
      <c r="X145">
        <f t="shared" si="6"/>
        <v>10.71</v>
      </c>
      <c r="Y145" t="str">
        <f t="shared" si="7"/>
        <v>Profit</v>
      </c>
      <c r="Z145" t="str">
        <f t="shared" si="8"/>
        <v>Low</v>
      </c>
    </row>
    <row r="146" spans="1:26" x14ac:dyDescent="0.35">
      <c r="A146" s="1">
        <v>145</v>
      </c>
      <c r="B146" s="2" t="s">
        <v>594</v>
      </c>
      <c r="C146" s="3">
        <v>44988</v>
      </c>
      <c r="D146" s="3">
        <v>44993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</v>
      </c>
      <c r="T146" s="1">
        <v>0.5</v>
      </c>
      <c r="U146" s="1">
        <v>-199.61700000000002</v>
      </c>
      <c r="V146">
        <f>YEAR(Table1[[#This Row],[Order Date]])</f>
        <v>2023</v>
      </c>
      <c r="W146" t="str">
        <f>TEXT(Table1[[#This Row],[Order Date]],"mmm")</f>
        <v>Mar</v>
      </c>
      <c r="X146">
        <f t="shared" si="6"/>
        <v>-39.923400000000001</v>
      </c>
      <c r="Y146" t="str">
        <f t="shared" si="7"/>
        <v>Loss</v>
      </c>
      <c r="Z146" t="str">
        <f t="shared" si="8"/>
        <v>High</v>
      </c>
    </row>
    <row r="147" spans="1:26" x14ac:dyDescent="0.35">
      <c r="A147" s="1">
        <v>146</v>
      </c>
      <c r="B147" s="2" t="s">
        <v>597</v>
      </c>
      <c r="C147" s="3">
        <v>44988</v>
      </c>
      <c r="D147" s="3">
        <v>44992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626.35200000000009</v>
      </c>
      <c r="S147" s="1">
        <v>3</v>
      </c>
      <c r="T147" s="1">
        <v>0.2</v>
      </c>
      <c r="U147" s="1">
        <v>-23.488200000000091</v>
      </c>
      <c r="V147">
        <f>YEAR(Table1[[#This Row],[Order Date]])</f>
        <v>2023</v>
      </c>
      <c r="W147" t="str">
        <f>TEXT(Table1[[#This Row],[Order Date]],"mmm")</f>
        <v>Mar</v>
      </c>
      <c r="X147">
        <f t="shared" si="6"/>
        <v>-7.8294000000000308</v>
      </c>
      <c r="Y147" t="str">
        <f t="shared" si="7"/>
        <v>Loss</v>
      </c>
      <c r="Z147" t="str">
        <f t="shared" si="8"/>
        <v>Low</v>
      </c>
    </row>
    <row r="148" spans="1:26" x14ac:dyDescent="0.35">
      <c r="A148" s="1">
        <v>147</v>
      </c>
      <c r="B148" s="2" t="s">
        <v>602</v>
      </c>
      <c r="C148" s="3">
        <v>44988</v>
      </c>
      <c r="D148" s="3">
        <v>44992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>
        <f>YEAR(Table1[[#This Row],[Order Date]])</f>
        <v>2023</v>
      </c>
      <c r="W148" t="str">
        <f>TEXT(Table1[[#This Row],[Order Date]],"mmm")</f>
        <v>Mar</v>
      </c>
      <c r="X148">
        <f t="shared" si="6"/>
        <v>-153.20240000000001</v>
      </c>
      <c r="Y148" t="str">
        <f t="shared" si="7"/>
        <v>Loss</v>
      </c>
      <c r="Z148" t="str">
        <f t="shared" si="8"/>
        <v>High</v>
      </c>
    </row>
    <row r="149" spans="1:26" x14ac:dyDescent="0.35">
      <c r="A149" s="1">
        <v>148</v>
      </c>
      <c r="B149" s="2" t="s">
        <v>607</v>
      </c>
      <c r="C149" s="3">
        <v>44988</v>
      </c>
      <c r="D149" s="3">
        <v>44992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19.456000000000003</v>
      </c>
      <c r="S149" s="1">
        <v>4</v>
      </c>
      <c r="T149" s="1">
        <v>0.2</v>
      </c>
      <c r="U149" s="1">
        <v>3.4047999999999981</v>
      </c>
      <c r="V149">
        <f>YEAR(Table1[[#This Row],[Order Date]])</f>
        <v>2023</v>
      </c>
      <c r="W149" t="str">
        <f>TEXT(Table1[[#This Row],[Order Date]],"mmm")</f>
        <v>Mar</v>
      </c>
      <c r="X149">
        <f t="shared" si="6"/>
        <v>0.85119999999999951</v>
      </c>
      <c r="Y149" t="str">
        <f t="shared" si="7"/>
        <v>Profit</v>
      </c>
      <c r="Z149" t="str">
        <f t="shared" si="8"/>
        <v>Low</v>
      </c>
    </row>
    <row r="150" spans="1:26" x14ac:dyDescent="0.35">
      <c r="A150" s="1">
        <v>149</v>
      </c>
      <c r="B150" s="2" t="s">
        <v>612</v>
      </c>
      <c r="C150" s="3">
        <v>44988</v>
      </c>
      <c r="D150" s="3">
        <v>44993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</v>
      </c>
      <c r="T150" s="1">
        <v>0.2</v>
      </c>
      <c r="U150" s="1">
        <v>9.1785000000000014</v>
      </c>
      <c r="V150">
        <f>YEAR(Table1[[#This Row],[Order Date]])</f>
        <v>2023</v>
      </c>
      <c r="W150" t="str">
        <f>TEXT(Table1[[#This Row],[Order Date]],"mmm")</f>
        <v>Mar</v>
      </c>
      <c r="X150">
        <f t="shared" si="6"/>
        <v>1.8357000000000003</v>
      </c>
      <c r="Y150" t="str">
        <f t="shared" si="7"/>
        <v>Profit</v>
      </c>
      <c r="Z150" t="str">
        <f t="shared" si="8"/>
        <v>Low</v>
      </c>
    </row>
    <row r="151" spans="1:26" x14ac:dyDescent="0.35">
      <c r="A151" s="1">
        <v>150</v>
      </c>
      <c r="B151" s="2" t="s">
        <v>612</v>
      </c>
      <c r="C151" s="3">
        <v>44988</v>
      </c>
      <c r="D151" s="3">
        <v>44993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</v>
      </c>
      <c r="T151" s="1">
        <v>0.2</v>
      </c>
      <c r="U151" s="1">
        <v>40.872</v>
      </c>
      <c r="V151">
        <f>YEAR(Table1[[#This Row],[Order Date]])</f>
        <v>2023</v>
      </c>
      <c r="W151" t="str">
        <f>TEXT(Table1[[#This Row],[Order Date]],"mmm")</f>
        <v>Mar</v>
      </c>
      <c r="X151">
        <f t="shared" si="6"/>
        <v>13.624000000000001</v>
      </c>
      <c r="Y151" t="str">
        <f t="shared" si="7"/>
        <v>Profit</v>
      </c>
      <c r="Z151" t="str">
        <f t="shared" si="8"/>
        <v>Low</v>
      </c>
    </row>
    <row r="152" spans="1:26" x14ac:dyDescent="0.35">
      <c r="A152" s="1">
        <v>151</v>
      </c>
      <c r="B152" s="2" t="s">
        <v>594</v>
      </c>
      <c r="C152" s="3">
        <v>44988</v>
      </c>
      <c r="D152" s="3">
        <v>44993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15.120000000000001</v>
      </c>
      <c r="S152" s="1">
        <v>3</v>
      </c>
      <c r="T152" s="1">
        <v>0.2</v>
      </c>
      <c r="U152" s="1">
        <v>4.9139999999999988</v>
      </c>
      <c r="V152">
        <f>YEAR(Table1[[#This Row],[Order Date]])</f>
        <v>2023</v>
      </c>
      <c r="W152" t="str">
        <f>TEXT(Table1[[#This Row],[Order Date]],"mmm")</f>
        <v>Mar</v>
      </c>
      <c r="X152">
        <f t="shared" si="6"/>
        <v>1.6379999999999997</v>
      </c>
      <c r="Y152" t="str">
        <f t="shared" si="7"/>
        <v>Profit</v>
      </c>
      <c r="Z152" t="str">
        <f t="shared" si="8"/>
        <v>Low</v>
      </c>
    </row>
    <row r="153" spans="1:26" x14ac:dyDescent="0.35">
      <c r="A153" s="1">
        <v>152</v>
      </c>
      <c r="B153" s="2" t="s">
        <v>594</v>
      </c>
      <c r="C153" s="3">
        <v>44988</v>
      </c>
      <c r="D153" s="3">
        <v>44993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44.672000000000004</v>
      </c>
      <c r="S153" s="1">
        <v>8</v>
      </c>
      <c r="T153" s="1">
        <v>0.2</v>
      </c>
      <c r="U153" s="1">
        <v>-10.051200000000003</v>
      </c>
      <c r="V153">
        <f>YEAR(Table1[[#This Row],[Order Date]])</f>
        <v>2023</v>
      </c>
      <c r="W153" t="str">
        <f>TEXT(Table1[[#This Row],[Order Date]],"mmm")</f>
        <v>Mar</v>
      </c>
      <c r="X153">
        <f t="shared" si="6"/>
        <v>-1.2564000000000004</v>
      </c>
      <c r="Y153" t="str">
        <f t="shared" si="7"/>
        <v>Loss</v>
      </c>
      <c r="Z153" t="str">
        <f t="shared" si="8"/>
        <v>Low</v>
      </c>
    </row>
    <row r="154" spans="1:26" x14ac:dyDescent="0.35">
      <c r="A154" s="1">
        <v>153</v>
      </c>
      <c r="B154" s="2" t="s">
        <v>612</v>
      </c>
      <c r="C154" s="3">
        <v>44988</v>
      </c>
      <c r="D154" s="3">
        <v>44993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</v>
      </c>
      <c r="T154" s="1">
        <v>0</v>
      </c>
      <c r="U154" s="1">
        <v>4.5953999999999997</v>
      </c>
      <c r="V154">
        <f>YEAR(Table1[[#This Row],[Order Date]])</f>
        <v>2023</v>
      </c>
      <c r="W154" t="str">
        <f>TEXT(Table1[[#This Row],[Order Date]],"mmm")</f>
        <v>Mar</v>
      </c>
      <c r="X154">
        <f t="shared" si="6"/>
        <v>4.5953999999999997</v>
      </c>
      <c r="Y154" t="str">
        <f t="shared" si="7"/>
        <v>Profit</v>
      </c>
      <c r="Z154" t="str">
        <f t="shared" si="8"/>
        <v>No Discount</v>
      </c>
    </row>
    <row r="155" spans="1:26" x14ac:dyDescent="0.35">
      <c r="A155" s="1">
        <v>154</v>
      </c>
      <c r="B155" s="2" t="s">
        <v>623</v>
      </c>
      <c r="C155" s="3">
        <v>44989</v>
      </c>
      <c r="D155" s="3">
        <v>44994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15.552000000000003</v>
      </c>
      <c r="S155" s="1">
        <v>3</v>
      </c>
      <c r="T155" s="1">
        <v>0.2</v>
      </c>
      <c r="U155" s="1">
        <v>2.3327999999999989</v>
      </c>
      <c r="V155">
        <f>YEAR(Table1[[#This Row],[Order Date]])</f>
        <v>2023</v>
      </c>
      <c r="W155" t="str">
        <f>TEXT(Table1[[#This Row],[Order Date]],"mmm")</f>
        <v>Mar</v>
      </c>
      <c r="X155">
        <f t="shared" si="6"/>
        <v>0.77759999999999962</v>
      </c>
      <c r="Y155" t="str">
        <f t="shared" si="7"/>
        <v>Profit</v>
      </c>
      <c r="Z155" t="str">
        <f t="shared" si="8"/>
        <v>Low</v>
      </c>
    </row>
    <row r="156" spans="1:26" x14ac:dyDescent="0.35">
      <c r="A156" s="1">
        <v>155</v>
      </c>
      <c r="B156" s="2" t="s">
        <v>627</v>
      </c>
      <c r="C156" s="3">
        <v>44989</v>
      </c>
      <c r="D156" s="3">
        <v>44989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354.90000000000003</v>
      </c>
      <c r="S156" s="1">
        <v>5</v>
      </c>
      <c r="T156" s="1">
        <v>0</v>
      </c>
      <c r="U156" s="1">
        <v>17.744999999999962</v>
      </c>
      <c r="V156">
        <f>YEAR(Table1[[#This Row],[Order Date]])</f>
        <v>2023</v>
      </c>
      <c r="W156" t="str">
        <f>TEXT(Table1[[#This Row],[Order Date]],"mmm")</f>
        <v>Mar</v>
      </c>
      <c r="X156">
        <f t="shared" si="6"/>
        <v>3.5489999999999924</v>
      </c>
      <c r="Y156" t="str">
        <f t="shared" si="7"/>
        <v>Profit</v>
      </c>
      <c r="Z156" t="str">
        <f t="shared" si="8"/>
        <v>No Discount</v>
      </c>
    </row>
    <row r="157" spans="1:26" x14ac:dyDescent="0.35">
      <c r="A157" s="1">
        <v>156</v>
      </c>
      <c r="B157" s="2" t="s">
        <v>632</v>
      </c>
      <c r="C157" s="3">
        <v>44990</v>
      </c>
      <c r="D157" s="3">
        <v>44993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59.519999999999996</v>
      </c>
      <c r="S157" s="1">
        <v>3</v>
      </c>
      <c r="T157" s="1">
        <v>0</v>
      </c>
      <c r="U157" s="1">
        <v>15.475200000000001</v>
      </c>
      <c r="V157">
        <f>YEAR(Table1[[#This Row],[Order Date]])</f>
        <v>2023</v>
      </c>
      <c r="W157" t="str">
        <f>TEXT(Table1[[#This Row],[Order Date]],"mmm")</f>
        <v>Mar</v>
      </c>
      <c r="X157">
        <f t="shared" si="6"/>
        <v>5.1584000000000003</v>
      </c>
      <c r="Y157" t="str">
        <f t="shared" si="7"/>
        <v>Profit</v>
      </c>
      <c r="Z157" t="str">
        <f t="shared" si="8"/>
        <v>No Discount</v>
      </c>
    </row>
    <row r="158" spans="1:26" x14ac:dyDescent="0.35">
      <c r="A158" s="1">
        <v>157</v>
      </c>
      <c r="B158" s="2" t="s">
        <v>632</v>
      </c>
      <c r="C158" s="3">
        <v>44990</v>
      </c>
      <c r="D158" s="3">
        <v>44993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49.632000000000005</v>
      </c>
      <c r="S158" s="1">
        <v>6</v>
      </c>
      <c r="T158" s="1">
        <v>0.2</v>
      </c>
      <c r="U158" s="1">
        <v>16.750799999999998</v>
      </c>
      <c r="V158">
        <f>YEAR(Table1[[#This Row],[Order Date]])</f>
        <v>2023</v>
      </c>
      <c r="W158" t="str">
        <f>TEXT(Table1[[#This Row],[Order Date]],"mmm")</f>
        <v>Mar</v>
      </c>
      <c r="X158">
        <f t="shared" si="6"/>
        <v>2.7917999999999998</v>
      </c>
      <c r="Y158" t="str">
        <f t="shared" si="7"/>
        <v>Profit</v>
      </c>
      <c r="Z158" t="str">
        <f t="shared" si="8"/>
        <v>Low</v>
      </c>
    </row>
    <row r="159" spans="1:26" x14ac:dyDescent="0.35">
      <c r="A159" s="1">
        <v>158</v>
      </c>
      <c r="B159" s="2" t="s">
        <v>632</v>
      </c>
      <c r="C159" s="3">
        <v>44990</v>
      </c>
      <c r="D159" s="3">
        <v>44993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</v>
      </c>
      <c r="T159" s="1">
        <v>0</v>
      </c>
      <c r="U159" s="1">
        <v>45.975399999999993</v>
      </c>
      <c r="V159">
        <f>YEAR(Table1[[#This Row],[Order Date]])</f>
        <v>2023</v>
      </c>
      <c r="W159" t="str">
        <f>TEXT(Table1[[#This Row],[Order Date]],"mmm")</f>
        <v>Mar</v>
      </c>
      <c r="X159">
        <f t="shared" si="6"/>
        <v>22.987699999999997</v>
      </c>
      <c r="Y159" t="str">
        <f t="shared" si="7"/>
        <v>Profit</v>
      </c>
      <c r="Z159" t="str">
        <f t="shared" si="8"/>
        <v>No Discount</v>
      </c>
    </row>
    <row r="160" spans="1:26" x14ac:dyDescent="0.35">
      <c r="A160" s="1">
        <v>159</v>
      </c>
      <c r="B160" s="2" t="s">
        <v>632</v>
      </c>
      <c r="C160" s="3">
        <v>44990</v>
      </c>
      <c r="D160" s="3">
        <v>44993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</v>
      </c>
      <c r="T160" s="1">
        <v>0</v>
      </c>
      <c r="U160" s="1">
        <v>5.399799999999999</v>
      </c>
      <c r="V160">
        <f>YEAR(Table1[[#This Row],[Order Date]])</f>
        <v>2023</v>
      </c>
      <c r="W160" t="str">
        <f>TEXT(Table1[[#This Row],[Order Date]],"mmm")</f>
        <v>Mar</v>
      </c>
      <c r="X160">
        <f t="shared" si="6"/>
        <v>2.6998999999999995</v>
      </c>
      <c r="Y160" t="str">
        <f t="shared" si="7"/>
        <v>Profit</v>
      </c>
      <c r="Z160" t="str">
        <f t="shared" si="8"/>
        <v>No Discount</v>
      </c>
    </row>
    <row r="161" spans="1:26" x14ac:dyDescent="0.35">
      <c r="A161" s="1">
        <v>160</v>
      </c>
      <c r="B161" s="2" t="s">
        <v>632</v>
      </c>
      <c r="C161" s="3">
        <v>44990</v>
      </c>
      <c r="D161" s="3">
        <v>44993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</v>
      </c>
      <c r="T161" s="1">
        <v>0</v>
      </c>
      <c r="U161" s="1">
        <v>177.58890000000002</v>
      </c>
      <c r="V161">
        <f>YEAR(Table1[[#This Row],[Order Date]])</f>
        <v>2023</v>
      </c>
      <c r="W161" t="str">
        <f>TEXT(Table1[[#This Row],[Order Date]],"mmm")</f>
        <v>Mar</v>
      </c>
      <c r="X161">
        <f t="shared" si="6"/>
        <v>59.196300000000008</v>
      </c>
      <c r="Y161" t="str">
        <f t="shared" si="7"/>
        <v>Profit</v>
      </c>
      <c r="Z161" t="str">
        <f t="shared" si="8"/>
        <v>No Discount</v>
      </c>
    </row>
    <row r="162" spans="1:26" x14ac:dyDescent="0.35">
      <c r="A162" s="1">
        <v>161</v>
      </c>
      <c r="B162" s="2" t="s">
        <v>646</v>
      </c>
      <c r="C162" s="3">
        <v>44992</v>
      </c>
      <c r="D162" s="3">
        <v>44997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436.70400000000006</v>
      </c>
      <c r="S162" s="1">
        <v>6</v>
      </c>
      <c r="T162" s="1">
        <v>0.2</v>
      </c>
      <c r="U162" s="1">
        <v>21.835199999999986</v>
      </c>
      <c r="V162">
        <f>YEAR(Table1[[#This Row],[Order Date]])</f>
        <v>2023</v>
      </c>
      <c r="W162" t="str">
        <f>TEXT(Table1[[#This Row],[Order Date]],"mmm")</f>
        <v>Mar</v>
      </c>
      <c r="X162">
        <f t="shared" si="6"/>
        <v>3.6391999999999975</v>
      </c>
      <c r="Y162" t="str">
        <f t="shared" si="7"/>
        <v>Profit</v>
      </c>
      <c r="Z162" t="str">
        <f t="shared" si="8"/>
        <v>Low</v>
      </c>
    </row>
    <row r="163" spans="1:26" x14ac:dyDescent="0.35">
      <c r="A163" s="1">
        <v>162</v>
      </c>
      <c r="B163" s="2" t="s">
        <v>651</v>
      </c>
      <c r="C163" s="3">
        <v>44992</v>
      </c>
      <c r="D163" s="3">
        <v>44993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48.712000000000003</v>
      </c>
      <c r="S163" s="1">
        <v>1</v>
      </c>
      <c r="T163" s="1">
        <v>0.2</v>
      </c>
      <c r="U163" s="1">
        <v>5.4800999999999966</v>
      </c>
      <c r="V163">
        <f>YEAR(Table1[[#This Row],[Order Date]])</f>
        <v>2023</v>
      </c>
      <c r="W163" t="str">
        <f>TEXT(Table1[[#This Row],[Order Date]],"mmm")</f>
        <v>Mar</v>
      </c>
      <c r="X163">
        <f t="shared" si="6"/>
        <v>5.4800999999999966</v>
      </c>
      <c r="Y163" t="str">
        <f t="shared" si="7"/>
        <v>Profit</v>
      </c>
      <c r="Z163" t="str">
        <f t="shared" si="8"/>
        <v>Low</v>
      </c>
    </row>
    <row r="164" spans="1:26" x14ac:dyDescent="0.35">
      <c r="A164" s="1">
        <v>163</v>
      </c>
      <c r="B164" s="2" t="s">
        <v>646</v>
      </c>
      <c r="C164" s="3">
        <v>44992</v>
      </c>
      <c r="D164" s="3">
        <v>44997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>
        <f>YEAR(Table1[[#This Row],[Order Date]])</f>
        <v>2023</v>
      </c>
      <c r="W164" t="str">
        <f>TEXT(Table1[[#This Row],[Order Date]],"mmm")</f>
        <v>Mar</v>
      </c>
      <c r="X164">
        <f t="shared" si="6"/>
        <v>27.088199999999965</v>
      </c>
      <c r="Y164" t="str">
        <f t="shared" si="7"/>
        <v>Profit</v>
      </c>
      <c r="Z164" t="str">
        <f t="shared" si="8"/>
        <v>Low</v>
      </c>
    </row>
    <row r="165" spans="1:26" x14ac:dyDescent="0.35">
      <c r="A165" s="1">
        <v>164</v>
      </c>
      <c r="B165" s="2" t="s">
        <v>646</v>
      </c>
      <c r="C165" s="3">
        <v>44992</v>
      </c>
      <c r="D165" s="3">
        <v>44997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</v>
      </c>
      <c r="T165" s="1">
        <v>0</v>
      </c>
      <c r="U165" s="1">
        <v>9.4989999999999988</v>
      </c>
      <c r="V165">
        <f>YEAR(Table1[[#This Row],[Order Date]])</f>
        <v>2023</v>
      </c>
      <c r="W165" t="str">
        <f>TEXT(Table1[[#This Row],[Order Date]],"mmm")</f>
        <v>Mar</v>
      </c>
      <c r="X165">
        <f t="shared" si="6"/>
        <v>1.8997999999999997</v>
      </c>
      <c r="Y165" t="str">
        <f t="shared" si="7"/>
        <v>Profit</v>
      </c>
      <c r="Z165" t="str">
        <f t="shared" si="8"/>
        <v>No Discount</v>
      </c>
    </row>
    <row r="166" spans="1:26" x14ac:dyDescent="0.35">
      <c r="A166" s="1">
        <v>165</v>
      </c>
      <c r="B166" s="2" t="s">
        <v>651</v>
      </c>
      <c r="C166" s="3">
        <v>44992</v>
      </c>
      <c r="D166" s="3">
        <v>44993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17.940000000000001</v>
      </c>
      <c r="S166" s="1">
        <v>3</v>
      </c>
      <c r="T166" s="1">
        <v>0</v>
      </c>
      <c r="U166" s="1">
        <v>4.6644000000000005</v>
      </c>
      <c r="V166">
        <f>YEAR(Table1[[#This Row],[Order Date]])</f>
        <v>2023</v>
      </c>
      <c r="W166" t="str">
        <f>TEXT(Table1[[#This Row],[Order Date]],"mmm")</f>
        <v>Mar</v>
      </c>
      <c r="X166">
        <f t="shared" si="6"/>
        <v>1.5548000000000002</v>
      </c>
      <c r="Y166" t="str">
        <f t="shared" si="7"/>
        <v>Profit</v>
      </c>
      <c r="Z166" t="str">
        <f t="shared" si="8"/>
        <v>No Discount</v>
      </c>
    </row>
    <row r="167" spans="1:26" x14ac:dyDescent="0.35">
      <c r="A167" s="1">
        <v>166</v>
      </c>
      <c r="B167" s="2" t="s">
        <v>660</v>
      </c>
      <c r="C167" s="3">
        <v>44992</v>
      </c>
      <c r="D167" s="3">
        <v>44996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107.64800000000001</v>
      </c>
      <c r="S167" s="1">
        <v>2</v>
      </c>
      <c r="T167" s="1">
        <v>0.2</v>
      </c>
      <c r="U167" s="1">
        <v>33.639999999999986</v>
      </c>
      <c r="V167">
        <f>YEAR(Table1[[#This Row],[Order Date]])</f>
        <v>2023</v>
      </c>
      <c r="W167" t="str">
        <f>TEXT(Table1[[#This Row],[Order Date]],"mmm")</f>
        <v>Mar</v>
      </c>
      <c r="X167">
        <f t="shared" si="6"/>
        <v>16.819999999999993</v>
      </c>
      <c r="Y167" t="str">
        <f t="shared" si="7"/>
        <v>Profit</v>
      </c>
      <c r="Z167" t="str">
        <f t="shared" si="8"/>
        <v>Low</v>
      </c>
    </row>
    <row r="168" spans="1:26" x14ac:dyDescent="0.35">
      <c r="A168" s="1">
        <v>167</v>
      </c>
      <c r="B168" s="2" t="s">
        <v>646</v>
      </c>
      <c r="C168" s="3">
        <v>44992</v>
      </c>
      <c r="D168" s="3">
        <v>44997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204.89999999999998</v>
      </c>
      <c r="S168" s="1">
        <v>5</v>
      </c>
      <c r="T168" s="1">
        <v>0</v>
      </c>
      <c r="U168" s="1">
        <v>0</v>
      </c>
      <c r="V168">
        <f>YEAR(Table1[[#This Row],[Order Date]])</f>
        <v>2023</v>
      </c>
      <c r="W168" t="str">
        <f>TEXT(Table1[[#This Row],[Order Date]],"mmm")</f>
        <v>Mar</v>
      </c>
      <c r="X168">
        <f t="shared" si="6"/>
        <v>0</v>
      </c>
      <c r="Y168" t="str">
        <f t="shared" si="7"/>
        <v>Break-even</v>
      </c>
      <c r="Z168" t="str">
        <f t="shared" si="8"/>
        <v>No Discount</v>
      </c>
    </row>
    <row r="169" spans="1:26" x14ac:dyDescent="0.35">
      <c r="A169" s="1">
        <v>168</v>
      </c>
      <c r="B169" s="2" t="s">
        <v>651</v>
      </c>
      <c r="C169" s="3">
        <v>44992</v>
      </c>
      <c r="D169" s="3">
        <v>44993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</v>
      </c>
      <c r="T169" s="1">
        <v>0</v>
      </c>
      <c r="U169" s="1">
        <v>4.8588000000000164</v>
      </c>
      <c r="V169">
        <f>YEAR(Table1[[#This Row],[Order Date]])</f>
        <v>2023</v>
      </c>
      <c r="W169" t="str">
        <f>TEXT(Table1[[#This Row],[Order Date]],"mmm")</f>
        <v>Mar</v>
      </c>
      <c r="X169">
        <f t="shared" si="6"/>
        <v>1.6196000000000055</v>
      </c>
      <c r="Y169" t="str">
        <f t="shared" si="7"/>
        <v>Profit</v>
      </c>
      <c r="Z169" t="str">
        <f t="shared" si="8"/>
        <v>No Discount</v>
      </c>
    </row>
    <row r="170" spans="1:26" x14ac:dyDescent="0.35">
      <c r="A170" s="1">
        <v>169</v>
      </c>
      <c r="B170" s="2" t="s">
        <v>670</v>
      </c>
      <c r="C170" s="3">
        <v>44995</v>
      </c>
      <c r="D170" s="3">
        <v>45002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83.168000000000006</v>
      </c>
      <c r="S170" s="1">
        <v>4</v>
      </c>
      <c r="T170" s="1">
        <v>0.2</v>
      </c>
      <c r="U170" s="1">
        <v>9.3563999999999936</v>
      </c>
      <c r="V170">
        <f>YEAR(Table1[[#This Row],[Order Date]])</f>
        <v>2023</v>
      </c>
      <c r="W170" t="str">
        <f>TEXT(Table1[[#This Row],[Order Date]],"mmm")</f>
        <v>Mar</v>
      </c>
      <c r="X170">
        <f t="shared" si="6"/>
        <v>2.3390999999999984</v>
      </c>
      <c r="Y170" t="str">
        <f t="shared" si="7"/>
        <v>Profit</v>
      </c>
      <c r="Z170" t="str">
        <f t="shared" si="8"/>
        <v>Low</v>
      </c>
    </row>
    <row r="171" spans="1:26" x14ac:dyDescent="0.35">
      <c r="A171" s="1">
        <v>170</v>
      </c>
      <c r="B171" s="2" t="s">
        <v>677</v>
      </c>
      <c r="C171" s="3">
        <v>44995</v>
      </c>
      <c r="D171" s="3">
        <v>44999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</v>
      </c>
      <c r="T171" s="1">
        <v>0</v>
      </c>
      <c r="U171" s="1">
        <v>10.7424</v>
      </c>
      <c r="V171">
        <f>YEAR(Table1[[#This Row],[Order Date]])</f>
        <v>2023</v>
      </c>
      <c r="W171" t="str">
        <f>TEXT(Table1[[#This Row],[Order Date]],"mmm")</f>
        <v>Mar</v>
      </c>
      <c r="X171">
        <f t="shared" si="6"/>
        <v>5.3712</v>
      </c>
      <c r="Y171" t="str">
        <f t="shared" si="7"/>
        <v>Profit</v>
      </c>
      <c r="Z171" t="str">
        <f t="shared" si="8"/>
        <v>No Discount</v>
      </c>
    </row>
    <row r="172" spans="1:26" x14ac:dyDescent="0.35">
      <c r="A172" s="1">
        <v>171</v>
      </c>
      <c r="B172" s="2" t="s">
        <v>670</v>
      </c>
      <c r="C172" s="3">
        <v>44995</v>
      </c>
      <c r="D172" s="3">
        <v>45002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636.40800000000013</v>
      </c>
      <c r="S172" s="1">
        <v>3</v>
      </c>
      <c r="T172" s="1">
        <v>0.2</v>
      </c>
      <c r="U172" s="1">
        <v>-15.910200000000088</v>
      </c>
      <c r="V172">
        <f>YEAR(Table1[[#This Row],[Order Date]])</f>
        <v>2023</v>
      </c>
      <c r="W172" t="str">
        <f>TEXT(Table1[[#This Row],[Order Date]],"mmm")</f>
        <v>Mar</v>
      </c>
      <c r="X172">
        <f t="shared" si="6"/>
        <v>-5.3034000000000292</v>
      </c>
      <c r="Y172" t="str">
        <f t="shared" si="7"/>
        <v>Loss</v>
      </c>
      <c r="Z172" t="str">
        <f t="shared" si="8"/>
        <v>Low</v>
      </c>
    </row>
    <row r="173" spans="1:26" x14ac:dyDescent="0.35">
      <c r="A173" s="1">
        <v>172</v>
      </c>
      <c r="B173" s="2" t="s">
        <v>683</v>
      </c>
      <c r="C173" s="3">
        <v>44996</v>
      </c>
      <c r="D173" s="3">
        <v>45001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</v>
      </c>
      <c r="T173" s="1">
        <v>0.2</v>
      </c>
      <c r="U173" s="1">
        <v>2.2880000000000003</v>
      </c>
      <c r="V173">
        <f>YEAR(Table1[[#This Row],[Order Date]])</f>
        <v>2023</v>
      </c>
      <c r="W173" t="str">
        <f>TEXT(Table1[[#This Row],[Order Date]],"mmm")</f>
        <v>Mar</v>
      </c>
      <c r="X173">
        <f t="shared" si="6"/>
        <v>0.45760000000000006</v>
      </c>
      <c r="Y173" t="str">
        <f t="shared" si="7"/>
        <v>Profit</v>
      </c>
      <c r="Z173" t="str">
        <f t="shared" si="8"/>
        <v>Low</v>
      </c>
    </row>
    <row r="174" spans="1:26" x14ac:dyDescent="0.35">
      <c r="A174" s="1">
        <v>173</v>
      </c>
      <c r="B174" s="2" t="s">
        <v>688</v>
      </c>
      <c r="C174" s="3">
        <v>44996</v>
      </c>
      <c r="D174" s="3">
        <v>44998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</v>
      </c>
      <c r="T174" s="1">
        <v>0</v>
      </c>
      <c r="U174" s="1">
        <v>38.157600000000002</v>
      </c>
      <c r="V174">
        <f>YEAR(Table1[[#This Row],[Order Date]])</f>
        <v>2023</v>
      </c>
      <c r="W174" t="str">
        <f>TEXT(Table1[[#This Row],[Order Date]],"mmm")</f>
        <v>Mar</v>
      </c>
      <c r="X174">
        <f t="shared" si="6"/>
        <v>12.719200000000001</v>
      </c>
      <c r="Y174" t="str">
        <f t="shared" si="7"/>
        <v>Profit</v>
      </c>
      <c r="Z174" t="str">
        <f t="shared" si="8"/>
        <v>No Discount</v>
      </c>
    </row>
    <row r="175" spans="1:26" x14ac:dyDescent="0.35">
      <c r="A175" s="1">
        <v>174</v>
      </c>
      <c r="B175" s="2" t="s">
        <v>693</v>
      </c>
      <c r="C175" s="3">
        <v>44996</v>
      </c>
      <c r="D175" s="3">
        <v>45000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</v>
      </c>
      <c r="T175" s="1">
        <v>0</v>
      </c>
      <c r="U175" s="1">
        <v>2.0747999999999998</v>
      </c>
      <c r="V175">
        <f>YEAR(Table1[[#This Row],[Order Date]])</f>
        <v>2023</v>
      </c>
      <c r="W175" t="str">
        <f>TEXT(Table1[[#This Row],[Order Date]],"mmm")</f>
        <v>Mar</v>
      </c>
      <c r="X175">
        <f t="shared" si="6"/>
        <v>0.69159999999999988</v>
      </c>
      <c r="Y175" t="str">
        <f t="shared" si="7"/>
        <v>Profit</v>
      </c>
      <c r="Z175" t="str">
        <f t="shared" si="8"/>
        <v>No Discount</v>
      </c>
    </row>
    <row r="176" spans="1:26" x14ac:dyDescent="0.35">
      <c r="A176" s="1">
        <v>175</v>
      </c>
      <c r="B176" s="2" t="s">
        <v>683</v>
      </c>
      <c r="C176" s="3">
        <v>44996</v>
      </c>
      <c r="D176" s="3">
        <v>45001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10.464000000000002</v>
      </c>
      <c r="S176" s="1">
        <v>6</v>
      </c>
      <c r="T176" s="1">
        <v>0.2</v>
      </c>
      <c r="U176" s="1">
        <v>1.7003999999999992</v>
      </c>
      <c r="V176">
        <f>YEAR(Table1[[#This Row],[Order Date]])</f>
        <v>2023</v>
      </c>
      <c r="W176" t="str">
        <f>TEXT(Table1[[#This Row],[Order Date]],"mmm")</f>
        <v>Mar</v>
      </c>
      <c r="X176">
        <f t="shared" si="6"/>
        <v>0.28339999999999987</v>
      </c>
      <c r="Y176" t="str">
        <f t="shared" si="7"/>
        <v>Profit</v>
      </c>
      <c r="Z176" t="str">
        <f t="shared" si="8"/>
        <v>Low</v>
      </c>
    </row>
    <row r="177" spans="1:26" x14ac:dyDescent="0.35">
      <c r="A177" s="1">
        <v>176</v>
      </c>
      <c r="B177" s="2" t="s">
        <v>688</v>
      </c>
      <c r="C177" s="3">
        <v>44996</v>
      </c>
      <c r="D177" s="3">
        <v>44998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14.940000000000001</v>
      </c>
      <c r="S177" s="1">
        <v>3</v>
      </c>
      <c r="T177" s="1">
        <v>0</v>
      </c>
      <c r="U177" s="1">
        <v>7.0218000000000007</v>
      </c>
      <c r="V177">
        <f>YEAR(Table1[[#This Row],[Order Date]])</f>
        <v>2023</v>
      </c>
      <c r="W177" t="str">
        <f>TEXT(Table1[[#This Row],[Order Date]],"mmm")</f>
        <v>Mar</v>
      </c>
      <c r="X177">
        <f t="shared" si="6"/>
        <v>2.3406000000000002</v>
      </c>
      <c r="Y177" t="str">
        <f t="shared" si="7"/>
        <v>Profit</v>
      </c>
      <c r="Z177" t="str">
        <f t="shared" si="8"/>
        <v>No Discount</v>
      </c>
    </row>
    <row r="178" spans="1:26" x14ac:dyDescent="0.35">
      <c r="A178" s="1">
        <v>177</v>
      </c>
      <c r="B178" s="2" t="s">
        <v>703</v>
      </c>
      <c r="C178" s="3">
        <v>44996</v>
      </c>
      <c r="D178" s="3">
        <v>44999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</v>
      </c>
      <c r="T178" s="1">
        <v>0</v>
      </c>
      <c r="U178" s="1">
        <v>49.013999999999996</v>
      </c>
      <c r="V178">
        <f>YEAR(Table1[[#This Row],[Order Date]])</f>
        <v>2023</v>
      </c>
      <c r="W178" t="str">
        <f>TEXT(Table1[[#This Row],[Order Date]],"mmm")</f>
        <v>Mar</v>
      </c>
      <c r="X178">
        <f t="shared" si="6"/>
        <v>3.5009999999999999</v>
      </c>
      <c r="Y178" t="str">
        <f t="shared" si="7"/>
        <v>Profit</v>
      </c>
      <c r="Z178" t="str">
        <f t="shared" si="8"/>
        <v>No Discount</v>
      </c>
    </row>
    <row r="179" spans="1:26" x14ac:dyDescent="0.35">
      <c r="A179" s="1">
        <v>178</v>
      </c>
      <c r="B179" s="2" t="s">
        <v>688</v>
      </c>
      <c r="C179" s="3">
        <v>44996</v>
      </c>
      <c r="D179" s="3">
        <v>44998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</v>
      </c>
      <c r="T179" s="1">
        <v>0</v>
      </c>
      <c r="U179" s="1">
        <v>14.172800000000002</v>
      </c>
      <c r="V179">
        <f>YEAR(Table1[[#This Row],[Order Date]])</f>
        <v>2023</v>
      </c>
      <c r="W179" t="str">
        <f>TEXT(Table1[[#This Row],[Order Date]],"mmm")</f>
        <v>Mar</v>
      </c>
      <c r="X179">
        <f t="shared" si="6"/>
        <v>7.0864000000000011</v>
      </c>
      <c r="Y179" t="str">
        <f t="shared" si="7"/>
        <v>Profit</v>
      </c>
      <c r="Z179" t="str">
        <f t="shared" si="8"/>
        <v>No Discount</v>
      </c>
    </row>
    <row r="180" spans="1:26" x14ac:dyDescent="0.35">
      <c r="A180" s="1">
        <v>179</v>
      </c>
      <c r="B180" s="2" t="s">
        <v>688</v>
      </c>
      <c r="C180" s="3">
        <v>44996</v>
      </c>
      <c r="D180" s="3">
        <v>44998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</v>
      </c>
      <c r="T180" s="1">
        <v>0</v>
      </c>
      <c r="U180" s="1">
        <v>164.63160000000005</v>
      </c>
      <c r="V180">
        <f>YEAR(Table1[[#This Row],[Order Date]])</f>
        <v>2023</v>
      </c>
      <c r="W180" t="str">
        <f>TEXT(Table1[[#This Row],[Order Date]],"mmm")</f>
        <v>Mar</v>
      </c>
      <c r="X180">
        <f t="shared" si="6"/>
        <v>54.877200000000016</v>
      </c>
      <c r="Y180" t="str">
        <f t="shared" si="7"/>
        <v>Profit</v>
      </c>
      <c r="Z180" t="str">
        <f t="shared" si="8"/>
        <v>No Discount</v>
      </c>
    </row>
    <row r="181" spans="1:26" x14ac:dyDescent="0.35">
      <c r="A181" s="1">
        <v>180</v>
      </c>
      <c r="B181" s="2" t="s">
        <v>710</v>
      </c>
      <c r="C181" s="3">
        <v>44998</v>
      </c>
      <c r="D181" s="3">
        <v>45003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5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</v>
      </c>
      <c r="T181" s="4">
        <v>0.2</v>
      </c>
      <c r="U181" s="4">
        <v>102.95</v>
      </c>
      <c r="V181">
        <f>YEAR(Table1[[#This Row],[Order Date]])</f>
        <v>2023</v>
      </c>
      <c r="W181" t="str">
        <f>TEXT(Table1[[#This Row],[Order Date]],"mmm")</f>
        <v>Mar</v>
      </c>
      <c r="X181">
        <f t="shared" si="6"/>
        <v>25.737500000000001</v>
      </c>
      <c r="Y181" t="str">
        <f t="shared" si="7"/>
        <v>Profit</v>
      </c>
      <c r="Z181" t="str">
        <f t="shared" si="8"/>
        <v>Low</v>
      </c>
    </row>
    <row r="182" spans="1:26" x14ac:dyDescent="0.35">
      <c r="A182" s="1">
        <v>181</v>
      </c>
      <c r="B182" s="2" t="s">
        <v>710</v>
      </c>
      <c r="C182" s="3">
        <v>44998</v>
      </c>
      <c r="D182" s="3">
        <v>45003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5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>
        <v>327.76</v>
      </c>
      <c r="S182" s="4">
        <v>8</v>
      </c>
      <c r="T182" s="4">
        <v>0</v>
      </c>
      <c r="U182" s="4">
        <v>91.77</v>
      </c>
      <c r="V182">
        <f>YEAR(Table1[[#This Row],[Order Date]])</f>
        <v>2023</v>
      </c>
      <c r="W182" t="str">
        <f>TEXT(Table1[[#This Row],[Order Date]],"mmm")</f>
        <v>Mar</v>
      </c>
      <c r="X182">
        <f t="shared" si="6"/>
        <v>11.47125</v>
      </c>
      <c r="Y182" t="str">
        <f t="shared" si="7"/>
        <v>Profit</v>
      </c>
      <c r="Z182" t="str">
        <f t="shared" si="8"/>
        <v>No Discount</v>
      </c>
    </row>
    <row r="183" spans="1:26" x14ac:dyDescent="0.35">
      <c r="A183" s="1">
        <v>182</v>
      </c>
      <c r="B183" s="2" t="s">
        <v>718</v>
      </c>
      <c r="C183" s="3">
        <v>44999</v>
      </c>
      <c r="D183" s="3">
        <v>45004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</v>
      </c>
      <c r="T183" s="1">
        <v>0</v>
      </c>
      <c r="U183" s="1">
        <v>284.98</v>
      </c>
      <c r="V183">
        <f>YEAR(Table1[[#This Row],[Order Date]])</f>
        <v>2023</v>
      </c>
      <c r="W183" t="str">
        <f>TEXT(Table1[[#This Row],[Order Date]],"mmm")</f>
        <v>Mar</v>
      </c>
      <c r="X183">
        <f t="shared" si="6"/>
        <v>71.245000000000005</v>
      </c>
      <c r="Y183" t="str">
        <f t="shared" si="7"/>
        <v>Profit</v>
      </c>
      <c r="Z183" t="str">
        <f t="shared" si="8"/>
        <v>No Discount</v>
      </c>
    </row>
    <row r="184" spans="1:26" x14ac:dyDescent="0.35">
      <c r="A184" s="1">
        <v>183</v>
      </c>
      <c r="B184" s="2" t="s">
        <v>723</v>
      </c>
      <c r="C184" s="3">
        <v>44999</v>
      </c>
      <c r="D184" s="3">
        <v>45003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</v>
      </c>
      <c r="T184" s="1">
        <v>0</v>
      </c>
      <c r="U184" s="1">
        <v>1.2505999999999999</v>
      </c>
      <c r="V184">
        <f>YEAR(Table1[[#This Row],[Order Date]])</f>
        <v>2023</v>
      </c>
      <c r="W184" t="str">
        <f>TEXT(Table1[[#This Row],[Order Date]],"mmm")</f>
        <v>Mar</v>
      </c>
      <c r="X184">
        <f t="shared" si="6"/>
        <v>1.2505999999999999</v>
      </c>
      <c r="Y184" t="str">
        <f t="shared" si="7"/>
        <v>Profit</v>
      </c>
      <c r="Z184" t="str">
        <f t="shared" si="8"/>
        <v>No Discount</v>
      </c>
    </row>
    <row r="185" spans="1:26" x14ac:dyDescent="0.35">
      <c r="A185" s="1">
        <v>184</v>
      </c>
      <c r="B185" s="2" t="s">
        <v>729</v>
      </c>
      <c r="C185" s="3">
        <v>44999</v>
      </c>
      <c r="D185" s="3">
        <v>45004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>
        <f>YEAR(Table1[[#This Row],[Order Date]])</f>
        <v>2023</v>
      </c>
      <c r="W185" t="str">
        <f>TEXT(Table1[[#This Row],[Order Date]],"mmm")</f>
        <v>Mar</v>
      </c>
      <c r="X185">
        <f t="shared" si="6"/>
        <v>2.7917999999999998</v>
      </c>
      <c r="Y185" t="str">
        <f t="shared" si="7"/>
        <v>Profit</v>
      </c>
      <c r="Z185" t="str">
        <f t="shared" si="8"/>
        <v>Low</v>
      </c>
    </row>
    <row r="186" spans="1:26" x14ac:dyDescent="0.35">
      <c r="A186" s="1">
        <v>185</v>
      </c>
      <c r="B186" s="2" t="s">
        <v>729</v>
      </c>
      <c r="C186" s="3">
        <v>44999</v>
      </c>
      <c r="D186" s="3">
        <v>45004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62.048000000000002</v>
      </c>
      <c r="S186" s="1">
        <v>2</v>
      </c>
      <c r="T186" s="1">
        <v>0.2</v>
      </c>
      <c r="U186" s="1">
        <v>20.165599999999998</v>
      </c>
      <c r="V186">
        <f>YEAR(Table1[[#This Row],[Order Date]])</f>
        <v>2023</v>
      </c>
      <c r="W186" t="str">
        <f>TEXT(Table1[[#This Row],[Order Date]],"mmm")</f>
        <v>Mar</v>
      </c>
      <c r="X186">
        <f t="shared" si="6"/>
        <v>10.082799999999999</v>
      </c>
      <c r="Y186" t="str">
        <f t="shared" si="7"/>
        <v>Profit</v>
      </c>
      <c r="Z186" t="str">
        <f t="shared" si="8"/>
        <v>Low</v>
      </c>
    </row>
    <row r="187" spans="1:26" x14ac:dyDescent="0.35">
      <c r="A187" s="1">
        <v>186</v>
      </c>
      <c r="B187" s="2" t="s">
        <v>736</v>
      </c>
      <c r="C187" s="3">
        <v>44999</v>
      </c>
      <c r="D187" s="3">
        <v>45003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91.055999999999997</v>
      </c>
      <c r="S187" s="1">
        <v>6</v>
      </c>
      <c r="T187" s="1">
        <v>0.2</v>
      </c>
      <c r="U187" s="1">
        <v>31.869599999999995</v>
      </c>
      <c r="V187">
        <f>YEAR(Table1[[#This Row],[Order Date]])</f>
        <v>2023</v>
      </c>
      <c r="W187" t="str">
        <f>TEXT(Table1[[#This Row],[Order Date]],"mmm")</f>
        <v>Mar</v>
      </c>
      <c r="X187">
        <f t="shared" si="6"/>
        <v>5.3115999999999994</v>
      </c>
      <c r="Y187" t="str">
        <f t="shared" si="7"/>
        <v>Profit</v>
      </c>
      <c r="Z187" t="str">
        <f t="shared" si="8"/>
        <v>Low</v>
      </c>
    </row>
    <row r="188" spans="1:26" x14ac:dyDescent="0.35">
      <c r="A188" s="1">
        <v>187</v>
      </c>
      <c r="B188" s="2" t="s">
        <v>723</v>
      </c>
      <c r="C188" s="3">
        <v>44999</v>
      </c>
      <c r="D188" s="3">
        <v>45003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</v>
      </c>
      <c r="T188" s="1">
        <v>0</v>
      </c>
      <c r="U188" s="1">
        <v>4.7519999999999998</v>
      </c>
      <c r="V188">
        <f>YEAR(Table1[[#This Row],[Order Date]])</f>
        <v>2023</v>
      </c>
      <c r="W188" t="str">
        <f>TEXT(Table1[[#This Row],[Order Date]],"mmm")</f>
        <v>Mar</v>
      </c>
      <c r="X188">
        <f t="shared" si="6"/>
        <v>2.3759999999999999</v>
      </c>
      <c r="Y188" t="str">
        <f t="shared" si="7"/>
        <v>Profit</v>
      </c>
      <c r="Z188" t="str">
        <f t="shared" si="8"/>
        <v>No Discount</v>
      </c>
    </row>
    <row r="189" spans="1:26" x14ac:dyDescent="0.35">
      <c r="A189" s="1">
        <v>188</v>
      </c>
      <c r="B189" s="2" t="s">
        <v>742</v>
      </c>
      <c r="C189" s="3">
        <v>44999</v>
      </c>
      <c r="D189" s="3">
        <v>45002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8.4480000000000004</v>
      </c>
      <c r="S189" s="1">
        <v>2</v>
      </c>
      <c r="T189" s="1">
        <v>0.2</v>
      </c>
      <c r="U189" s="1">
        <v>2.6399999999999997</v>
      </c>
      <c r="V189">
        <f>YEAR(Table1[[#This Row],[Order Date]])</f>
        <v>2023</v>
      </c>
      <c r="W189" t="str">
        <f>TEXT(Table1[[#This Row],[Order Date]],"mmm")</f>
        <v>Mar</v>
      </c>
      <c r="X189">
        <f t="shared" si="6"/>
        <v>1.3199999999999998</v>
      </c>
      <c r="Y189" t="str">
        <f t="shared" si="7"/>
        <v>Profit</v>
      </c>
      <c r="Z189" t="str">
        <f t="shared" si="8"/>
        <v>Low</v>
      </c>
    </row>
    <row r="190" spans="1:26" x14ac:dyDescent="0.35">
      <c r="A190" s="1">
        <v>189</v>
      </c>
      <c r="B190" s="2" t="s">
        <v>729</v>
      </c>
      <c r="C190" s="3">
        <v>44999</v>
      </c>
      <c r="D190" s="3">
        <v>45004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</v>
      </c>
      <c r="T190" s="1">
        <v>0</v>
      </c>
      <c r="U190" s="1">
        <v>3.2391999999999967</v>
      </c>
      <c r="V190">
        <f>YEAR(Table1[[#This Row],[Order Date]])</f>
        <v>2023</v>
      </c>
      <c r="W190" t="str">
        <f>TEXT(Table1[[#This Row],[Order Date]],"mmm")</f>
        <v>Mar</v>
      </c>
      <c r="X190">
        <f t="shared" si="6"/>
        <v>3.2391999999999967</v>
      </c>
      <c r="Y190" t="str">
        <f t="shared" si="7"/>
        <v>Profit</v>
      </c>
      <c r="Z190" t="str">
        <f t="shared" si="8"/>
        <v>No Discount</v>
      </c>
    </row>
    <row r="191" spans="1:26" x14ac:dyDescent="0.35">
      <c r="A191" s="1">
        <v>190</v>
      </c>
      <c r="B191" s="2" t="s">
        <v>729</v>
      </c>
      <c r="C191" s="3">
        <v>44999</v>
      </c>
      <c r="D191" s="3">
        <v>45004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</v>
      </c>
      <c r="T191" s="1">
        <v>0</v>
      </c>
      <c r="U191" s="1">
        <v>5.7672000000000008</v>
      </c>
      <c r="V191">
        <f>YEAR(Table1[[#This Row],[Order Date]])</f>
        <v>2023</v>
      </c>
      <c r="W191" t="str">
        <f>TEXT(Table1[[#This Row],[Order Date]],"mmm")</f>
        <v>Mar</v>
      </c>
      <c r="X191">
        <f t="shared" si="6"/>
        <v>2.8836000000000004</v>
      </c>
      <c r="Y191" t="str">
        <f t="shared" si="7"/>
        <v>Profit</v>
      </c>
      <c r="Z191" t="str">
        <f t="shared" si="8"/>
        <v>No Discount</v>
      </c>
    </row>
    <row r="192" spans="1:26" x14ac:dyDescent="0.35">
      <c r="A192" s="1">
        <v>191</v>
      </c>
      <c r="B192" s="2" t="s">
        <v>729</v>
      </c>
      <c r="C192" s="3">
        <v>44999</v>
      </c>
      <c r="D192" s="3">
        <v>45004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82.800000000000011</v>
      </c>
      <c r="S192" s="1">
        <v>12</v>
      </c>
      <c r="T192" s="1">
        <v>0</v>
      </c>
      <c r="U192" s="1">
        <v>6.6239999999999952</v>
      </c>
      <c r="V192">
        <f>YEAR(Table1[[#This Row],[Order Date]])</f>
        <v>2023</v>
      </c>
      <c r="W192" t="str">
        <f>TEXT(Table1[[#This Row],[Order Date]],"mmm")</f>
        <v>Mar</v>
      </c>
      <c r="X192">
        <f t="shared" si="6"/>
        <v>0.5519999999999996</v>
      </c>
      <c r="Y192" t="str">
        <f t="shared" si="7"/>
        <v>Profit</v>
      </c>
      <c r="Z192" t="str">
        <f t="shared" si="8"/>
        <v>No Discount</v>
      </c>
    </row>
    <row r="193" spans="1:26" x14ac:dyDescent="0.35">
      <c r="A193" s="1">
        <v>192</v>
      </c>
      <c r="B193" s="2" t="s">
        <v>742</v>
      </c>
      <c r="C193" s="3">
        <v>44999</v>
      </c>
      <c r="D193" s="3">
        <v>45002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</v>
      </c>
      <c r="T193" s="1">
        <v>0.3</v>
      </c>
      <c r="U193" s="1">
        <v>156.04699999999997</v>
      </c>
      <c r="V193">
        <f>YEAR(Table1[[#This Row],[Order Date]])</f>
        <v>2023</v>
      </c>
      <c r="W193" t="str">
        <f>TEXT(Table1[[#This Row],[Order Date]],"mmm")</f>
        <v>Mar</v>
      </c>
      <c r="X193">
        <f t="shared" si="6"/>
        <v>78.023499999999984</v>
      </c>
      <c r="Y193" t="str">
        <f t="shared" si="7"/>
        <v>Profit</v>
      </c>
      <c r="Z193" t="str">
        <f t="shared" si="8"/>
        <v>Medium</v>
      </c>
    </row>
    <row r="194" spans="1:26" x14ac:dyDescent="0.35">
      <c r="A194" s="1">
        <v>193</v>
      </c>
      <c r="B194" s="2" t="s">
        <v>756</v>
      </c>
      <c r="C194" s="3">
        <v>45000</v>
      </c>
      <c r="D194" s="3">
        <v>45004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45.695999999999998</v>
      </c>
      <c r="S194" s="1">
        <v>3</v>
      </c>
      <c r="T194" s="1">
        <v>0.2</v>
      </c>
      <c r="U194" s="1">
        <v>5.1407999999999916</v>
      </c>
      <c r="V194">
        <f>YEAR(Table1[[#This Row],[Order Date]])</f>
        <v>2023</v>
      </c>
      <c r="W194" t="str">
        <f>TEXT(Table1[[#This Row],[Order Date]],"mmm")</f>
        <v>Mar</v>
      </c>
      <c r="X194">
        <f t="shared" ref="X194:X257" si="9">IFERROR(U194/S194,0)</f>
        <v>1.7135999999999971</v>
      </c>
      <c r="Y194" t="str">
        <f t="shared" ref="Y194:Y257" si="10">IF(U194&gt;0,"Profit",IF(U194&lt;0,"Loss","Break-even"))</f>
        <v>Profit</v>
      </c>
      <c r="Z194" t="str">
        <f t="shared" ref="Z194:Z257" si="11">IF(T194=0,"No Discount",IF(T194&lt;=0.2,"Low",IF(T194&lt;=0.4,"Medium","High")))</f>
        <v>Low</v>
      </c>
    </row>
    <row r="195" spans="1:26" x14ac:dyDescent="0.35">
      <c r="A195" s="1">
        <v>194</v>
      </c>
      <c r="B195" s="2" t="s">
        <v>756</v>
      </c>
      <c r="C195" s="3">
        <v>45000</v>
      </c>
      <c r="D195" s="3">
        <v>45004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</v>
      </c>
      <c r="T195" s="1">
        <v>0.7</v>
      </c>
      <c r="U195" s="1">
        <v>-5.5338000000000012</v>
      </c>
      <c r="V195">
        <f>YEAR(Table1[[#This Row],[Order Date]])</f>
        <v>2023</v>
      </c>
      <c r="W195" t="str">
        <f>TEXT(Table1[[#This Row],[Order Date]],"mmm")</f>
        <v>Mar</v>
      </c>
      <c r="X195">
        <f t="shared" si="9"/>
        <v>-1.8446000000000005</v>
      </c>
      <c r="Y195" t="str">
        <f t="shared" si="10"/>
        <v>Loss</v>
      </c>
      <c r="Z195" t="str">
        <f t="shared" si="11"/>
        <v>High</v>
      </c>
    </row>
    <row r="196" spans="1:26" x14ac:dyDescent="0.35">
      <c r="A196" s="1">
        <v>195</v>
      </c>
      <c r="B196" s="2" t="s">
        <v>756</v>
      </c>
      <c r="C196" s="3">
        <v>45000</v>
      </c>
      <c r="D196" s="3">
        <v>45004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43.188000000000009</v>
      </c>
      <c r="S196" s="1">
        <v>4</v>
      </c>
      <c r="T196" s="1">
        <v>0.7</v>
      </c>
      <c r="U196" s="1">
        <v>-31.671199999999999</v>
      </c>
      <c r="V196">
        <f>YEAR(Table1[[#This Row],[Order Date]])</f>
        <v>2023</v>
      </c>
      <c r="W196" t="str">
        <f>TEXT(Table1[[#This Row],[Order Date]],"mmm")</f>
        <v>Mar</v>
      </c>
      <c r="X196">
        <f t="shared" si="9"/>
        <v>-7.9177999999999997</v>
      </c>
      <c r="Y196" t="str">
        <f t="shared" si="10"/>
        <v>Loss</v>
      </c>
      <c r="Z196" t="str">
        <f t="shared" si="11"/>
        <v>High</v>
      </c>
    </row>
    <row r="197" spans="1:26" x14ac:dyDescent="0.35">
      <c r="A197" s="1">
        <v>196</v>
      </c>
      <c r="B197" s="2" t="s">
        <v>756</v>
      </c>
      <c r="C197" s="3">
        <v>45000</v>
      </c>
      <c r="D197" s="3">
        <v>45004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</v>
      </c>
      <c r="T197" s="1">
        <v>0.2</v>
      </c>
      <c r="U197" s="1">
        <v>47.815200000000004</v>
      </c>
      <c r="V197">
        <f>YEAR(Table1[[#This Row],[Order Date]])</f>
        <v>2023</v>
      </c>
      <c r="W197" t="str">
        <f>TEXT(Table1[[#This Row],[Order Date]],"mmm")</f>
        <v>Mar</v>
      </c>
      <c r="X197">
        <f t="shared" si="9"/>
        <v>15.938400000000001</v>
      </c>
      <c r="Y197" t="str">
        <f t="shared" si="10"/>
        <v>Profit</v>
      </c>
      <c r="Z197" t="str">
        <f t="shared" si="11"/>
        <v>Low</v>
      </c>
    </row>
    <row r="198" spans="1:26" x14ac:dyDescent="0.35">
      <c r="A198" s="1">
        <v>197</v>
      </c>
      <c r="B198" s="2" t="s">
        <v>756</v>
      </c>
      <c r="C198" s="3">
        <v>45000</v>
      </c>
      <c r="D198" s="3">
        <v>45004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142.77600000000001</v>
      </c>
      <c r="S198" s="1">
        <v>1</v>
      </c>
      <c r="T198" s="1">
        <v>0.2</v>
      </c>
      <c r="U198" s="1">
        <v>17.84699999999998</v>
      </c>
      <c r="V198">
        <f>YEAR(Table1[[#This Row],[Order Date]])</f>
        <v>2023</v>
      </c>
      <c r="W198" t="str">
        <f>TEXT(Table1[[#This Row],[Order Date]],"mmm")</f>
        <v>Mar</v>
      </c>
      <c r="X198">
        <f t="shared" si="9"/>
        <v>17.84699999999998</v>
      </c>
      <c r="Y198" t="str">
        <f t="shared" si="10"/>
        <v>Profit</v>
      </c>
      <c r="Z198" t="str">
        <f t="shared" si="11"/>
        <v>Low</v>
      </c>
    </row>
    <row r="199" spans="1:26" x14ac:dyDescent="0.35">
      <c r="A199" s="1">
        <v>198</v>
      </c>
      <c r="B199" s="2" t="s">
        <v>770</v>
      </c>
      <c r="C199" s="3">
        <v>45001</v>
      </c>
      <c r="D199" s="3">
        <v>45006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</v>
      </c>
      <c r="T199" s="1">
        <v>0.2</v>
      </c>
      <c r="U199" s="1">
        <v>29.495000000000019</v>
      </c>
      <c r="V199">
        <f>YEAR(Table1[[#This Row],[Order Date]])</f>
        <v>2023</v>
      </c>
      <c r="W199" t="str">
        <f>TEXT(Table1[[#This Row],[Order Date]],"mmm")</f>
        <v>Mar</v>
      </c>
      <c r="X199">
        <f t="shared" si="9"/>
        <v>14.747500000000009</v>
      </c>
      <c r="Y199" t="str">
        <f t="shared" si="10"/>
        <v>Profit</v>
      </c>
      <c r="Z199" t="str">
        <f t="shared" si="11"/>
        <v>Low</v>
      </c>
    </row>
    <row r="200" spans="1:26" x14ac:dyDescent="0.35">
      <c r="A200" s="1">
        <v>199</v>
      </c>
      <c r="B200" s="2" t="s">
        <v>774</v>
      </c>
      <c r="C200" s="3">
        <v>45002</v>
      </c>
      <c r="D200" s="3">
        <v>45006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  <c r="V200">
        <f>YEAR(Table1[[#This Row],[Order Date]])</f>
        <v>2023</v>
      </c>
      <c r="W200" t="str">
        <f>TEXT(Table1[[#This Row],[Order Date]],"mmm")</f>
        <v>Mar</v>
      </c>
      <c r="X200">
        <f t="shared" si="9"/>
        <v>-138.4119</v>
      </c>
      <c r="Y200" t="str">
        <f t="shared" si="10"/>
        <v>Loss</v>
      </c>
      <c r="Z200" t="str">
        <f t="shared" si="11"/>
        <v>Medium</v>
      </c>
    </row>
    <row r="201" spans="1:26" x14ac:dyDescent="0.35">
      <c r="A201" s="1">
        <v>200</v>
      </c>
      <c r="B201" s="2" t="s">
        <v>774</v>
      </c>
      <c r="C201" s="3">
        <v>45002</v>
      </c>
      <c r="D201" s="3">
        <v>45006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1579.7460000000001</v>
      </c>
      <c r="S201" s="1">
        <v>7</v>
      </c>
      <c r="T201" s="1">
        <v>0.4</v>
      </c>
      <c r="U201" s="1">
        <v>-447.59469999999988</v>
      </c>
      <c r="V201">
        <f>YEAR(Table1[[#This Row],[Order Date]])</f>
        <v>2023</v>
      </c>
      <c r="W201" t="str">
        <f>TEXT(Table1[[#This Row],[Order Date]],"mmm")</f>
        <v>Mar</v>
      </c>
      <c r="X201">
        <f t="shared" si="9"/>
        <v>-63.942099999999982</v>
      </c>
      <c r="Y201" t="str">
        <f t="shared" si="10"/>
        <v>Loss</v>
      </c>
      <c r="Z201" t="str">
        <f t="shared" si="11"/>
        <v>Medium</v>
      </c>
    </row>
    <row r="202" spans="1:26" x14ac:dyDescent="0.35">
      <c r="A202" s="1">
        <v>201</v>
      </c>
      <c r="B202" s="2" t="s">
        <v>774</v>
      </c>
      <c r="C202" s="3">
        <v>45002</v>
      </c>
      <c r="D202" s="3">
        <v>45006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613.90800000000002</v>
      </c>
      <c r="S202" s="1">
        <v>3</v>
      </c>
      <c r="T202" s="1">
        <v>0.4</v>
      </c>
      <c r="U202" s="1">
        <v>-122.78160000000003</v>
      </c>
      <c r="V202">
        <f>YEAR(Table1[[#This Row],[Order Date]])</f>
        <v>2023</v>
      </c>
      <c r="W202" t="str">
        <f>TEXT(Table1[[#This Row],[Order Date]],"mmm")</f>
        <v>Mar</v>
      </c>
      <c r="X202">
        <f t="shared" si="9"/>
        <v>-40.927200000000006</v>
      </c>
      <c r="Y202" t="str">
        <f t="shared" si="10"/>
        <v>Loss</v>
      </c>
      <c r="Z202" t="str">
        <f t="shared" si="11"/>
        <v>Medium</v>
      </c>
    </row>
    <row r="203" spans="1:26" x14ac:dyDescent="0.35">
      <c r="A203" s="1">
        <v>202</v>
      </c>
      <c r="B203" s="2" t="s">
        <v>783</v>
      </c>
      <c r="C203" s="3">
        <v>45002</v>
      </c>
      <c r="D203" s="3">
        <v>45009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</v>
      </c>
      <c r="T203" s="1">
        <v>0</v>
      </c>
      <c r="U203" s="1">
        <v>36.574200000000005</v>
      </c>
      <c r="V203">
        <f>YEAR(Table1[[#This Row],[Order Date]])</f>
        <v>2023</v>
      </c>
      <c r="W203" t="str">
        <f>TEXT(Table1[[#This Row],[Order Date]],"mmm")</f>
        <v>Mar</v>
      </c>
      <c r="X203">
        <f t="shared" si="9"/>
        <v>18.287100000000002</v>
      </c>
      <c r="Y203" t="str">
        <f t="shared" si="10"/>
        <v>Profit</v>
      </c>
      <c r="Z203" t="str">
        <f t="shared" si="11"/>
        <v>No Discount</v>
      </c>
    </row>
    <row r="204" spans="1:26" x14ac:dyDescent="0.35">
      <c r="A204" s="1">
        <v>203</v>
      </c>
      <c r="B204" s="2" t="s">
        <v>790</v>
      </c>
      <c r="C204" s="3">
        <v>45002</v>
      </c>
      <c r="D204" s="3">
        <v>45006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</v>
      </c>
      <c r="T204" s="1">
        <v>0</v>
      </c>
      <c r="U204" s="1">
        <v>8.4942000000000011</v>
      </c>
      <c r="V204">
        <f>YEAR(Table1[[#This Row],[Order Date]])</f>
        <v>2023</v>
      </c>
      <c r="W204" t="str">
        <f>TEXT(Table1[[#This Row],[Order Date]],"mmm")</f>
        <v>Mar</v>
      </c>
      <c r="X204">
        <f t="shared" si="9"/>
        <v>2.8314000000000004</v>
      </c>
      <c r="Y204" t="str">
        <f t="shared" si="10"/>
        <v>Profit</v>
      </c>
      <c r="Z204" t="str">
        <f t="shared" si="11"/>
        <v>No Discount</v>
      </c>
    </row>
    <row r="205" spans="1:26" x14ac:dyDescent="0.35">
      <c r="A205" s="1">
        <v>204</v>
      </c>
      <c r="B205" s="2" t="s">
        <v>795</v>
      </c>
      <c r="C205" s="3">
        <v>45002</v>
      </c>
      <c r="D205" s="3">
        <v>45002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4.4479999999999995</v>
      </c>
      <c r="S205" s="1">
        <v>2</v>
      </c>
      <c r="T205" s="1">
        <v>0.2</v>
      </c>
      <c r="U205" s="1">
        <v>0.3335999999999999</v>
      </c>
      <c r="V205">
        <f>YEAR(Table1[[#This Row],[Order Date]])</f>
        <v>2023</v>
      </c>
      <c r="W205" t="str">
        <f>TEXT(Table1[[#This Row],[Order Date]],"mmm")</f>
        <v>Mar</v>
      </c>
      <c r="X205">
        <f t="shared" si="9"/>
        <v>0.16679999999999995</v>
      </c>
      <c r="Y205" t="str">
        <f t="shared" si="10"/>
        <v>Profit</v>
      </c>
      <c r="Z205" t="str">
        <f t="shared" si="11"/>
        <v>Low</v>
      </c>
    </row>
    <row r="206" spans="1:26" x14ac:dyDescent="0.35">
      <c r="A206" s="1">
        <v>205</v>
      </c>
      <c r="B206" s="2" t="s">
        <v>783</v>
      </c>
      <c r="C206" s="3">
        <v>45002</v>
      </c>
      <c r="D206" s="3">
        <v>45009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</v>
      </c>
      <c r="T206" s="1">
        <v>0</v>
      </c>
      <c r="U206" s="1">
        <v>5.7071999999999976</v>
      </c>
      <c r="V206">
        <f>YEAR(Table1[[#This Row],[Order Date]])</f>
        <v>2023</v>
      </c>
      <c r="W206" t="str">
        <f>TEXT(Table1[[#This Row],[Order Date]],"mmm")</f>
        <v>Mar</v>
      </c>
      <c r="X206">
        <f t="shared" si="9"/>
        <v>0.9511999999999996</v>
      </c>
      <c r="Y206" t="str">
        <f t="shared" si="10"/>
        <v>Profit</v>
      </c>
      <c r="Z206" t="str">
        <f t="shared" si="11"/>
        <v>No Discount</v>
      </c>
    </row>
    <row r="207" spans="1:26" x14ac:dyDescent="0.35">
      <c r="A207" s="1">
        <v>206</v>
      </c>
      <c r="B207" s="2" t="s">
        <v>783</v>
      </c>
      <c r="C207" s="3">
        <v>45002</v>
      </c>
      <c r="D207" s="3">
        <v>45009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35.880000000000003</v>
      </c>
      <c r="S207" s="1">
        <v>6</v>
      </c>
      <c r="T207" s="1">
        <v>0</v>
      </c>
      <c r="U207" s="1">
        <v>17.2224</v>
      </c>
      <c r="V207">
        <f>YEAR(Table1[[#This Row],[Order Date]])</f>
        <v>2023</v>
      </c>
      <c r="W207" t="str">
        <f>TEXT(Table1[[#This Row],[Order Date]],"mmm")</f>
        <v>Mar</v>
      </c>
      <c r="X207">
        <f t="shared" si="9"/>
        <v>2.8704000000000001</v>
      </c>
      <c r="Y207" t="str">
        <f t="shared" si="10"/>
        <v>Profit</v>
      </c>
      <c r="Z207" t="str">
        <f t="shared" si="11"/>
        <v>No Discount</v>
      </c>
    </row>
    <row r="208" spans="1:26" x14ac:dyDescent="0.35">
      <c r="A208" s="1">
        <v>207</v>
      </c>
      <c r="B208" s="2" t="s">
        <v>790</v>
      </c>
      <c r="C208" s="3">
        <v>45002</v>
      </c>
      <c r="D208" s="3">
        <v>45006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</v>
      </c>
      <c r="T208" s="1">
        <v>0</v>
      </c>
      <c r="U208" s="1">
        <v>14.9156</v>
      </c>
      <c r="V208">
        <f>YEAR(Table1[[#This Row],[Order Date]])</f>
        <v>2023</v>
      </c>
      <c r="W208" t="str">
        <f>TEXT(Table1[[#This Row],[Order Date]],"mmm")</f>
        <v>Mar</v>
      </c>
      <c r="X208">
        <f t="shared" si="9"/>
        <v>7.4577999999999998</v>
      </c>
      <c r="Y208" t="str">
        <f t="shared" si="10"/>
        <v>Profit</v>
      </c>
      <c r="Z208" t="str">
        <f t="shared" si="11"/>
        <v>No Discount</v>
      </c>
    </row>
    <row r="209" spans="1:26" x14ac:dyDescent="0.35">
      <c r="A209" s="1">
        <v>208</v>
      </c>
      <c r="B209" s="2" t="s">
        <v>790</v>
      </c>
      <c r="C209" s="3">
        <v>45002</v>
      </c>
      <c r="D209" s="3">
        <v>45006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</v>
      </c>
      <c r="T209" s="1">
        <v>0</v>
      </c>
      <c r="U209" s="1">
        <v>5.3720999999999997</v>
      </c>
      <c r="V209">
        <f>YEAR(Table1[[#This Row],[Order Date]])</f>
        <v>2023</v>
      </c>
      <c r="W209" t="str">
        <f>TEXT(Table1[[#This Row],[Order Date]],"mmm")</f>
        <v>Mar</v>
      </c>
      <c r="X209">
        <f t="shared" si="9"/>
        <v>1.7907</v>
      </c>
      <c r="Y209" t="str">
        <f t="shared" si="10"/>
        <v>Profit</v>
      </c>
      <c r="Z209" t="str">
        <f t="shared" si="11"/>
        <v>No Discount</v>
      </c>
    </row>
    <row r="210" spans="1:26" x14ac:dyDescent="0.35">
      <c r="A210" s="1">
        <v>209</v>
      </c>
      <c r="B210" s="2" t="s">
        <v>783</v>
      </c>
      <c r="C210" s="3">
        <v>45002</v>
      </c>
      <c r="D210" s="3">
        <v>45009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</v>
      </c>
      <c r="T210" s="1">
        <v>0</v>
      </c>
      <c r="U210" s="1">
        <v>25.097999999999999</v>
      </c>
      <c r="V210">
        <f>YEAR(Table1[[#This Row],[Order Date]])</f>
        <v>2023</v>
      </c>
      <c r="W210" t="str">
        <f>TEXT(Table1[[#This Row],[Order Date]],"mmm")</f>
        <v>Mar</v>
      </c>
      <c r="X210">
        <f t="shared" si="9"/>
        <v>2.5097999999999998</v>
      </c>
      <c r="Y210" t="str">
        <f t="shared" si="10"/>
        <v>Profit</v>
      </c>
      <c r="Z210" t="str">
        <f t="shared" si="11"/>
        <v>No Discount</v>
      </c>
    </row>
    <row r="211" spans="1:26" x14ac:dyDescent="0.35">
      <c r="A211" s="1">
        <v>210</v>
      </c>
      <c r="B211" s="2" t="s">
        <v>783</v>
      </c>
      <c r="C211" s="3">
        <v>45002</v>
      </c>
      <c r="D211" s="3">
        <v>45009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</v>
      </c>
      <c r="T211" s="1">
        <v>0</v>
      </c>
      <c r="U211" s="1">
        <v>23.59</v>
      </c>
      <c r="V211">
        <f>YEAR(Table1[[#This Row],[Order Date]])</f>
        <v>2023</v>
      </c>
      <c r="W211" t="str">
        <f>TEXT(Table1[[#This Row],[Order Date]],"mmm")</f>
        <v>Mar</v>
      </c>
      <c r="X211">
        <f t="shared" si="9"/>
        <v>3.37</v>
      </c>
      <c r="Y211" t="str">
        <f t="shared" si="10"/>
        <v>Profit</v>
      </c>
      <c r="Z211" t="str">
        <f t="shared" si="11"/>
        <v>No Discount</v>
      </c>
    </row>
    <row r="212" spans="1:26" x14ac:dyDescent="0.35">
      <c r="A212" s="1">
        <v>211</v>
      </c>
      <c r="B212" s="2" t="s">
        <v>774</v>
      </c>
      <c r="C212" s="3">
        <v>45002</v>
      </c>
      <c r="D212" s="3">
        <v>45006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</v>
      </c>
      <c r="T212" s="1">
        <v>0</v>
      </c>
      <c r="U212" s="1">
        <v>75.9696</v>
      </c>
      <c r="V212">
        <f>YEAR(Table1[[#This Row],[Order Date]])</f>
        <v>2023</v>
      </c>
      <c r="W212" t="str">
        <f>TEXT(Table1[[#This Row],[Order Date]],"mmm")</f>
        <v>Mar</v>
      </c>
      <c r="X212">
        <f t="shared" si="9"/>
        <v>18.9924</v>
      </c>
      <c r="Y212" t="str">
        <f t="shared" si="10"/>
        <v>Profit</v>
      </c>
      <c r="Z212" t="str">
        <f t="shared" si="11"/>
        <v>No Discount</v>
      </c>
    </row>
    <row r="213" spans="1:26" x14ac:dyDescent="0.35">
      <c r="A213" s="1">
        <v>212</v>
      </c>
      <c r="B213" s="2" t="s">
        <v>795</v>
      </c>
      <c r="C213" s="3">
        <v>45002</v>
      </c>
      <c r="D213" s="3">
        <v>45002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5.1840000000000011</v>
      </c>
      <c r="S213" s="1">
        <v>1</v>
      </c>
      <c r="T213" s="1">
        <v>0.2</v>
      </c>
      <c r="U213" s="1">
        <v>1.8792</v>
      </c>
      <c r="V213">
        <f>YEAR(Table1[[#This Row],[Order Date]])</f>
        <v>2023</v>
      </c>
      <c r="W213" t="str">
        <f>TEXT(Table1[[#This Row],[Order Date]],"mmm")</f>
        <v>Mar</v>
      </c>
      <c r="X213">
        <f t="shared" si="9"/>
        <v>1.8792</v>
      </c>
      <c r="Y213" t="str">
        <f t="shared" si="10"/>
        <v>Profit</v>
      </c>
      <c r="Z213" t="str">
        <f t="shared" si="11"/>
        <v>Low</v>
      </c>
    </row>
    <row r="214" spans="1:26" x14ac:dyDescent="0.35">
      <c r="A214" s="1">
        <v>213</v>
      </c>
      <c r="B214" s="2" t="s">
        <v>795</v>
      </c>
      <c r="C214" s="3">
        <v>45002</v>
      </c>
      <c r="D214" s="3">
        <v>45002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15.552000000000003</v>
      </c>
      <c r="S214" s="1">
        <v>3</v>
      </c>
      <c r="T214" s="1">
        <v>0.2</v>
      </c>
      <c r="U214" s="1">
        <v>5.4432</v>
      </c>
      <c r="V214">
        <f>YEAR(Table1[[#This Row],[Order Date]])</f>
        <v>2023</v>
      </c>
      <c r="W214" t="str">
        <f>TEXT(Table1[[#This Row],[Order Date]],"mmm")</f>
        <v>Mar</v>
      </c>
      <c r="X214">
        <f t="shared" si="9"/>
        <v>1.8144</v>
      </c>
      <c r="Y214" t="str">
        <f t="shared" si="10"/>
        <v>Profit</v>
      </c>
      <c r="Z214" t="str">
        <f t="shared" si="11"/>
        <v>Low</v>
      </c>
    </row>
    <row r="215" spans="1:26" x14ac:dyDescent="0.35">
      <c r="A215" s="1">
        <v>214</v>
      </c>
      <c r="B215" s="2" t="s">
        <v>774</v>
      </c>
      <c r="C215" s="3">
        <v>45002</v>
      </c>
      <c r="D215" s="3">
        <v>45006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</v>
      </c>
      <c r="T215" s="1">
        <v>0</v>
      </c>
      <c r="U215" s="1">
        <v>16.3842</v>
      </c>
      <c r="V215">
        <f>YEAR(Table1[[#This Row],[Order Date]])</f>
        <v>2023</v>
      </c>
      <c r="W215" t="str">
        <f>TEXT(Table1[[#This Row],[Order Date]],"mmm")</f>
        <v>Mar</v>
      </c>
      <c r="X215">
        <f t="shared" si="9"/>
        <v>2.3405999999999998</v>
      </c>
      <c r="Y215" t="str">
        <f t="shared" si="10"/>
        <v>Profit</v>
      </c>
      <c r="Z215" t="str">
        <f t="shared" si="11"/>
        <v>No Discount</v>
      </c>
    </row>
    <row r="216" spans="1:26" x14ac:dyDescent="0.35">
      <c r="A216" s="1">
        <v>215</v>
      </c>
      <c r="B216" s="2" t="s">
        <v>790</v>
      </c>
      <c r="C216" s="3">
        <v>45002</v>
      </c>
      <c r="D216" s="3">
        <v>45006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</v>
      </c>
      <c r="S216" s="1">
        <v>4</v>
      </c>
      <c r="T216" s="1">
        <v>0</v>
      </c>
      <c r="U216" s="1">
        <v>7.68</v>
      </c>
      <c r="V216">
        <f>YEAR(Table1[[#This Row],[Order Date]])</f>
        <v>2023</v>
      </c>
      <c r="W216" t="str">
        <f>TEXT(Table1[[#This Row],[Order Date]],"mmm")</f>
        <v>Mar</v>
      </c>
      <c r="X216">
        <f t="shared" si="9"/>
        <v>1.92</v>
      </c>
      <c r="Y216" t="str">
        <f t="shared" si="10"/>
        <v>Profit</v>
      </c>
      <c r="Z216" t="str">
        <f t="shared" si="11"/>
        <v>No Discount</v>
      </c>
    </row>
    <row r="217" spans="1:26" x14ac:dyDescent="0.35">
      <c r="A217" s="1">
        <v>216</v>
      </c>
      <c r="B217" s="2" t="s">
        <v>790</v>
      </c>
      <c r="C217" s="3">
        <v>45002</v>
      </c>
      <c r="D217" s="3">
        <v>45006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</v>
      </c>
      <c r="T217" s="1">
        <v>0</v>
      </c>
      <c r="U217" s="1">
        <v>6.3504000000000005</v>
      </c>
      <c r="V217">
        <f>YEAR(Table1[[#This Row],[Order Date]])</f>
        <v>2023</v>
      </c>
      <c r="W217" t="str">
        <f>TEXT(Table1[[#This Row],[Order Date]],"mmm")</f>
        <v>Mar</v>
      </c>
      <c r="X217">
        <f t="shared" si="9"/>
        <v>3.1752000000000002</v>
      </c>
      <c r="Y217" t="str">
        <f t="shared" si="10"/>
        <v>Profit</v>
      </c>
      <c r="Z217" t="str">
        <f t="shared" si="11"/>
        <v>No Discount</v>
      </c>
    </row>
    <row r="218" spans="1:26" x14ac:dyDescent="0.35">
      <c r="A218" s="1">
        <v>217</v>
      </c>
      <c r="B218" s="2" t="s">
        <v>818</v>
      </c>
      <c r="C218" s="3">
        <v>45002</v>
      </c>
      <c r="D218" s="3">
        <v>45005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</v>
      </c>
      <c r="T218" s="1">
        <v>0.2</v>
      </c>
      <c r="U218" s="1">
        <v>41.152799999999992</v>
      </c>
      <c r="V218">
        <f>YEAR(Table1[[#This Row],[Order Date]])</f>
        <v>2023</v>
      </c>
      <c r="W218" t="str">
        <f>TEXT(Table1[[#This Row],[Order Date]],"mmm")</f>
        <v>Mar</v>
      </c>
      <c r="X218">
        <f t="shared" si="9"/>
        <v>6.8587999999999987</v>
      </c>
      <c r="Y218" t="str">
        <f t="shared" si="10"/>
        <v>Profit</v>
      </c>
      <c r="Z218" t="str">
        <f t="shared" si="11"/>
        <v>Low</v>
      </c>
    </row>
    <row r="219" spans="1:26" x14ac:dyDescent="0.35">
      <c r="A219" s="1">
        <v>218</v>
      </c>
      <c r="B219" s="2" t="s">
        <v>823</v>
      </c>
      <c r="C219" s="3">
        <v>45003</v>
      </c>
      <c r="D219" s="3">
        <v>45006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</v>
      </c>
      <c r="T219" s="1">
        <v>0.15</v>
      </c>
      <c r="U219" s="1">
        <v>70.490000000000009</v>
      </c>
      <c r="V219">
        <f>YEAR(Table1[[#This Row],[Order Date]])</f>
        <v>2023</v>
      </c>
      <c r="W219" t="str">
        <f>TEXT(Table1[[#This Row],[Order Date]],"mmm")</f>
        <v>Mar</v>
      </c>
      <c r="X219">
        <f t="shared" si="9"/>
        <v>7.0490000000000013</v>
      </c>
      <c r="Y219" t="str">
        <f t="shared" si="10"/>
        <v>Profit</v>
      </c>
      <c r="Z219" t="str">
        <f t="shared" si="11"/>
        <v>Low</v>
      </c>
    </row>
    <row r="220" spans="1:26" x14ac:dyDescent="0.35">
      <c r="A220" s="1">
        <v>219</v>
      </c>
      <c r="B220" s="2" t="s">
        <v>828</v>
      </c>
      <c r="C220" s="3">
        <v>45003</v>
      </c>
      <c r="D220" s="3">
        <v>45008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</v>
      </c>
      <c r="T220" s="1">
        <v>0.2</v>
      </c>
      <c r="U220" s="1">
        <v>15.29399999999999</v>
      </c>
      <c r="V220">
        <f>YEAR(Table1[[#This Row],[Order Date]])</f>
        <v>2023</v>
      </c>
      <c r="W220" t="str">
        <f>TEXT(Table1[[#This Row],[Order Date]],"mmm")</f>
        <v>Mar</v>
      </c>
      <c r="X220">
        <f t="shared" si="9"/>
        <v>5.0979999999999963</v>
      </c>
      <c r="Y220" t="str">
        <f t="shared" si="10"/>
        <v>Profit</v>
      </c>
      <c r="Z220" t="str">
        <f t="shared" si="11"/>
        <v>Low</v>
      </c>
    </row>
    <row r="221" spans="1:26" x14ac:dyDescent="0.35">
      <c r="A221" s="1">
        <v>220</v>
      </c>
      <c r="B221" s="2" t="s">
        <v>828</v>
      </c>
      <c r="C221" s="3">
        <v>45003</v>
      </c>
      <c r="D221" s="3">
        <v>45008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30.768000000000001</v>
      </c>
      <c r="S221" s="1">
        <v>2</v>
      </c>
      <c r="T221" s="1">
        <v>0.2</v>
      </c>
      <c r="U221" s="1">
        <v>8.0766000000000027</v>
      </c>
      <c r="V221">
        <f>YEAR(Table1[[#This Row],[Order Date]])</f>
        <v>2023</v>
      </c>
      <c r="W221" t="str">
        <f>TEXT(Table1[[#This Row],[Order Date]],"mmm")</f>
        <v>Mar</v>
      </c>
      <c r="X221">
        <f t="shared" si="9"/>
        <v>4.0383000000000013</v>
      </c>
      <c r="Y221" t="str">
        <f t="shared" si="10"/>
        <v>Profit</v>
      </c>
      <c r="Z221" t="str">
        <f t="shared" si="11"/>
        <v>Low</v>
      </c>
    </row>
    <row r="222" spans="1:26" x14ac:dyDescent="0.35">
      <c r="A222" s="1">
        <v>221</v>
      </c>
      <c r="B222" s="2" t="s">
        <v>835</v>
      </c>
      <c r="C222" s="3">
        <v>45003</v>
      </c>
      <c r="D222" s="3">
        <v>45009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</v>
      </c>
      <c r="S222" s="1">
        <v>2</v>
      </c>
      <c r="T222" s="1">
        <v>0</v>
      </c>
      <c r="U222" s="1">
        <v>14.430000000000007</v>
      </c>
      <c r="V222">
        <f>YEAR(Table1[[#This Row],[Order Date]])</f>
        <v>2023</v>
      </c>
      <c r="W222" t="str">
        <f>TEXT(Table1[[#This Row],[Order Date]],"mmm")</f>
        <v>Mar</v>
      </c>
      <c r="X222">
        <f t="shared" si="9"/>
        <v>7.2150000000000034</v>
      </c>
      <c r="Y222" t="str">
        <f t="shared" si="10"/>
        <v>Profit</v>
      </c>
      <c r="Z222" t="str">
        <f t="shared" si="11"/>
        <v>No Discount</v>
      </c>
    </row>
    <row r="223" spans="1:26" x14ac:dyDescent="0.35">
      <c r="A223" s="1">
        <v>222</v>
      </c>
      <c r="B223" s="2" t="s">
        <v>828</v>
      </c>
      <c r="C223" s="3">
        <v>45003</v>
      </c>
      <c r="D223" s="3">
        <v>45008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</v>
      </c>
      <c r="T223" s="1">
        <v>0.2</v>
      </c>
      <c r="U223" s="1">
        <v>1.0019999999999993</v>
      </c>
      <c r="V223">
        <f>YEAR(Table1[[#This Row],[Order Date]])</f>
        <v>2023</v>
      </c>
      <c r="W223" t="str">
        <f>TEXT(Table1[[#This Row],[Order Date]],"mmm")</f>
        <v>Mar</v>
      </c>
      <c r="X223">
        <f t="shared" si="9"/>
        <v>0.3339999999999998</v>
      </c>
      <c r="Y223" t="str">
        <f t="shared" si="10"/>
        <v>Profit</v>
      </c>
      <c r="Z223" t="str">
        <f t="shared" si="11"/>
        <v>Low</v>
      </c>
    </row>
    <row r="224" spans="1:26" x14ac:dyDescent="0.35">
      <c r="A224" s="1">
        <v>223</v>
      </c>
      <c r="B224" s="2" t="s">
        <v>828</v>
      </c>
      <c r="C224" s="3">
        <v>45003</v>
      </c>
      <c r="D224" s="3">
        <v>45008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</v>
      </c>
      <c r="T224" s="1">
        <v>0.2</v>
      </c>
      <c r="U224" s="1">
        <v>5.9174999999999986</v>
      </c>
      <c r="V224">
        <f>YEAR(Table1[[#This Row],[Order Date]])</f>
        <v>2023</v>
      </c>
      <c r="W224" t="str">
        <f>TEXT(Table1[[#This Row],[Order Date]],"mmm")</f>
        <v>Mar</v>
      </c>
      <c r="X224">
        <f t="shared" si="9"/>
        <v>1.9724999999999995</v>
      </c>
      <c r="Y224" t="str">
        <f t="shared" si="10"/>
        <v>Profit</v>
      </c>
      <c r="Z224" t="str">
        <f t="shared" si="11"/>
        <v>Low</v>
      </c>
    </row>
    <row r="225" spans="1:26" x14ac:dyDescent="0.35">
      <c r="A225" s="1">
        <v>224</v>
      </c>
      <c r="B225" s="2" t="s">
        <v>828</v>
      </c>
      <c r="C225" s="3">
        <v>45003</v>
      </c>
      <c r="D225" s="3">
        <v>45008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21.376000000000001</v>
      </c>
      <c r="S225" s="1">
        <v>4</v>
      </c>
      <c r="T225" s="1">
        <v>0.2</v>
      </c>
      <c r="U225" s="1">
        <v>7.4815999999999994</v>
      </c>
      <c r="V225">
        <f>YEAR(Table1[[#This Row],[Order Date]])</f>
        <v>2023</v>
      </c>
      <c r="W225" t="str">
        <f>TEXT(Table1[[#This Row],[Order Date]],"mmm")</f>
        <v>Mar</v>
      </c>
      <c r="X225">
        <f t="shared" si="9"/>
        <v>1.8703999999999998</v>
      </c>
      <c r="Y225" t="str">
        <f t="shared" si="10"/>
        <v>Profit</v>
      </c>
      <c r="Z225" t="str">
        <f t="shared" si="11"/>
        <v>Low</v>
      </c>
    </row>
    <row r="226" spans="1:26" x14ac:dyDescent="0.35">
      <c r="A226" s="1">
        <v>225</v>
      </c>
      <c r="B226" s="2" t="s">
        <v>835</v>
      </c>
      <c r="C226" s="3">
        <v>45003</v>
      </c>
      <c r="D226" s="3">
        <v>45009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</v>
      </c>
      <c r="T226" s="1">
        <v>0</v>
      </c>
      <c r="U226" s="1">
        <v>334.11419999999987</v>
      </c>
      <c r="V226">
        <f>YEAR(Table1[[#This Row],[Order Date]])</f>
        <v>2023</v>
      </c>
      <c r="W226" t="str">
        <f>TEXT(Table1[[#This Row],[Order Date]],"mmm")</f>
        <v>Mar</v>
      </c>
      <c r="X226">
        <f t="shared" si="9"/>
        <v>47.730599999999981</v>
      </c>
      <c r="Y226" t="str">
        <f t="shared" si="10"/>
        <v>Profit</v>
      </c>
      <c r="Z226" t="str">
        <f t="shared" si="11"/>
        <v>No Discount</v>
      </c>
    </row>
    <row r="227" spans="1:26" x14ac:dyDescent="0.35">
      <c r="A227" s="1">
        <v>226</v>
      </c>
      <c r="B227" s="2" t="s">
        <v>835</v>
      </c>
      <c r="C227" s="3">
        <v>45003</v>
      </c>
      <c r="D227" s="3">
        <v>45009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1279.9680000000001</v>
      </c>
      <c r="S227" s="1">
        <v>4</v>
      </c>
      <c r="T227" s="1">
        <v>0.2</v>
      </c>
      <c r="U227" s="1">
        <v>415.98959999999994</v>
      </c>
      <c r="V227">
        <f>YEAR(Table1[[#This Row],[Order Date]])</f>
        <v>2023</v>
      </c>
      <c r="W227" t="str">
        <f>TEXT(Table1[[#This Row],[Order Date]],"mmm")</f>
        <v>Mar</v>
      </c>
      <c r="X227">
        <f t="shared" si="9"/>
        <v>103.99739999999998</v>
      </c>
      <c r="Y227" t="str">
        <f t="shared" si="10"/>
        <v>Profit</v>
      </c>
      <c r="Z227" t="str">
        <f t="shared" si="11"/>
        <v>Low</v>
      </c>
    </row>
    <row r="228" spans="1:26" x14ac:dyDescent="0.35">
      <c r="A228" s="1">
        <v>227</v>
      </c>
      <c r="B228" s="2" t="s">
        <v>828</v>
      </c>
      <c r="C228" s="3">
        <v>45003</v>
      </c>
      <c r="D228" s="3">
        <v>45008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</v>
      </c>
      <c r="T228" s="1">
        <v>0.5</v>
      </c>
      <c r="U228" s="1">
        <v>-1811.0784000000021</v>
      </c>
      <c r="V228">
        <f>YEAR(Table1[[#This Row],[Order Date]])</f>
        <v>2023</v>
      </c>
      <c r="W228" t="str">
        <f>TEXT(Table1[[#This Row],[Order Date]],"mmm")</f>
        <v>Mar</v>
      </c>
      <c r="X228">
        <f t="shared" si="9"/>
        <v>-301.84640000000036</v>
      </c>
      <c r="Y228" t="str">
        <f t="shared" si="10"/>
        <v>Loss</v>
      </c>
      <c r="Z228" t="str">
        <f t="shared" si="11"/>
        <v>High</v>
      </c>
    </row>
    <row r="229" spans="1:26" x14ac:dyDescent="0.35">
      <c r="A229" s="1">
        <v>228</v>
      </c>
      <c r="B229" s="2" t="s">
        <v>828</v>
      </c>
      <c r="C229" s="3">
        <v>45003</v>
      </c>
      <c r="D229" s="3">
        <v>45008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</v>
      </c>
      <c r="T229" s="1">
        <v>0.5</v>
      </c>
      <c r="U229" s="1">
        <v>-16.426000000000045</v>
      </c>
      <c r="V229">
        <f>YEAR(Table1[[#This Row],[Order Date]])</f>
        <v>2023</v>
      </c>
      <c r="W229" t="str">
        <f>TEXT(Table1[[#This Row],[Order Date]],"mmm")</f>
        <v>Mar</v>
      </c>
      <c r="X229">
        <f t="shared" si="9"/>
        <v>-4.1065000000000111</v>
      </c>
      <c r="Y229" t="str">
        <f t="shared" si="10"/>
        <v>Loss</v>
      </c>
      <c r="Z229" t="str">
        <f t="shared" si="11"/>
        <v>High</v>
      </c>
    </row>
    <row r="230" spans="1:26" x14ac:dyDescent="0.35">
      <c r="A230" s="1">
        <v>229</v>
      </c>
      <c r="B230" s="2" t="s">
        <v>848</v>
      </c>
      <c r="C230" s="3">
        <v>45004</v>
      </c>
      <c r="D230" s="3">
        <v>45006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20.016000000000002</v>
      </c>
      <c r="S230" s="1">
        <v>3</v>
      </c>
      <c r="T230" s="1">
        <v>0.2</v>
      </c>
      <c r="U230" s="1">
        <v>5.5044000000000013</v>
      </c>
      <c r="V230">
        <f>YEAR(Table1[[#This Row],[Order Date]])</f>
        <v>2023</v>
      </c>
      <c r="W230" t="str">
        <f>TEXT(Table1[[#This Row],[Order Date]],"mmm")</f>
        <v>Mar</v>
      </c>
      <c r="X230">
        <f t="shared" si="9"/>
        <v>1.8348000000000004</v>
      </c>
      <c r="Y230" t="str">
        <f t="shared" si="10"/>
        <v>Profit</v>
      </c>
      <c r="Z230" t="str">
        <f t="shared" si="11"/>
        <v>Low</v>
      </c>
    </row>
    <row r="231" spans="1:26" x14ac:dyDescent="0.35">
      <c r="A231" s="1">
        <v>230</v>
      </c>
      <c r="B231" s="2" t="s">
        <v>848</v>
      </c>
      <c r="C231" s="3">
        <v>45004</v>
      </c>
      <c r="D231" s="3">
        <v>45006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4.9920000000000009</v>
      </c>
      <c r="S231" s="1">
        <v>3</v>
      </c>
      <c r="T231" s="1">
        <v>0.2</v>
      </c>
      <c r="U231" s="1">
        <v>1.3728000000000002</v>
      </c>
      <c r="V231">
        <f>YEAR(Table1[[#This Row],[Order Date]])</f>
        <v>2023</v>
      </c>
      <c r="W231" t="str">
        <f>TEXT(Table1[[#This Row],[Order Date]],"mmm")</f>
        <v>Mar</v>
      </c>
      <c r="X231">
        <f t="shared" si="9"/>
        <v>0.45760000000000006</v>
      </c>
      <c r="Y231" t="str">
        <f t="shared" si="10"/>
        <v>Profit</v>
      </c>
      <c r="Z231" t="str">
        <f t="shared" si="11"/>
        <v>Low</v>
      </c>
    </row>
    <row r="232" spans="1:26" x14ac:dyDescent="0.35">
      <c r="A232" s="1">
        <v>231</v>
      </c>
      <c r="B232" s="2" t="s">
        <v>848</v>
      </c>
      <c r="C232" s="3">
        <v>45004</v>
      </c>
      <c r="D232" s="3">
        <v>45006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</v>
      </c>
      <c r="T232" s="1">
        <v>0.7</v>
      </c>
      <c r="U232" s="1">
        <v>-25.737000000000002</v>
      </c>
      <c r="V232">
        <f>YEAR(Table1[[#This Row],[Order Date]])</f>
        <v>2023</v>
      </c>
      <c r="W232" t="str">
        <f>TEXT(Table1[[#This Row],[Order Date]],"mmm")</f>
        <v>Mar</v>
      </c>
      <c r="X232">
        <f t="shared" si="9"/>
        <v>-5.1474000000000002</v>
      </c>
      <c r="Y232" t="str">
        <f t="shared" si="10"/>
        <v>Loss</v>
      </c>
      <c r="Z232" t="str">
        <f t="shared" si="11"/>
        <v>High</v>
      </c>
    </row>
    <row r="233" spans="1:26" x14ac:dyDescent="0.35">
      <c r="A233" s="1">
        <v>232</v>
      </c>
      <c r="B233" s="2" t="s">
        <v>848</v>
      </c>
      <c r="C233" s="3">
        <v>45004</v>
      </c>
      <c r="D233" s="3">
        <v>45006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</v>
      </c>
      <c r="T233" s="1">
        <v>0.2</v>
      </c>
      <c r="U233" s="1">
        <v>3.9851999999999999</v>
      </c>
      <c r="V233">
        <f>YEAR(Table1[[#This Row],[Order Date]])</f>
        <v>2023</v>
      </c>
      <c r="W233" t="str">
        <f>TEXT(Table1[[#This Row],[Order Date]],"mmm")</f>
        <v>Mar</v>
      </c>
      <c r="X233">
        <f t="shared" si="9"/>
        <v>0.99629999999999996</v>
      </c>
      <c r="Y233" t="str">
        <f t="shared" si="10"/>
        <v>Profit</v>
      </c>
      <c r="Z233" t="str">
        <f t="shared" si="11"/>
        <v>Low</v>
      </c>
    </row>
    <row r="234" spans="1:26" x14ac:dyDescent="0.35">
      <c r="A234" s="1">
        <v>233</v>
      </c>
      <c r="B234" s="2" t="s">
        <v>848</v>
      </c>
      <c r="C234" s="3">
        <v>45004</v>
      </c>
      <c r="D234" s="3">
        <v>45006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26.160000000000004</v>
      </c>
      <c r="S234" s="1">
        <v>3</v>
      </c>
      <c r="T234" s="1">
        <v>0.2</v>
      </c>
      <c r="U234" s="1">
        <v>1.961999999999998</v>
      </c>
      <c r="V234">
        <f>YEAR(Table1[[#This Row],[Order Date]])</f>
        <v>2023</v>
      </c>
      <c r="W234" t="str">
        <f>TEXT(Table1[[#This Row],[Order Date]],"mmm")</f>
        <v>Mar</v>
      </c>
      <c r="X234">
        <f t="shared" si="9"/>
        <v>0.65399999999999936</v>
      </c>
      <c r="Y234" t="str">
        <f t="shared" si="10"/>
        <v>Profit</v>
      </c>
      <c r="Z234" t="str">
        <f t="shared" si="11"/>
        <v>Low</v>
      </c>
    </row>
    <row r="235" spans="1:26" x14ac:dyDescent="0.35">
      <c r="A235" s="1">
        <v>234</v>
      </c>
      <c r="B235" s="2" t="s">
        <v>848</v>
      </c>
      <c r="C235" s="3">
        <v>45004</v>
      </c>
      <c r="D235" s="3">
        <v>45006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</v>
      </c>
      <c r="T235" s="1">
        <v>0.2</v>
      </c>
      <c r="U235" s="1">
        <v>53.199999999999989</v>
      </c>
      <c r="V235">
        <f>YEAR(Table1[[#This Row],[Order Date]])</f>
        <v>2023</v>
      </c>
      <c r="W235" t="str">
        <f>TEXT(Table1[[#This Row],[Order Date]],"mmm")</f>
        <v>Mar</v>
      </c>
      <c r="X235">
        <f t="shared" si="9"/>
        <v>26.599999999999994</v>
      </c>
      <c r="Y235" t="str">
        <f t="shared" si="10"/>
        <v>Profit</v>
      </c>
      <c r="Z235" t="str">
        <f t="shared" si="11"/>
        <v>Low</v>
      </c>
    </row>
    <row r="236" spans="1:26" x14ac:dyDescent="0.35">
      <c r="A236" s="1">
        <v>235</v>
      </c>
      <c r="B236" s="2" t="s">
        <v>848</v>
      </c>
      <c r="C236" s="3">
        <v>45004</v>
      </c>
      <c r="D236" s="3">
        <v>45006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323.97600000000006</v>
      </c>
      <c r="S236" s="1">
        <v>3</v>
      </c>
      <c r="T236" s="1">
        <v>0.2</v>
      </c>
      <c r="U236" s="1">
        <v>28.347899999999981</v>
      </c>
      <c r="V236">
        <f>YEAR(Table1[[#This Row],[Order Date]])</f>
        <v>2023</v>
      </c>
      <c r="W236" t="str">
        <f>TEXT(Table1[[#This Row],[Order Date]],"mmm")</f>
        <v>Mar</v>
      </c>
      <c r="X236">
        <f t="shared" si="9"/>
        <v>9.4492999999999938</v>
      </c>
      <c r="Y236" t="str">
        <f t="shared" si="10"/>
        <v>Profit</v>
      </c>
      <c r="Z236" t="str">
        <f t="shared" si="11"/>
        <v>Low</v>
      </c>
    </row>
    <row r="237" spans="1:26" x14ac:dyDescent="0.35">
      <c r="A237" s="1">
        <v>236</v>
      </c>
      <c r="B237" s="2" t="s">
        <v>862</v>
      </c>
      <c r="C237" s="3">
        <v>45006</v>
      </c>
      <c r="D237" s="3">
        <v>45010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</v>
      </c>
      <c r="T237" s="1">
        <v>0.2</v>
      </c>
      <c r="U237" s="1">
        <v>-10.918799999999983</v>
      </c>
      <c r="V237">
        <f>YEAR(Table1[[#This Row],[Order Date]])</f>
        <v>2023</v>
      </c>
      <c r="W237" t="str">
        <f>TEXT(Table1[[#This Row],[Order Date]],"mmm")</f>
        <v>Mar</v>
      </c>
      <c r="X237">
        <f t="shared" si="9"/>
        <v>-3.6395999999999944</v>
      </c>
      <c r="Y237" t="str">
        <f t="shared" si="10"/>
        <v>Loss</v>
      </c>
      <c r="Z237" t="str">
        <f t="shared" si="11"/>
        <v>Low</v>
      </c>
    </row>
    <row r="238" spans="1:26" x14ac:dyDescent="0.35">
      <c r="A238" s="1">
        <v>237</v>
      </c>
      <c r="B238" s="2" t="s">
        <v>862</v>
      </c>
      <c r="C238" s="3">
        <v>45006</v>
      </c>
      <c r="D238" s="3">
        <v>45010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32.952000000000005</v>
      </c>
      <c r="S238" s="1">
        <v>3</v>
      </c>
      <c r="T238" s="1">
        <v>0.2</v>
      </c>
      <c r="U238" s="1">
        <v>6.5903999999999989</v>
      </c>
      <c r="V238">
        <f>YEAR(Table1[[#This Row],[Order Date]])</f>
        <v>2023</v>
      </c>
      <c r="W238" t="str">
        <f>TEXT(Table1[[#This Row],[Order Date]],"mmm")</f>
        <v>Mar</v>
      </c>
      <c r="X238">
        <f t="shared" si="9"/>
        <v>2.1967999999999996</v>
      </c>
      <c r="Y238" t="str">
        <f t="shared" si="10"/>
        <v>Profit</v>
      </c>
      <c r="Z238" t="str">
        <f t="shared" si="11"/>
        <v>Low</v>
      </c>
    </row>
    <row r="239" spans="1:26" x14ac:dyDescent="0.35">
      <c r="A239" s="1">
        <v>238</v>
      </c>
      <c r="B239" s="2" t="s">
        <v>868</v>
      </c>
      <c r="C239" s="3">
        <v>45006</v>
      </c>
      <c r="D239" s="3">
        <v>45010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</v>
      </c>
      <c r="T239" s="1">
        <v>0</v>
      </c>
      <c r="U239" s="1">
        <v>2.702799999999999</v>
      </c>
      <c r="V239">
        <f>YEAR(Table1[[#This Row],[Order Date]])</f>
        <v>2023</v>
      </c>
      <c r="W239" t="str">
        <f>TEXT(Table1[[#This Row],[Order Date]],"mmm")</f>
        <v>Mar</v>
      </c>
      <c r="X239">
        <f t="shared" si="9"/>
        <v>0.67569999999999975</v>
      </c>
      <c r="Y239" t="str">
        <f t="shared" si="10"/>
        <v>Profit</v>
      </c>
      <c r="Z239" t="str">
        <f t="shared" si="11"/>
        <v>No Discount</v>
      </c>
    </row>
    <row r="240" spans="1:26" x14ac:dyDescent="0.35">
      <c r="A240" s="1">
        <v>239</v>
      </c>
      <c r="B240" s="2" t="s">
        <v>873</v>
      </c>
      <c r="C240" s="3">
        <v>45006</v>
      </c>
      <c r="D240" s="3">
        <v>45010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</v>
      </c>
      <c r="T240" s="1">
        <v>0.2</v>
      </c>
      <c r="U240" s="1">
        <v>1.5876000000000006</v>
      </c>
      <c r="V240">
        <f>YEAR(Table1[[#This Row],[Order Date]])</f>
        <v>2023</v>
      </c>
      <c r="W240" t="str">
        <f>TEXT(Table1[[#This Row],[Order Date]],"mmm")</f>
        <v>Mar</v>
      </c>
      <c r="X240">
        <f t="shared" si="9"/>
        <v>0.52920000000000023</v>
      </c>
      <c r="Y240" t="str">
        <f t="shared" si="10"/>
        <v>Profit</v>
      </c>
      <c r="Z240" t="str">
        <f t="shared" si="11"/>
        <v>Low</v>
      </c>
    </row>
    <row r="241" spans="1:26" x14ac:dyDescent="0.35">
      <c r="A241" s="1">
        <v>240</v>
      </c>
      <c r="B241" s="2" t="s">
        <v>873</v>
      </c>
      <c r="C241" s="3">
        <v>45006</v>
      </c>
      <c r="D241" s="3">
        <v>45010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7.4080000000000004</v>
      </c>
      <c r="S241" s="1">
        <v>2</v>
      </c>
      <c r="T241" s="1">
        <v>0.2</v>
      </c>
      <c r="U241" s="1">
        <v>1.2037999999999995</v>
      </c>
      <c r="V241">
        <f>YEAR(Table1[[#This Row],[Order Date]])</f>
        <v>2023</v>
      </c>
      <c r="W241" t="str">
        <f>TEXT(Table1[[#This Row],[Order Date]],"mmm")</f>
        <v>Mar</v>
      </c>
      <c r="X241">
        <f t="shared" si="9"/>
        <v>0.60189999999999977</v>
      </c>
      <c r="Y241" t="str">
        <f t="shared" si="10"/>
        <v>Profit</v>
      </c>
      <c r="Z241" t="str">
        <f t="shared" si="11"/>
        <v>Low</v>
      </c>
    </row>
    <row r="242" spans="1:26" x14ac:dyDescent="0.35">
      <c r="A242" s="1">
        <v>241</v>
      </c>
      <c r="B242" s="2" t="s">
        <v>868</v>
      </c>
      <c r="C242" s="3">
        <v>45006</v>
      </c>
      <c r="D242" s="3">
        <v>45010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</v>
      </c>
      <c r="T242" s="1">
        <v>0</v>
      </c>
      <c r="U242" s="1">
        <v>59.011199999999988</v>
      </c>
      <c r="V242">
        <f>YEAR(Table1[[#This Row],[Order Date]])</f>
        <v>2023</v>
      </c>
      <c r="W242" t="str">
        <f>TEXT(Table1[[#This Row],[Order Date]],"mmm")</f>
        <v>Mar</v>
      </c>
      <c r="X242">
        <f t="shared" si="9"/>
        <v>19.670399999999997</v>
      </c>
      <c r="Y242" t="str">
        <f t="shared" si="10"/>
        <v>Profit</v>
      </c>
      <c r="Z242" t="str">
        <f t="shared" si="11"/>
        <v>No Discount</v>
      </c>
    </row>
    <row r="243" spans="1:26" x14ac:dyDescent="0.35">
      <c r="A243" s="1">
        <v>242</v>
      </c>
      <c r="B243" s="2" t="s">
        <v>868</v>
      </c>
      <c r="C243" s="3">
        <v>45006</v>
      </c>
      <c r="D243" s="3">
        <v>45010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14.399999999999999</v>
      </c>
      <c r="S243" s="1">
        <v>5</v>
      </c>
      <c r="T243" s="1">
        <v>0</v>
      </c>
      <c r="U243" s="1">
        <v>6.6239999999999988</v>
      </c>
      <c r="V243">
        <f>YEAR(Table1[[#This Row],[Order Date]])</f>
        <v>2023</v>
      </c>
      <c r="W243" t="str">
        <f>TEXT(Table1[[#This Row],[Order Date]],"mmm")</f>
        <v>Mar</v>
      </c>
      <c r="X243">
        <f t="shared" si="9"/>
        <v>1.3247999999999998</v>
      </c>
      <c r="Y243" t="str">
        <f t="shared" si="10"/>
        <v>Profit</v>
      </c>
      <c r="Z243" t="str">
        <f t="shared" si="11"/>
        <v>No Discount</v>
      </c>
    </row>
    <row r="244" spans="1:26" x14ac:dyDescent="0.35">
      <c r="A244" s="1">
        <v>243</v>
      </c>
      <c r="B244" s="2" t="s">
        <v>862</v>
      </c>
      <c r="C244" s="3">
        <v>45006</v>
      </c>
      <c r="D244" s="3">
        <v>45010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59.20000000000001</v>
      </c>
      <c r="S244" s="1">
        <v>5</v>
      </c>
      <c r="T244" s="1">
        <v>0.2</v>
      </c>
      <c r="U244" s="1">
        <v>22.199999999999996</v>
      </c>
      <c r="V244">
        <f>YEAR(Table1[[#This Row],[Order Date]])</f>
        <v>2023</v>
      </c>
      <c r="W244" t="str">
        <f>TEXT(Table1[[#This Row],[Order Date]],"mmm")</f>
        <v>Mar</v>
      </c>
      <c r="X244">
        <f t="shared" si="9"/>
        <v>4.4399999999999995</v>
      </c>
      <c r="Y244" t="str">
        <f t="shared" si="10"/>
        <v>Profit</v>
      </c>
      <c r="Z244" t="str">
        <f t="shared" si="11"/>
        <v>Low</v>
      </c>
    </row>
    <row r="245" spans="1:26" x14ac:dyDescent="0.35">
      <c r="A245" s="1">
        <v>244</v>
      </c>
      <c r="B245" s="2" t="s">
        <v>868</v>
      </c>
      <c r="C245" s="3">
        <v>45006</v>
      </c>
      <c r="D245" s="3">
        <v>45010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</v>
      </c>
      <c r="T245" s="1">
        <v>0</v>
      </c>
      <c r="U245" s="1">
        <v>60.255300000000005</v>
      </c>
      <c r="V245">
        <f>YEAR(Table1[[#This Row],[Order Date]])</f>
        <v>2023</v>
      </c>
      <c r="W245" t="str">
        <f>TEXT(Table1[[#This Row],[Order Date]],"mmm")</f>
        <v>Mar</v>
      </c>
      <c r="X245">
        <f t="shared" si="9"/>
        <v>20.085100000000001</v>
      </c>
      <c r="Y245" t="str">
        <f t="shared" si="10"/>
        <v>Profit</v>
      </c>
      <c r="Z245" t="str">
        <f t="shared" si="11"/>
        <v>No Discount</v>
      </c>
    </row>
    <row r="246" spans="1:26" x14ac:dyDescent="0.35">
      <c r="A246" s="1">
        <v>245</v>
      </c>
      <c r="B246" s="2" t="s">
        <v>889</v>
      </c>
      <c r="C246" s="3">
        <v>45006</v>
      </c>
      <c r="D246" s="3">
        <v>45010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16.272000000000002</v>
      </c>
      <c r="S246" s="1">
        <v>1</v>
      </c>
      <c r="T246" s="1">
        <v>0.2</v>
      </c>
      <c r="U246" s="1">
        <v>-3.864600000000002</v>
      </c>
      <c r="V246">
        <f>YEAR(Table1[[#This Row],[Order Date]])</f>
        <v>2023</v>
      </c>
      <c r="W246" t="str">
        <f>TEXT(Table1[[#This Row],[Order Date]],"mmm")</f>
        <v>Mar</v>
      </c>
      <c r="X246">
        <f t="shared" si="9"/>
        <v>-3.864600000000002</v>
      </c>
      <c r="Y246" t="str">
        <f t="shared" si="10"/>
        <v>Loss</v>
      </c>
      <c r="Z246" t="str">
        <f t="shared" si="11"/>
        <v>Low</v>
      </c>
    </row>
    <row r="247" spans="1:26" x14ac:dyDescent="0.35">
      <c r="A247" s="1">
        <v>246</v>
      </c>
      <c r="B247" s="2" t="s">
        <v>868</v>
      </c>
      <c r="C247" s="3">
        <v>45006</v>
      </c>
      <c r="D247" s="3">
        <v>45010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3499.9300000000003</v>
      </c>
      <c r="S247" s="1">
        <v>7</v>
      </c>
      <c r="T247" s="1">
        <v>0</v>
      </c>
      <c r="U247" s="1">
        <v>909.98180000000025</v>
      </c>
      <c r="V247">
        <f>YEAR(Table1[[#This Row],[Order Date]])</f>
        <v>2023</v>
      </c>
      <c r="W247" t="str">
        <f>TEXT(Table1[[#This Row],[Order Date]],"mmm")</f>
        <v>Mar</v>
      </c>
      <c r="X247">
        <f t="shared" si="9"/>
        <v>129.99740000000003</v>
      </c>
      <c r="Y247" t="str">
        <f t="shared" si="10"/>
        <v>Profit</v>
      </c>
      <c r="Z247" t="str">
        <f t="shared" si="11"/>
        <v>No Discount</v>
      </c>
    </row>
    <row r="248" spans="1:26" x14ac:dyDescent="0.35">
      <c r="A248" s="1">
        <v>247</v>
      </c>
      <c r="B248" s="2" t="s">
        <v>897</v>
      </c>
      <c r="C248" s="3">
        <v>45007</v>
      </c>
      <c r="D248" s="3">
        <v>45011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314.35199999999998</v>
      </c>
      <c r="S248" s="1">
        <v>3</v>
      </c>
      <c r="T248" s="1">
        <v>0.2</v>
      </c>
      <c r="U248" s="1">
        <v>-35.36460000000001</v>
      </c>
      <c r="V248">
        <f>YEAR(Table1[[#This Row],[Order Date]])</f>
        <v>2023</v>
      </c>
      <c r="W248" t="str">
        <f>TEXT(Table1[[#This Row],[Order Date]],"mmm")</f>
        <v>Mar</v>
      </c>
      <c r="X248">
        <f t="shared" si="9"/>
        <v>-11.788200000000003</v>
      </c>
      <c r="Y248" t="str">
        <f t="shared" si="10"/>
        <v>Loss</v>
      </c>
      <c r="Z248" t="str">
        <f t="shared" si="11"/>
        <v>Low</v>
      </c>
    </row>
    <row r="249" spans="1:26" x14ac:dyDescent="0.35">
      <c r="A249" s="1">
        <v>248</v>
      </c>
      <c r="B249" s="2" t="s">
        <v>903</v>
      </c>
      <c r="C249" s="3">
        <v>45007</v>
      </c>
      <c r="D249" s="3">
        <v>45007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</v>
      </c>
      <c r="T249" s="1">
        <v>0</v>
      </c>
      <c r="U249" s="1">
        <v>6.5120000000000005</v>
      </c>
      <c r="V249">
        <f>YEAR(Table1[[#This Row],[Order Date]])</f>
        <v>2023</v>
      </c>
      <c r="W249" t="str">
        <f>TEXT(Table1[[#This Row],[Order Date]],"mmm")</f>
        <v>Mar</v>
      </c>
      <c r="X249">
        <f t="shared" si="9"/>
        <v>3.2560000000000002</v>
      </c>
      <c r="Y249" t="str">
        <f t="shared" si="10"/>
        <v>Profit</v>
      </c>
      <c r="Z249" t="str">
        <f t="shared" si="11"/>
        <v>No Discount</v>
      </c>
    </row>
    <row r="250" spans="1:26" x14ac:dyDescent="0.35">
      <c r="A250" s="1">
        <v>249</v>
      </c>
      <c r="B250" s="2" t="s">
        <v>907</v>
      </c>
      <c r="C250" s="3">
        <v>45007</v>
      </c>
      <c r="D250" s="3">
        <v>45011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51.465000000000018</v>
      </c>
      <c r="S250" s="1">
        <v>5</v>
      </c>
      <c r="T250" s="1">
        <v>0.7</v>
      </c>
      <c r="U250" s="1">
        <v>-39.456499999999991</v>
      </c>
      <c r="V250">
        <f>YEAR(Table1[[#This Row],[Order Date]])</f>
        <v>2023</v>
      </c>
      <c r="W250" t="str">
        <f>TEXT(Table1[[#This Row],[Order Date]],"mmm")</f>
        <v>Mar</v>
      </c>
      <c r="X250">
        <f t="shared" si="9"/>
        <v>-7.8912999999999984</v>
      </c>
      <c r="Y250" t="str">
        <f t="shared" si="10"/>
        <v>Loss</v>
      </c>
      <c r="Z250" t="str">
        <f t="shared" si="11"/>
        <v>High</v>
      </c>
    </row>
    <row r="251" spans="1:26" x14ac:dyDescent="0.35">
      <c r="A251" s="1">
        <v>250</v>
      </c>
      <c r="B251" s="2" t="s">
        <v>907</v>
      </c>
      <c r="C251" s="3">
        <v>45007</v>
      </c>
      <c r="D251" s="3">
        <v>45011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7.644000000000001</v>
      </c>
      <c r="S251" s="1">
        <v>4</v>
      </c>
      <c r="T251" s="1">
        <v>0.7</v>
      </c>
      <c r="U251" s="1">
        <v>-5.8603999999999985</v>
      </c>
      <c r="V251">
        <f>YEAR(Table1[[#This Row],[Order Date]])</f>
        <v>2023</v>
      </c>
      <c r="W251" t="str">
        <f>TEXT(Table1[[#This Row],[Order Date]],"mmm")</f>
        <v>Mar</v>
      </c>
      <c r="X251">
        <f t="shared" si="9"/>
        <v>-1.4650999999999996</v>
      </c>
      <c r="Y251" t="str">
        <f t="shared" si="10"/>
        <v>Loss</v>
      </c>
      <c r="Z251" t="str">
        <f t="shared" si="11"/>
        <v>High</v>
      </c>
    </row>
    <row r="252" spans="1:26" x14ac:dyDescent="0.35">
      <c r="A252" s="1">
        <v>251</v>
      </c>
      <c r="B252" s="2" t="s">
        <v>897</v>
      </c>
      <c r="C252" s="3">
        <v>45007</v>
      </c>
      <c r="D252" s="3">
        <v>45011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74.352000000000004</v>
      </c>
      <c r="S252" s="1">
        <v>3</v>
      </c>
      <c r="T252" s="1">
        <v>0.2</v>
      </c>
      <c r="U252" s="1">
        <v>23.234999999999992</v>
      </c>
      <c r="V252">
        <f>YEAR(Table1[[#This Row],[Order Date]])</f>
        <v>2023</v>
      </c>
      <c r="W252" t="str">
        <f>TEXT(Table1[[#This Row],[Order Date]],"mmm")</f>
        <v>Mar</v>
      </c>
      <c r="X252">
        <f t="shared" si="9"/>
        <v>7.7449999999999974</v>
      </c>
      <c r="Y252" t="str">
        <f t="shared" si="10"/>
        <v>Profit</v>
      </c>
      <c r="Z252" t="str">
        <f t="shared" si="11"/>
        <v>Low</v>
      </c>
    </row>
    <row r="253" spans="1:26" x14ac:dyDescent="0.35">
      <c r="A253" s="1">
        <v>252</v>
      </c>
      <c r="B253" s="2" t="s">
        <v>917</v>
      </c>
      <c r="C253" s="3">
        <v>45008</v>
      </c>
      <c r="D253" s="3">
        <v>45011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9.9120000000000008</v>
      </c>
      <c r="S253" s="1">
        <v>3</v>
      </c>
      <c r="T253" s="1">
        <v>0.2</v>
      </c>
      <c r="U253" s="1">
        <v>3.2213999999999996</v>
      </c>
      <c r="V253">
        <f>YEAR(Table1[[#This Row],[Order Date]])</f>
        <v>2023</v>
      </c>
      <c r="W253" t="str">
        <f>TEXT(Table1[[#This Row],[Order Date]],"mmm")</f>
        <v>Mar</v>
      </c>
      <c r="X253">
        <f t="shared" si="9"/>
        <v>1.0737999999999999</v>
      </c>
      <c r="Y253" t="str">
        <f t="shared" si="10"/>
        <v>Profit</v>
      </c>
      <c r="Z253" t="str">
        <f t="shared" si="11"/>
        <v>Low</v>
      </c>
    </row>
    <row r="254" spans="1:26" x14ac:dyDescent="0.35">
      <c r="A254" s="1">
        <v>253</v>
      </c>
      <c r="B254" s="2" t="s">
        <v>923</v>
      </c>
      <c r="C254" s="3">
        <v>45008</v>
      </c>
      <c r="D254" s="3">
        <v>45011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</v>
      </c>
      <c r="T254" s="1">
        <v>0</v>
      </c>
      <c r="U254" s="1">
        <v>85.903999999999996</v>
      </c>
      <c r="V254">
        <f>YEAR(Table1[[#This Row],[Order Date]])</f>
        <v>2023</v>
      </c>
      <c r="W254" t="str">
        <f>TEXT(Table1[[#This Row],[Order Date]],"mmm")</f>
        <v>Mar</v>
      </c>
      <c r="X254">
        <f t="shared" si="9"/>
        <v>42.951999999999998</v>
      </c>
      <c r="Y254" t="str">
        <f t="shared" si="10"/>
        <v>Profit</v>
      </c>
      <c r="Z254" t="str">
        <f t="shared" si="11"/>
        <v>No Discount</v>
      </c>
    </row>
    <row r="255" spans="1:26" x14ac:dyDescent="0.35">
      <c r="A255" s="1">
        <v>254</v>
      </c>
      <c r="B255" s="2" t="s">
        <v>923</v>
      </c>
      <c r="C255" s="3">
        <v>45008</v>
      </c>
      <c r="D255" s="3">
        <v>45011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604.75199999999995</v>
      </c>
      <c r="S255" s="1">
        <v>6</v>
      </c>
      <c r="T255" s="1">
        <v>0.2</v>
      </c>
      <c r="U255" s="1">
        <v>37.797000000000025</v>
      </c>
      <c r="V255">
        <f>YEAR(Table1[[#This Row],[Order Date]])</f>
        <v>2023</v>
      </c>
      <c r="W255" t="str">
        <f>TEXT(Table1[[#This Row],[Order Date]],"mmm")</f>
        <v>Mar</v>
      </c>
      <c r="X255">
        <f t="shared" si="9"/>
        <v>6.2995000000000045</v>
      </c>
      <c r="Y255" t="str">
        <f t="shared" si="10"/>
        <v>Profit</v>
      </c>
      <c r="Z255" t="str">
        <f t="shared" si="11"/>
        <v>Low</v>
      </c>
    </row>
    <row r="256" spans="1:26" x14ac:dyDescent="0.35">
      <c r="A256" s="1">
        <v>255</v>
      </c>
      <c r="B256" s="2" t="s">
        <v>930</v>
      </c>
      <c r="C256" s="3">
        <v>45009</v>
      </c>
      <c r="D256" s="3">
        <v>45014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40.479999999999997</v>
      </c>
      <c r="S256" s="1">
        <v>2</v>
      </c>
      <c r="T256" s="1">
        <v>0</v>
      </c>
      <c r="U256" s="1">
        <v>14.572799999999997</v>
      </c>
      <c r="V256">
        <f>YEAR(Table1[[#This Row],[Order Date]])</f>
        <v>2023</v>
      </c>
      <c r="W256" t="str">
        <f>TEXT(Table1[[#This Row],[Order Date]],"mmm")</f>
        <v>Mar</v>
      </c>
      <c r="X256">
        <f t="shared" si="9"/>
        <v>7.2863999999999987</v>
      </c>
      <c r="Y256" t="str">
        <f t="shared" si="10"/>
        <v>Profit</v>
      </c>
      <c r="Z256" t="str">
        <f t="shared" si="11"/>
        <v>No Discount</v>
      </c>
    </row>
    <row r="257" spans="1:26" x14ac:dyDescent="0.35">
      <c r="A257" s="1">
        <v>256</v>
      </c>
      <c r="B257" s="2" t="s">
        <v>936</v>
      </c>
      <c r="C257" s="3">
        <v>45009</v>
      </c>
      <c r="D257" s="3">
        <v>45013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24.900000000000002</v>
      </c>
      <c r="S257" s="1">
        <v>5</v>
      </c>
      <c r="T257" s="1">
        <v>0</v>
      </c>
      <c r="U257" s="1">
        <v>11.703000000000001</v>
      </c>
      <c r="V257">
        <f>YEAR(Table1[[#This Row],[Order Date]])</f>
        <v>2023</v>
      </c>
      <c r="W257" t="str">
        <f>TEXT(Table1[[#This Row],[Order Date]],"mmm")</f>
        <v>Mar</v>
      </c>
      <c r="X257">
        <f t="shared" si="9"/>
        <v>2.3406000000000002</v>
      </c>
      <c r="Y257" t="str">
        <f t="shared" si="10"/>
        <v>Profit</v>
      </c>
      <c r="Z257" t="str">
        <f t="shared" si="11"/>
        <v>No Discount</v>
      </c>
    </row>
    <row r="258" spans="1:26" x14ac:dyDescent="0.35">
      <c r="A258" s="1">
        <v>257</v>
      </c>
      <c r="B258" s="2" t="s">
        <v>941</v>
      </c>
      <c r="C258" s="3">
        <v>45010</v>
      </c>
      <c r="D258" s="3">
        <v>45017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  <c r="V258">
        <f>YEAR(Table1[[#This Row],[Order Date]])</f>
        <v>2023</v>
      </c>
      <c r="W258" t="str">
        <f>TEXT(Table1[[#This Row],[Order Date]],"mmm")</f>
        <v>Mar</v>
      </c>
      <c r="X258">
        <f t="shared" ref="X258:X321" si="12">IFERROR(U258/S258,0)</f>
        <v>9.3152000000000008</v>
      </c>
      <c r="Y258" t="str">
        <f t="shared" ref="Y258:Y321" si="13">IF(U258&gt;0,"Profit",IF(U258&lt;0,"Loss","Break-even"))</f>
        <v>Profit</v>
      </c>
      <c r="Z258" t="str">
        <f t="shared" ref="Z258:Z321" si="14">IF(T258=0,"No Discount",IF(T258&lt;=0.2,"Low",IF(T258&lt;=0.4,"Medium","High")))</f>
        <v>Low</v>
      </c>
    </row>
    <row r="259" spans="1:26" x14ac:dyDescent="0.35">
      <c r="A259" s="1">
        <v>258</v>
      </c>
      <c r="B259" s="2" t="s">
        <v>944</v>
      </c>
      <c r="C259" s="3">
        <v>45010</v>
      </c>
      <c r="D259" s="3">
        <v>45015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</v>
      </c>
      <c r="T259" s="1">
        <v>0</v>
      </c>
      <c r="U259" s="1">
        <v>9.9215999999999998</v>
      </c>
      <c r="V259">
        <f>YEAR(Table1[[#This Row],[Order Date]])</f>
        <v>2023</v>
      </c>
      <c r="W259" t="str">
        <f>TEXT(Table1[[#This Row],[Order Date]],"mmm")</f>
        <v>Mar</v>
      </c>
      <c r="X259">
        <f t="shared" si="12"/>
        <v>1.6536</v>
      </c>
      <c r="Y259" t="str">
        <f t="shared" si="13"/>
        <v>Profit</v>
      </c>
      <c r="Z259" t="str">
        <f t="shared" si="14"/>
        <v>No Discount</v>
      </c>
    </row>
    <row r="260" spans="1:26" x14ac:dyDescent="0.35">
      <c r="A260" s="1">
        <v>259</v>
      </c>
      <c r="B260" s="2" t="s">
        <v>944</v>
      </c>
      <c r="C260" s="3">
        <v>45010</v>
      </c>
      <c r="D260" s="3">
        <v>45015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</v>
      </c>
      <c r="T260" s="1">
        <v>0</v>
      </c>
      <c r="U260" s="1">
        <v>3.7200000000000006</v>
      </c>
      <c r="V260">
        <f>YEAR(Table1[[#This Row],[Order Date]])</f>
        <v>2023</v>
      </c>
      <c r="W260" t="str">
        <f>TEXT(Table1[[#This Row],[Order Date]],"mmm")</f>
        <v>Mar</v>
      </c>
      <c r="X260">
        <f t="shared" si="12"/>
        <v>1.8600000000000003</v>
      </c>
      <c r="Y260" t="str">
        <f t="shared" si="13"/>
        <v>Profit</v>
      </c>
      <c r="Z260" t="str">
        <f t="shared" si="14"/>
        <v>No Discount</v>
      </c>
    </row>
    <row r="261" spans="1:26" x14ac:dyDescent="0.35">
      <c r="A261" s="1">
        <v>260</v>
      </c>
      <c r="B261" s="2" t="s">
        <v>944</v>
      </c>
      <c r="C261" s="3">
        <v>45010</v>
      </c>
      <c r="D261" s="3">
        <v>45015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</v>
      </c>
      <c r="T261" s="1">
        <v>0</v>
      </c>
      <c r="U261" s="1">
        <v>1.9023999999999992</v>
      </c>
      <c r="V261">
        <f>YEAR(Table1[[#This Row],[Order Date]])</f>
        <v>2023</v>
      </c>
      <c r="W261" t="str">
        <f>TEXT(Table1[[#This Row],[Order Date]],"mmm")</f>
        <v>Mar</v>
      </c>
      <c r="X261">
        <f t="shared" si="12"/>
        <v>0.9511999999999996</v>
      </c>
      <c r="Y261" t="str">
        <f t="shared" si="13"/>
        <v>Profit</v>
      </c>
      <c r="Z261" t="str">
        <f t="shared" si="14"/>
        <v>No Discount</v>
      </c>
    </row>
    <row r="262" spans="1:26" x14ac:dyDescent="0.35">
      <c r="A262" s="1">
        <v>261</v>
      </c>
      <c r="B262" s="2" t="s">
        <v>944</v>
      </c>
      <c r="C262" s="3">
        <v>45010</v>
      </c>
      <c r="D262" s="3">
        <v>45015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</v>
      </c>
      <c r="T262" s="1">
        <v>0</v>
      </c>
      <c r="U262" s="1">
        <v>15.917999999999999</v>
      </c>
      <c r="V262">
        <f>YEAR(Table1[[#This Row],[Order Date]])</f>
        <v>2023</v>
      </c>
      <c r="W262" t="str">
        <f>TEXT(Table1[[#This Row],[Order Date]],"mmm")</f>
        <v>Mar</v>
      </c>
      <c r="X262">
        <f t="shared" si="12"/>
        <v>3.9794999999999998</v>
      </c>
      <c r="Y262" t="str">
        <f t="shared" si="13"/>
        <v>Profit</v>
      </c>
      <c r="Z262" t="str">
        <f t="shared" si="14"/>
        <v>No Discount</v>
      </c>
    </row>
    <row r="263" spans="1:26" x14ac:dyDescent="0.35">
      <c r="A263" s="1">
        <v>262</v>
      </c>
      <c r="B263" s="2" t="s">
        <v>953</v>
      </c>
      <c r="C263" s="3">
        <v>45011</v>
      </c>
      <c r="D263" s="3">
        <v>45016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</v>
      </c>
      <c r="T263" s="1">
        <v>0</v>
      </c>
      <c r="U263" s="1">
        <v>0.83999999999999986</v>
      </c>
      <c r="V263">
        <f>YEAR(Table1[[#This Row],[Order Date]])</f>
        <v>2023</v>
      </c>
      <c r="W263" t="str">
        <f>TEXT(Table1[[#This Row],[Order Date]],"mmm")</f>
        <v>Mar</v>
      </c>
      <c r="X263">
        <f t="shared" si="12"/>
        <v>0.41999999999999993</v>
      </c>
      <c r="Y263" t="str">
        <f t="shared" si="13"/>
        <v>Profit</v>
      </c>
      <c r="Z263" t="str">
        <f t="shared" si="14"/>
        <v>No Discount</v>
      </c>
    </row>
    <row r="264" spans="1:26" x14ac:dyDescent="0.35">
      <c r="A264" s="1">
        <v>263</v>
      </c>
      <c r="B264" s="2" t="s">
        <v>953</v>
      </c>
      <c r="C264" s="3">
        <v>45011</v>
      </c>
      <c r="D264" s="3">
        <v>45016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27.936000000000003</v>
      </c>
      <c r="S264" s="1">
        <v>4</v>
      </c>
      <c r="T264" s="1">
        <v>0.2</v>
      </c>
      <c r="U264" s="1">
        <v>9.4283999999999963</v>
      </c>
      <c r="V264">
        <f>YEAR(Table1[[#This Row],[Order Date]])</f>
        <v>2023</v>
      </c>
      <c r="W264" t="str">
        <f>TEXT(Table1[[#This Row],[Order Date]],"mmm")</f>
        <v>Mar</v>
      </c>
      <c r="X264">
        <f t="shared" si="12"/>
        <v>2.3570999999999991</v>
      </c>
      <c r="Y264" t="str">
        <f t="shared" si="13"/>
        <v>Profit</v>
      </c>
      <c r="Z264" t="str">
        <f t="shared" si="14"/>
        <v>Low</v>
      </c>
    </row>
    <row r="265" spans="1:26" x14ac:dyDescent="0.35">
      <c r="A265" s="1">
        <v>264</v>
      </c>
      <c r="B265" s="2" t="s">
        <v>958</v>
      </c>
      <c r="C265" s="3">
        <v>45011</v>
      </c>
      <c r="D265" s="3">
        <v>45015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</v>
      </c>
      <c r="T265" s="1">
        <v>0</v>
      </c>
      <c r="U265" s="1">
        <v>9</v>
      </c>
      <c r="V265">
        <f>YEAR(Table1[[#This Row],[Order Date]])</f>
        <v>2023</v>
      </c>
      <c r="W265" t="str">
        <f>TEXT(Table1[[#This Row],[Order Date]],"mmm")</f>
        <v>Mar</v>
      </c>
      <c r="X265">
        <f t="shared" si="12"/>
        <v>1.8</v>
      </c>
      <c r="Y265" t="str">
        <f t="shared" si="13"/>
        <v>Profit</v>
      </c>
      <c r="Z265" t="str">
        <f t="shared" si="14"/>
        <v>No Discount</v>
      </c>
    </row>
    <row r="266" spans="1:26" x14ac:dyDescent="0.35">
      <c r="A266" s="1">
        <v>265</v>
      </c>
      <c r="B266" s="2" t="s">
        <v>964</v>
      </c>
      <c r="C266" s="3">
        <v>45011</v>
      </c>
      <c r="D266" s="3">
        <v>45015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66.300000000000011</v>
      </c>
      <c r="S266" s="1">
        <v>3</v>
      </c>
      <c r="T266" s="1">
        <v>0</v>
      </c>
      <c r="U266" s="1">
        <v>8.6190000000000033</v>
      </c>
      <c r="V266">
        <f>YEAR(Table1[[#This Row],[Order Date]])</f>
        <v>2023</v>
      </c>
      <c r="W266" t="str">
        <f>TEXT(Table1[[#This Row],[Order Date]],"mmm")</f>
        <v>Mar</v>
      </c>
      <c r="X266">
        <f t="shared" si="12"/>
        <v>2.8730000000000011</v>
      </c>
      <c r="Y266" t="str">
        <f t="shared" si="13"/>
        <v>Profit</v>
      </c>
      <c r="Z266" t="str">
        <f t="shared" si="14"/>
        <v>No Discount</v>
      </c>
    </row>
    <row r="267" spans="1:26" x14ac:dyDescent="0.35">
      <c r="A267" s="1">
        <v>266</v>
      </c>
      <c r="B267" s="2" t="s">
        <v>953</v>
      </c>
      <c r="C267" s="3">
        <v>45011</v>
      </c>
      <c r="D267" s="3">
        <v>45016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28.783999999999999</v>
      </c>
      <c r="S267" s="1">
        <v>2</v>
      </c>
      <c r="T267" s="1">
        <v>0.2</v>
      </c>
      <c r="U267" s="1">
        <v>2.878400000000001</v>
      </c>
      <c r="V267">
        <f>YEAR(Table1[[#This Row],[Order Date]])</f>
        <v>2023</v>
      </c>
      <c r="W267" t="str">
        <f>TEXT(Table1[[#This Row],[Order Date]],"mmm")</f>
        <v>Mar</v>
      </c>
      <c r="X267">
        <f t="shared" si="12"/>
        <v>1.4392000000000005</v>
      </c>
      <c r="Y267" t="str">
        <f t="shared" si="13"/>
        <v>Profit</v>
      </c>
      <c r="Z267" t="str">
        <f t="shared" si="14"/>
        <v>Low</v>
      </c>
    </row>
    <row r="268" spans="1:26" x14ac:dyDescent="0.35">
      <c r="A268" s="1">
        <v>267</v>
      </c>
      <c r="B268" s="2" t="s">
        <v>971</v>
      </c>
      <c r="C268" s="3">
        <v>45013</v>
      </c>
      <c r="D268" s="3">
        <v>45019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330.58800000000002</v>
      </c>
      <c r="S268" s="1">
        <v>1</v>
      </c>
      <c r="T268" s="1">
        <v>0.4</v>
      </c>
      <c r="U268" s="1">
        <v>-143.25480000000002</v>
      </c>
      <c r="V268">
        <f>YEAR(Table1[[#This Row],[Order Date]])</f>
        <v>2023</v>
      </c>
      <c r="W268" t="str">
        <f>TEXT(Table1[[#This Row],[Order Date]],"mmm")</f>
        <v>Mar</v>
      </c>
      <c r="X268">
        <f t="shared" si="12"/>
        <v>-143.25480000000002</v>
      </c>
      <c r="Y268" t="str">
        <f t="shared" si="13"/>
        <v>Loss</v>
      </c>
      <c r="Z268" t="str">
        <f t="shared" si="14"/>
        <v>Medium</v>
      </c>
    </row>
    <row r="269" spans="1:26" x14ac:dyDescent="0.35">
      <c r="A269" s="1">
        <v>268</v>
      </c>
      <c r="B269" s="2" t="s">
        <v>976</v>
      </c>
      <c r="C269" s="3">
        <v>45013</v>
      </c>
      <c r="D269" s="3">
        <v>45018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</v>
      </c>
      <c r="T269" s="1">
        <v>0</v>
      </c>
      <c r="U269" s="1">
        <v>106.62480000000005</v>
      </c>
      <c r="V269">
        <f>YEAR(Table1[[#This Row],[Order Date]])</f>
        <v>2023</v>
      </c>
      <c r="W269" t="str">
        <f>TEXT(Table1[[#This Row],[Order Date]],"mmm")</f>
        <v>Mar</v>
      </c>
      <c r="X269">
        <f t="shared" si="12"/>
        <v>26.656200000000013</v>
      </c>
      <c r="Y269" t="str">
        <f t="shared" si="13"/>
        <v>Profit</v>
      </c>
      <c r="Z269" t="str">
        <f t="shared" si="14"/>
        <v>No Discount</v>
      </c>
    </row>
    <row r="270" spans="1:26" x14ac:dyDescent="0.35">
      <c r="A270" s="1">
        <v>269</v>
      </c>
      <c r="B270" s="2" t="s">
        <v>976</v>
      </c>
      <c r="C270" s="3">
        <v>45013</v>
      </c>
      <c r="D270" s="3">
        <v>45018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</v>
      </c>
      <c r="T270" s="1">
        <v>0</v>
      </c>
      <c r="U270" s="1">
        <v>2.8763999999999994</v>
      </c>
      <c r="V270">
        <f>YEAR(Table1[[#This Row],[Order Date]])</f>
        <v>2023</v>
      </c>
      <c r="W270" t="str">
        <f>TEXT(Table1[[#This Row],[Order Date]],"mmm")</f>
        <v>Mar</v>
      </c>
      <c r="X270">
        <f t="shared" si="12"/>
        <v>0.95879999999999976</v>
      </c>
      <c r="Y270" t="str">
        <f t="shared" si="13"/>
        <v>Profit</v>
      </c>
      <c r="Z270" t="str">
        <f t="shared" si="14"/>
        <v>No Discount</v>
      </c>
    </row>
    <row r="271" spans="1:26" x14ac:dyDescent="0.35">
      <c r="A271" s="1">
        <v>270</v>
      </c>
      <c r="B271" s="2" t="s">
        <v>984</v>
      </c>
      <c r="C271" s="3">
        <v>45013</v>
      </c>
      <c r="D271" s="3">
        <v>45017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302.37599999999998</v>
      </c>
      <c r="S271" s="1">
        <v>3</v>
      </c>
      <c r="T271" s="1">
        <v>0.2</v>
      </c>
      <c r="U271" s="1">
        <v>22.678200000000018</v>
      </c>
      <c r="V271">
        <f>YEAR(Table1[[#This Row],[Order Date]])</f>
        <v>2023</v>
      </c>
      <c r="W271" t="str">
        <f>TEXT(Table1[[#This Row],[Order Date]],"mmm")</f>
        <v>Mar</v>
      </c>
      <c r="X271">
        <f t="shared" si="12"/>
        <v>7.5594000000000063</v>
      </c>
      <c r="Y271" t="str">
        <f t="shared" si="13"/>
        <v>Profit</v>
      </c>
      <c r="Z271" t="str">
        <f t="shared" si="14"/>
        <v>Low</v>
      </c>
    </row>
    <row r="272" spans="1:26" x14ac:dyDescent="0.35">
      <c r="A272" s="1">
        <v>271</v>
      </c>
      <c r="B272" s="2" t="s">
        <v>991</v>
      </c>
      <c r="C272" s="3">
        <v>45014</v>
      </c>
      <c r="D272" s="3">
        <v>45018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890.84099999999989</v>
      </c>
      <c r="S272" s="1">
        <v>3</v>
      </c>
      <c r="T272" s="1">
        <v>0.3</v>
      </c>
      <c r="U272" s="1">
        <v>-152.71559999999999</v>
      </c>
      <c r="V272">
        <f>YEAR(Table1[[#This Row],[Order Date]])</f>
        <v>2023</v>
      </c>
      <c r="W272" t="str">
        <f>TEXT(Table1[[#This Row],[Order Date]],"mmm")</f>
        <v>Mar</v>
      </c>
      <c r="X272">
        <f t="shared" si="12"/>
        <v>-50.905200000000001</v>
      </c>
      <c r="Y272" t="str">
        <f t="shared" si="13"/>
        <v>Loss</v>
      </c>
      <c r="Z272" t="str">
        <f t="shared" si="14"/>
        <v>Medium</v>
      </c>
    </row>
    <row r="273" spans="1:26" x14ac:dyDescent="0.35">
      <c r="A273" s="1">
        <v>272</v>
      </c>
      <c r="B273" s="2" t="s">
        <v>997</v>
      </c>
      <c r="C273" s="3">
        <v>45015</v>
      </c>
      <c r="D273" s="3">
        <v>45020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</v>
      </c>
      <c r="T273" s="1">
        <v>0.15</v>
      </c>
      <c r="U273" s="1">
        <v>-12.097999999999999</v>
      </c>
      <c r="V273">
        <f>YEAR(Table1[[#This Row],[Order Date]])</f>
        <v>2023</v>
      </c>
      <c r="W273" t="str">
        <f>TEXT(Table1[[#This Row],[Order Date]],"mmm")</f>
        <v>Mar</v>
      </c>
      <c r="X273">
        <f t="shared" si="12"/>
        <v>-6.0489999999999995</v>
      </c>
      <c r="Y273" t="str">
        <f t="shared" si="13"/>
        <v>Loss</v>
      </c>
      <c r="Z273" t="str">
        <f t="shared" si="14"/>
        <v>Low</v>
      </c>
    </row>
    <row r="274" spans="1:26" x14ac:dyDescent="0.35">
      <c r="A274" s="1">
        <v>273</v>
      </c>
      <c r="B274" s="2" t="s">
        <v>1000</v>
      </c>
      <c r="C274" s="3">
        <v>45015</v>
      </c>
      <c r="D274" s="3">
        <v>45017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127.30199999999999</v>
      </c>
      <c r="S274" s="1">
        <v>7</v>
      </c>
      <c r="T274" s="1">
        <v>0.3</v>
      </c>
      <c r="U274" s="1">
        <v>-9.0929999999999964</v>
      </c>
      <c r="V274">
        <f>YEAR(Table1[[#This Row],[Order Date]])</f>
        <v>2023</v>
      </c>
      <c r="W274" t="str">
        <f>TEXT(Table1[[#This Row],[Order Date]],"mmm")</f>
        <v>Mar</v>
      </c>
      <c r="X274">
        <f t="shared" si="12"/>
        <v>-1.2989999999999995</v>
      </c>
      <c r="Y274" t="str">
        <f t="shared" si="13"/>
        <v>Loss</v>
      </c>
      <c r="Z274" t="str">
        <f t="shared" si="14"/>
        <v>Medium</v>
      </c>
    </row>
    <row r="275" spans="1:26" x14ac:dyDescent="0.35">
      <c r="A275" s="1">
        <v>274</v>
      </c>
      <c r="B275" s="2" t="s">
        <v>1006</v>
      </c>
      <c r="C275" s="3">
        <v>45015</v>
      </c>
      <c r="D275" s="3">
        <v>45016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</v>
      </c>
      <c r="T275" s="1">
        <v>0</v>
      </c>
      <c r="U275" s="1">
        <v>2.9400000000000004</v>
      </c>
      <c r="V275">
        <f>YEAR(Table1[[#This Row],[Order Date]])</f>
        <v>2023</v>
      </c>
      <c r="W275" t="str">
        <f>TEXT(Table1[[#This Row],[Order Date]],"mmm")</f>
        <v>Mar</v>
      </c>
      <c r="X275">
        <f t="shared" si="12"/>
        <v>0.58800000000000008</v>
      </c>
      <c r="Y275" t="str">
        <f t="shared" si="13"/>
        <v>Profit</v>
      </c>
      <c r="Z275" t="str">
        <f t="shared" si="14"/>
        <v>No Discount</v>
      </c>
    </row>
    <row r="276" spans="1:26" x14ac:dyDescent="0.35">
      <c r="A276" s="1">
        <v>275</v>
      </c>
      <c r="B276" s="2" t="s">
        <v>1011</v>
      </c>
      <c r="C276" s="3">
        <v>45015</v>
      </c>
      <c r="D276" s="3">
        <v>45019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</v>
      </c>
      <c r="T276" s="1">
        <v>0</v>
      </c>
      <c r="U276" s="1">
        <v>20.853000000000002</v>
      </c>
      <c r="V276">
        <f>YEAR(Table1[[#This Row],[Order Date]])</f>
        <v>2023</v>
      </c>
      <c r="W276" t="str">
        <f>TEXT(Table1[[#This Row],[Order Date]],"mmm")</f>
        <v>Mar</v>
      </c>
      <c r="X276">
        <f t="shared" si="12"/>
        <v>4.1706000000000003</v>
      </c>
      <c r="Y276" t="str">
        <f t="shared" si="13"/>
        <v>Profit</v>
      </c>
      <c r="Z276" t="str">
        <f t="shared" si="14"/>
        <v>No Discount</v>
      </c>
    </row>
    <row r="277" spans="1:26" x14ac:dyDescent="0.35">
      <c r="A277" s="1">
        <v>276</v>
      </c>
      <c r="B277" s="2" t="s">
        <v>1000</v>
      </c>
      <c r="C277" s="3">
        <v>45015</v>
      </c>
      <c r="D277" s="3">
        <v>45017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  <c r="V277">
        <f>YEAR(Table1[[#This Row],[Order Date]])</f>
        <v>2023</v>
      </c>
      <c r="W277" t="str">
        <f>TEXT(Table1[[#This Row],[Order Date]],"mmm")</f>
        <v>Mar</v>
      </c>
      <c r="X277">
        <f t="shared" si="12"/>
        <v>22.661099999999998</v>
      </c>
      <c r="Y277" t="str">
        <f t="shared" si="13"/>
        <v>Profit</v>
      </c>
      <c r="Z277" t="str">
        <f t="shared" si="14"/>
        <v>Low</v>
      </c>
    </row>
    <row r="278" spans="1:26" x14ac:dyDescent="0.35">
      <c r="A278" s="1">
        <v>277</v>
      </c>
      <c r="B278" s="2" t="s">
        <v>1019</v>
      </c>
      <c r="C278" s="3">
        <v>45015</v>
      </c>
      <c r="D278" s="3">
        <v>45020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44.400000000000006</v>
      </c>
      <c r="S278" s="1">
        <v>3</v>
      </c>
      <c r="T278" s="1">
        <v>0</v>
      </c>
      <c r="U278" s="1">
        <v>22.200000000000003</v>
      </c>
      <c r="V278">
        <f>YEAR(Table1[[#This Row],[Order Date]])</f>
        <v>2023</v>
      </c>
      <c r="W278" t="str">
        <f>TEXT(Table1[[#This Row],[Order Date]],"mmm")</f>
        <v>Mar</v>
      </c>
      <c r="X278">
        <f t="shared" si="12"/>
        <v>7.4000000000000012</v>
      </c>
      <c r="Y278" t="str">
        <f t="shared" si="13"/>
        <v>Profit</v>
      </c>
      <c r="Z278" t="str">
        <f t="shared" si="14"/>
        <v>No Discount</v>
      </c>
    </row>
    <row r="279" spans="1:26" x14ac:dyDescent="0.35">
      <c r="A279" s="1">
        <v>278</v>
      </c>
      <c r="B279" s="2" t="s">
        <v>1024</v>
      </c>
      <c r="C279" s="3">
        <v>45015</v>
      </c>
      <c r="D279" s="3">
        <v>45021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129.30000000000001</v>
      </c>
      <c r="S279" s="1">
        <v>2</v>
      </c>
      <c r="T279" s="1">
        <v>0</v>
      </c>
      <c r="U279" s="1">
        <v>6.4649999999999892</v>
      </c>
      <c r="V279">
        <f>YEAR(Table1[[#This Row],[Order Date]])</f>
        <v>2023</v>
      </c>
      <c r="W279" t="str">
        <f>TEXT(Table1[[#This Row],[Order Date]],"mmm")</f>
        <v>Mar</v>
      </c>
      <c r="X279">
        <f t="shared" si="12"/>
        <v>3.2324999999999946</v>
      </c>
      <c r="Y279" t="str">
        <f t="shared" si="13"/>
        <v>Profit</v>
      </c>
      <c r="Z279" t="str">
        <f t="shared" si="14"/>
        <v>No Discount</v>
      </c>
    </row>
    <row r="280" spans="1:26" x14ac:dyDescent="0.35">
      <c r="A280" s="1">
        <v>279</v>
      </c>
      <c r="B280" s="2" t="s">
        <v>1019</v>
      </c>
      <c r="C280" s="3">
        <v>45015</v>
      </c>
      <c r="D280" s="3">
        <v>45020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</v>
      </c>
      <c r="T280" s="1">
        <v>0</v>
      </c>
      <c r="U280" s="1">
        <v>0</v>
      </c>
      <c r="V280">
        <f>YEAR(Table1[[#This Row],[Order Date]])</f>
        <v>2023</v>
      </c>
      <c r="W280" t="str">
        <f>TEXT(Table1[[#This Row],[Order Date]],"mmm")</f>
        <v>Mar</v>
      </c>
      <c r="X280">
        <f t="shared" si="12"/>
        <v>0</v>
      </c>
      <c r="Y280" t="str">
        <f t="shared" si="13"/>
        <v>Break-even</v>
      </c>
      <c r="Z280" t="str">
        <f t="shared" si="14"/>
        <v>No Discount</v>
      </c>
    </row>
    <row r="281" spans="1:26" x14ac:dyDescent="0.35">
      <c r="A281" s="1">
        <v>280</v>
      </c>
      <c r="B281" s="2" t="s">
        <v>1000</v>
      </c>
      <c r="C281" s="3">
        <v>45015</v>
      </c>
      <c r="D281" s="3">
        <v>45017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251.94400000000002</v>
      </c>
      <c r="S281" s="1">
        <v>7</v>
      </c>
      <c r="T281" s="1">
        <v>0.2</v>
      </c>
      <c r="U281" s="1">
        <v>88.180399999999977</v>
      </c>
      <c r="V281">
        <f>YEAR(Table1[[#This Row],[Order Date]])</f>
        <v>2023</v>
      </c>
      <c r="W281" t="str">
        <f>TEXT(Table1[[#This Row],[Order Date]],"mmm")</f>
        <v>Mar</v>
      </c>
      <c r="X281">
        <f t="shared" si="12"/>
        <v>12.597199999999997</v>
      </c>
      <c r="Y281" t="str">
        <f t="shared" si="13"/>
        <v>Profit</v>
      </c>
      <c r="Z281" t="str">
        <f t="shared" si="14"/>
        <v>Low</v>
      </c>
    </row>
    <row r="282" spans="1:26" x14ac:dyDescent="0.35">
      <c r="A282" s="1">
        <v>281</v>
      </c>
      <c r="B282" s="2" t="s">
        <v>1034</v>
      </c>
      <c r="C282" s="3">
        <v>45016</v>
      </c>
      <c r="D282" s="3">
        <v>45016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1125.4879999999998</v>
      </c>
      <c r="S282" s="1">
        <v>7</v>
      </c>
      <c r="T282" s="1">
        <v>0.2</v>
      </c>
      <c r="U282" s="1">
        <v>98.480200000000082</v>
      </c>
      <c r="V282">
        <f>YEAR(Table1[[#This Row],[Order Date]])</f>
        <v>2023</v>
      </c>
      <c r="W282" t="str">
        <f>TEXT(Table1[[#This Row],[Order Date]],"mmm")</f>
        <v>Mar</v>
      </c>
      <c r="X282">
        <f t="shared" si="12"/>
        <v>14.068600000000012</v>
      </c>
      <c r="Y282" t="str">
        <f t="shared" si="13"/>
        <v>Profit</v>
      </c>
      <c r="Z282" t="str">
        <f t="shared" si="14"/>
        <v>Low</v>
      </c>
    </row>
    <row r="283" spans="1:26" x14ac:dyDescent="0.35">
      <c r="A283" s="1">
        <v>282</v>
      </c>
      <c r="B283" s="2" t="s">
        <v>1039</v>
      </c>
      <c r="C283" s="3">
        <v>45016</v>
      </c>
      <c r="D283" s="3">
        <v>45021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</v>
      </c>
      <c r="T283" s="1">
        <v>0</v>
      </c>
      <c r="U283" s="1">
        <v>14.834400000000002</v>
      </c>
      <c r="V283">
        <f>YEAR(Table1[[#This Row],[Order Date]])</f>
        <v>2023</v>
      </c>
      <c r="W283" t="str">
        <f>TEXT(Table1[[#This Row],[Order Date]],"mmm")</f>
        <v>Mar</v>
      </c>
      <c r="X283">
        <f t="shared" si="12"/>
        <v>7.4172000000000011</v>
      </c>
      <c r="Y283" t="str">
        <f t="shared" si="13"/>
        <v>Profit</v>
      </c>
      <c r="Z283" t="str">
        <f t="shared" si="14"/>
        <v>No Discount</v>
      </c>
    </row>
    <row r="284" spans="1:26" x14ac:dyDescent="0.35">
      <c r="A284" s="1">
        <v>283</v>
      </c>
      <c r="B284" s="2" t="s">
        <v>1034</v>
      </c>
      <c r="C284" s="3">
        <v>45016</v>
      </c>
      <c r="D284" s="3">
        <v>45016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</v>
      </c>
      <c r="T284" s="1">
        <v>0.2</v>
      </c>
      <c r="U284" s="1">
        <v>1.0584000000000002</v>
      </c>
      <c r="V284">
        <f>YEAR(Table1[[#This Row],[Order Date]])</f>
        <v>2023</v>
      </c>
      <c r="W284" t="str">
        <f>TEXT(Table1[[#This Row],[Order Date]],"mmm")</f>
        <v>Mar</v>
      </c>
      <c r="X284">
        <f t="shared" si="12"/>
        <v>0.52920000000000011</v>
      </c>
      <c r="Y284" t="str">
        <f t="shared" si="13"/>
        <v>Profit</v>
      </c>
      <c r="Z284" t="str">
        <f t="shared" si="14"/>
        <v>Low</v>
      </c>
    </row>
    <row r="285" spans="1:26" x14ac:dyDescent="0.35">
      <c r="A285" s="1">
        <v>284</v>
      </c>
      <c r="B285" s="2" t="s">
        <v>1044</v>
      </c>
      <c r="C285" s="3">
        <v>45016</v>
      </c>
      <c r="D285" s="3">
        <v>45020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1.8690000000000004</v>
      </c>
      <c r="S285" s="1">
        <v>1</v>
      </c>
      <c r="T285" s="1">
        <v>0.7</v>
      </c>
      <c r="U285" s="1">
        <v>-1.3082999999999996</v>
      </c>
      <c r="V285">
        <f>YEAR(Table1[[#This Row],[Order Date]])</f>
        <v>2023</v>
      </c>
      <c r="W285" t="str">
        <f>TEXT(Table1[[#This Row],[Order Date]],"mmm")</f>
        <v>Mar</v>
      </c>
      <c r="X285">
        <f t="shared" si="12"/>
        <v>-1.3082999999999996</v>
      </c>
      <c r="Y285" t="str">
        <f t="shared" si="13"/>
        <v>Loss</v>
      </c>
      <c r="Z285" t="str">
        <f t="shared" si="14"/>
        <v>High</v>
      </c>
    </row>
    <row r="286" spans="1:26" x14ac:dyDescent="0.35">
      <c r="A286" s="1">
        <v>285</v>
      </c>
      <c r="B286" s="2" t="s">
        <v>1034</v>
      </c>
      <c r="C286" s="3">
        <v>45016</v>
      </c>
      <c r="D286" s="3">
        <v>45016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12.645000000000001</v>
      </c>
      <c r="S286" s="1">
        <v>5</v>
      </c>
      <c r="T286" s="1">
        <v>0.7</v>
      </c>
      <c r="U286" s="1">
        <v>-10.116</v>
      </c>
      <c r="V286">
        <f>YEAR(Table1[[#This Row],[Order Date]])</f>
        <v>2023</v>
      </c>
      <c r="W286" t="str">
        <f>TEXT(Table1[[#This Row],[Order Date]],"mmm")</f>
        <v>Mar</v>
      </c>
      <c r="X286">
        <f t="shared" si="12"/>
        <v>-2.0232000000000001</v>
      </c>
      <c r="Y286" t="str">
        <f t="shared" si="13"/>
        <v>Loss</v>
      </c>
      <c r="Z286" t="str">
        <f t="shared" si="14"/>
        <v>High</v>
      </c>
    </row>
    <row r="287" spans="1:26" x14ac:dyDescent="0.35">
      <c r="A287" s="1">
        <v>286</v>
      </c>
      <c r="B287" s="2" t="s">
        <v>1051</v>
      </c>
      <c r="C287" s="3">
        <v>45016</v>
      </c>
      <c r="D287" s="3">
        <v>45020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8.1339999999999986</v>
      </c>
      <c r="S287" s="1">
        <v>7</v>
      </c>
      <c r="T287" s="1">
        <v>0.8</v>
      </c>
      <c r="U287" s="1">
        <v>-13.827800000000003</v>
      </c>
      <c r="V287">
        <f>YEAR(Table1[[#This Row],[Order Date]])</f>
        <v>2023</v>
      </c>
      <c r="W287" t="str">
        <f>TEXT(Table1[[#This Row],[Order Date]],"mmm")</f>
        <v>Mar</v>
      </c>
      <c r="X287">
        <f t="shared" si="12"/>
        <v>-1.9754000000000005</v>
      </c>
      <c r="Y287" t="str">
        <f t="shared" si="13"/>
        <v>Loss</v>
      </c>
      <c r="Z287" t="str">
        <f t="shared" si="14"/>
        <v>High</v>
      </c>
    </row>
    <row r="288" spans="1:26" x14ac:dyDescent="0.35">
      <c r="A288" s="1">
        <v>287</v>
      </c>
      <c r="B288" s="2" t="s">
        <v>1056</v>
      </c>
      <c r="C288" s="3">
        <v>45016</v>
      </c>
      <c r="D288" s="3">
        <v>45016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0.85200000000000009</v>
      </c>
      <c r="S288" s="1">
        <v>1</v>
      </c>
      <c r="T288" s="1">
        <v>0.7</v>
      </c>
      <c r="U288" s="1">
        <v>-0.59639999999999982</v>
      </c>
      <c r="V288">
        <f>YEAR(Table1[[#This Row],[Order Date]])</f>
        <v>2023</v>
      </c>
      <c r="W288" t="str">
        <f>TEXT(Table1[[#This Row],[Order Date]],"mmm")</f>
        <v>Mar</v>
      </c>
      <c r="X288">
        <f t="shared" si="12"/>
        <v>-0.59639999999999982</v>
      </c>
      <c r="Y288" t="str">
        <f t="shared" si="13"/>
        <v>Loss</v>
      </c>
      <c r="Z288" t="str">
        <f t="shared" si="14"/>
        <v>High</v>
      </c>
    </row>
    <row r="289" spans="1:26" x14ac:dyDescent="0.35">
      <c r="A289" s="1">
        <v>288</v>
      </c>
      <c r="B289" s="2" t="s">
        <v>1039</v>
      </c>
      <c r="C289" s="3">
        <v>45016</v>
      </c>
      <c r="D289" s="3">
        <v>45021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673.5680000000001</v>
      </c>
      <c r="S289" s="1">
        <v>2</v>
      </c>
      <c r="T289" s="1">
        <v>0.2</v>
      </c>
      <c r="U289" s="1">
        <v>252.58799999999999</v>
      </c>
      <c r="V289">
        <f>YEAR(Table1[[#This Row],[Order Date]])</f>
        <v>2023</v>
      </c>
      <c r="W289" t="str">
        <f>TEXT(Table1[[#This Row],[Order Date]],"mmm")</f>
        <v>Mar</v>
      </c>
      <c r="X289">
        <f t="shared" si="12"/>
        <v>126.294</v>
      </c>
      <c r="Y289" t="str">
        <f t="shared" si="13"/>
        <v>Profit</v>
      </c>
      <c r="Z289" t="str">
        <f t="shared" si="14"/>
        <v>Low</v>
      </c>
    </row>
    <row r="290" spans="1:26" x14ac:dyDescent="0.35">
      <c r="A290" s="1">
        <v>289</v>
      </c>
      <c r="B290" s="2" t="s">
        <v>1051</v>
      </c>
      <c r="C290" s="3">
        <v>45016</v>
      </c>
      <c r="D290" s="3">
        <v>45020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79.984000000000009</v>
      </c>
      <c r="S290" s="1">
        <v>2</v>
      </c>
      <c r="T290" s="1">
        <v>0.2</v>
      </c>
      <c r="U290" s="1">
        <v>13.997199999999999</v>
      </c>
      <c r="V290">
        <f>YEAR(Table1[[#This Row],[Order Date]])</f>
        <v>2023</v>
      </c>
      <c r="W290" t="str">
        <f>TEXT(Table1[[#This Row],[Order Date]],"mmm")</f>
        <v>Mar</v>
      </c>
      <c r="X290">
        <f t="shared" si="12"/>
        <v>6.9985999999999997</v>
      </c>
      <c r="Y290" t="str">
        <f t="shared" si="13"/>
        <v>Profit</v>
      </c>
      <c r="Z290" t="str">
        <f t="shared" si="14"/>
        <v>Low</v>
      </c>
    </row>
    <row r="291" spans="1:26" x14ac:dyDescent="0.35">
      <c r="A291" s="1">
        <v>290</v>
      </c>
      <c r="B291" s="2" t="s">
        <v>1065</v>
      </c>
      <c r="C291" s="3">
        <v>45017</v>
      </c>
      <c r="D291" s="3">
        <v>45022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17.088000000000001</v>
      </c>
      <c r="S291" s="1">
        <v>4</v>
      </c>
      <c r="T291" s="1">
        <v>0.2</v>
      </c>
      <c r="U291" s="1">
        <v>5.5535999999999994</v>
      </c>
      <c r="V291">
        <f>YEAR(Table1[[#This Row],[Order Date]])</f>
        <v>2023</v>
      </c>
      <c r="W291" t="str">
        <f>TEXT(Table1[[#This Row],[Order Date]],"mmm")</f>
        <v>Apr</v>
      </c>
      <c r="X291">
        <f t="shared" si="12"/>
        <v>1.3883999999999999</v>
      </c>
      <c r="Y291" t="str">
        <f t="shared" si="13"/>
        <v>Profit</v>
      </c>
      <c r="Z291" t="str">
        <f t="shared" si="14"/>
        <v>Low</v>
      </c>
    </row>
    <row r="292" spans="1:26" x14ac:dyDescent="0.35">
      <c r="A292" s="1">
        <v>291</v>
      </c>
      <c r="B292" s="2" t="s">
        <v>1069</v>
      </c>
      <c r="C292" s="3">
        <v>45017</v>
      </c>
      <c r="D292" s="3">
        <v>45022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</v>
      </c>
      <c r="T292" s="1">
        <v>0</v>
      </c>
      <c r="U292" s="1">
        <v>3.0575999999999999</v>
      </c>
      <c r="V292">
        <f>YEAR(Table1[[#This Row],[Order Date]])</f>
        <v>2023</v>
      </c>
      <c r="W292" t="str">
        <f>TEXT(Table1[[#This Row],[Order Date]],"mmm")</f>
        <v>Apr</v>
      </c>
      <c r="X292">
        <f t="shared" si="12"/>
        <v>1.5287999999999999</v>
      </c>
      <c r="Y292" t="str">
        <f t="shared" si="13"/>
        <v>Profit</v>
      </c>
      <c r="Z292" t="str">
        <f t="shared" si="14"/>
        <v>No Discount</v>
      </c>
    </row>
    <row r="293" spans="1:26" x14ac:dyDescent="0.35">
      <c r="A293" s="1">
        <v>292</v>
      </c>
      <c r="B293" s="2" t="s">
        <v>1065</v>
      </c>
      <c r="C293" s="3">
        <v>45017</v>
      </c>
      <c r="D293" s="3">
        <v>45022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</v>
      </c>
      <c r="T293" s="1">
        <v>0</v>
      </c>
      <c r="U293" s="1">
        <v>14.8</v>
      </c>
      <c r="V293">
        <f>YEAR(Table1[[#This Row],[Order Date]])</f>
        <v>2023</v>
      </c>
      <c r="W293" t="str">
        <f>TEXT(Table1[[#This Row],[Order Date]],"mmm")</f>
        <v>Apr</v>
      </c>
      <c r="X293">
        <f t="shared" si="12"/>
        <v>7.4</v>
      </c>
      <c r="Y293" t="str">
        <f t="shared" si="13"/>
        <v>Profit</v>
      </c>
      <c r="Z293" t="str">
        <f t="shared" si="14"/>
        <v>No Discount</v>
      </c>
    </row>
    <row r="294" spans="1:26" x14ac:dyDescent="0.35">
      <c r="A294" s="1">
        <v>293</v>
      </c>
      <c r="B294" s="2" t="s">
        <v>1069</v>
      </c>
      <c r="C294" s="3">
        <v>45017</v>
      </c>
      <c r="D294" s="3">
        <v>45022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66.959999999999994</v>
      </c>
      <c r="S294" s="1">
        <v>4</v>
      </c>
      <c r="T294" s="1">
        <v>0</v>
      </c>
      <c r="U294" s="1">
        <v>2.6783999999999963</v>
      </c>
      <c r="V294">
        <f>YEAR(Table1[[#This Row],[Order Date]])</f>
        <v>2023</v>
      </c>
      <c r="W294" t="str">
        <f>TEXT(Table1[[#This Row],[Order Date]],"mmm")</f>
        <v>Apr</v>
      </c>
      <c r="X294">
        <f t="shared" si="12"/>
        <v>0.66959999999999908</v>
      </c>
      <c r="Y294" t="str">
        <f t="shared" si="13"/>
        <v>Profit</v>
      </c>
      <c r="Z294" t="str">
        <f t="shared" si="14"/>
        <v>No Discount</v>
      </c>
    </row>
    <row r="295" spans="1:26" x14ac:dyDescent="0.35">
      <c r="A295" s="1">
        <v>294</v>
      </c>
      <c r="B295" s="2" t="s">
        <v>1078</v>
      </c>
      <c r="C295" s="3">
        <v>45018</v>
      </c>
      <c r="D295" s="3">
        <v>45024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</v>
      </c>
      <c r="T295" s="1">
        <v>0</v>
      </c>
      <c r="U295" s="1">
        <v>46.196799999999996</v>
      </c>
      <c r="V295">
        <f>YEAR(Table1[[#This Row],[Order Date]])</f>
        <v>2023</v>
      </c>
      <c r="W295" t="str">
        <f>TEXT(Table1[[#This Row],[Order Date]],"mmm")</f>
        <v>Apr</v>
      </c>
      <c r="X295">
        <f t="shared" si="12"/>
        <v>23.098399999999998</v>
      </c>
      <c r="Y295" t="str">
        <f t="shared" si="13"/>
        <v>Profit</v>
      </c>
      <c r="Z295" t="str">
        <f t="shared" si="14"/>
        <v>No Discount</v>
      </c>
    </row>
    <row r="296" spans="1:26" x14ac:dyDescent="0.35">
      <c r="A296" s="1">
        <v>295</v>
      </c>
      <c r="B296" s="2" t="s">
        <v>1084</v>
      </c>
      <c r="C296" s="3">
        <v>45018</v>
      </c>
      <c r="D296" s="3">
        <v>45024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</v>
      </c>
      <c r="T296" s="1">
        <v>0</v>
      </c>
      <c r="U296" s="1">
        <v>40.274000000000001</v>
      </c>
      <c r="V296">
        <f>YEAR(Table1[[#This Row],[Order Date]])</f>
        <v>2023</v>
      </c>
      <c r="W296" t="str">
        <f>TEXT(Table1[[#This Row],[Order Date]],"mmm")</f>
        <v>Apr</v>
      </c>
      <c r="X296">
        <f t="shared" si="12"/>
        <v>8.0548000000000002</v>
      </c>
      <c r="Y296" t="str">
        <f t="shared" si="13"/>
        <v>Profit</v>
      </c>
      <c r="Z296" t="str">
        <f t="shared" si="14"/>
        <v>No Discount</v>
      </c>
    </row>
    <row r="297" spans="1:26" x14ac:dyDescent="0.35">
      <c r="A297" s="1">
        <v>296</v>
      </c>
      <c r="B297" s="2" t="s">
        <v>1089</v>
      </c>
      <c r="C297" s="3">
        <v>45018</v>
      </c>
      <c r="D297" s="3">
        <v>45022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33.488000000000007</v>
      </c>
      <c r="S297" s="1">
        <v>7</v>
      </c>
      <c r="T297" s="1">
        <v>0.2</v>
      </c>
      <c r="U297" s="1">
        <v>10.464999999999998</v>
      </c>
      <c r="V297">
        <f>YEAR(Table1[[#This Row],[Order Date]])</f>
        <v>2023</v>
      </c>
      <c r="W297" t="str">
        <f>TEXT(Table1[[#This Row],[Order Date]],"mmm")</f>
        <v>Apr</v>
      </c>
      <c r="X297">
        <f t="shared" si="12"/>
        <v>1.4949999999999997</v>
      </c>
      <c r="Y297" t="str">
        <f t="shared" si="13"/>
        <v>Profit</v>
      </c>
      <c r="Z297" t="str">
        <f t="shared" si="14"/>
        <v>Low</v>
      </c>
    </row>
    <row r="298" spans="1:26" x14ac:dyDescent="0.35">
      <c r="A298" s="1">
        <v>297</v>
      </c>
      <c r="B298" s="2" t="s">
        <v>1089</v>
      </c>
      <c r="C298" s="3">
        <v>45018</v>
      </c>
      <c r="D298" s="3">
        <v>45022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26.720000000000002</v>
      </c>
      <c r="S298" s="1">
        <v>5</v>
      </c>
      <c r="T298" s="1">
        <v>0.2</v>
      </c>
      <c r="U298" s="1">
        <v>9.3520000000000003</v>
      </c>
      <c r="V298">
        <f>YEAR(Table1[[#This Row],[Order Date]])</f>
        <v>2023</v>
      </c>
      <c r="W298" t="str">
        <f>TEXT(Table1[[#This Row],[Order Date]],"mmm")</f>
        <v>Apr</v>
      </c>
      <c r="X298">
        <f t="shared" si="12"/>
        <v>1.8704000000000001</v>
      </c>
      <c r="Y298" t="str">
        <f t="shared" si="13"/>
        <v>Profit</v>
      </c>
      <c r="Z298" t="str">
        <f t="shared" si="14"/>
        <v>Low</v>
      </c>
    </row>
    <row r="299" spans="1:26" x14ac:dyDescent="0.35">
      <c r="A299" s="1">
        <v>298</v>
      </c>
      <c r="B299" s="2" t="s">
        <v>1084</v>
      </c>
      <c r="C299" s="3">
        <v>45018</v>
      </c>
      <c r="D299" s="3">
        <v>45024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</v>
      </c>
      <c r="T299" s="1">
        <v>0</v>
      </c>
      <c r="U299" s="1">
        <v>7.1280000000000001</v>
      </c>
      <c r="V299">
        <f>YEAR(Table1[[#This Row],[Order Date]])</f>
        <v>2023</v>
      </c>
      <c r="W299" t="str">
        <f>TEXT(Table1[[#This Row],[Order Date]],"mmm")</f>
        <v>Apr</v>
      </c>
      <c r="X299">
        <f t="shared" si="12"/>
        <v>2.3759999999999999</v>
      </c>
      <c r="Y299" t="str">
        <f t="shared" si="13"/>
        <v>Profit</v>
      </c>
      <c r="Z299" t="str">
        <f t="shared" si="14"/>
        <v>No Discount</v>
      </c>
    </row>
    <row r="300" spans="1:26" x14ac:dyDescent="0.35">
      <c r="A300" s="1">
        <v>299</v>
      </c>
      <c r="B300" s="2" t="s">
        <v>1084</v>
      </c>
      <c r="C300" s="3">
        <v>45018</v>
      </c>
      <c r="D300" s="3">
        <v>45024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</v>
      </c>
      <c r="T300" s="1">
        <v>0</v>
      </c>
      <c r="U300" s="1">
        <v>293.98040000000003</v>
      </c>
      <c r="V300">
        <f>YEAR(Table1[[#This Row],[Order Date]])</f>
        <v>2023</v>
      </c>
      <c r="W300" t="str">
        <f>TEXT(Table1[[#This Row],[Order Date]],"mmm")</f>
        <v>Apr</v>
      </c>
      <c r="X300">
        <f t="shared" si="12"/>
        <v>41.997200000000007</v>
      </c>
      <c r="Y300" t="str">
        <f t="shared" si="13"/>
        <v>Profit</v>
      </c>
      <c r="Z300" t="str">
        <f t="shared" si="14"/>
        <v>No Discount</v>
      </c>
    </row>
    <row r="301" spans="1:26" x14ac:dyDescent="0.35">
      <c r="A301" s="1">
        <v>300</v>
      </c>
      <c r="B301" s="2" t="s">
        <v>1098</v>
      </c>
      <c r="C301" s="3">
        <v>45019</v>
      </c>
      <c r="D301" s="3">
        <v>45024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</v>
      </c>
      <c r="T301" s="1">
        <v>0</v>
      </c>
      <c r="U301" s="1">
        <v>5.58</v>
      </c>
      <c r="V301">
        <f>YEAR(Table1[[#This Row],[Order Date]])</f>
        <v>2023</v>
      </c>
      <c r="W301" t="str">
        <f>TEXT(Table1[[#This Row],[Order Date]],"mmm")</f>
        <v>Apr</v>
      </c>
      <c r="X301">
        <f t="shared" si="12"/>
        <v>2.79</v>
      </c>
      <c r="Y301" t="str">
        <f t="shared" si="13"/>
        <v>Profit</v>
      </c>
      <c r="Z301" t="str">
        <f t="shared" si="14"/>
        <v>No Discount</v>
      </c>
    </row>
    <row r="302" spans="1:26" x14ac:dyDescent="0.35">
      <c r="A302" s="1">
        <v>301</v>
      </c>
      <c r="B302" s="2" t="s">
        <v>1098</v>
      </c>
      <c r="C302" s="3">
        <v>45019</v>
      </c>
      <c r="D302" s="3">
        <v>45024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  <c r="V302">
        <f>YEAR(Table1[[#This Row],[Order Date]])</f>
        <v>2023</v>
      </c>
      <c r="W302" t="str">
        <f>TEXT(Table1[[#This Row],[Order Date]],"mmm")</f>
        <v>Apr</v>
      </c>
      <c r="X302">
        <f t="shared" si="12"/>
        <v>28.796399999999998</v>
      </c>
      <c r="Y302" t="str">
        <f t="shared" si="13"/>
        <v>Profit</v>
      </c>
      <c r="Z302" t="str">
        <f t="shared" si="14"/>
        <v>No Discount</v>
      </c>
    </row>
    <row r="303" spans="1:26" x14ac:dyDescent="0.35">
      <c r="A303" s="1">
        <v>302</v>
      </c>
      <c r="B303" s="2" t="s">
        <v>1098</v>
      </c>
      <c r="C303" s="3">
        <v>45019</v>
      </c>
      <c r="D303" s="3">
        <v>45024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</v>
      </c>
      <c r="T303" s="1">
        <v>0</v>
      </c>
      <c r="U303" s="1">
        <v>22.4316</v>
      </c>
      <c r="V303">
        <f>YEAR(Table1[[#This Row],[Order Date]])</f>
        <v>2023</v>
      </c>
      <c r="W303" t="str">
        <f>TEXT(Table1[[#This Row],[Order Date]],"mmm")</f>
        <v>Apr</v>
      </c>
      <c r="X303">
        <f t="shared" si="12"/>
        <v>7.4771999999999998</v>
      </c>
      <c r="Y303" t="str">
        <f t="shared" si="13"/>
        <v>Profit</v>
      </c>
      <c r="Z303" t="str">
        <f t="shared" si="14"/>
        <v>No Discount</v>
      </c>
    </row>
    <row r="304" spans="1:26" x14ac:dyDescent="0.35">
      <c r="A304" s="1">
        <v>303</v>
      </c>
      <c r="B304" s="2" t="s">
        <v>1102</v>
      </c>
      <c r="C304" s="3">
        <v>45020</v>
      </c>
      <c r="D304" s="3">
        <v>45025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</v>
      </c>
      <c r="T304" s="1">
        <v>0</v>
      </c>
      <c r="U304" s="1">
        <v>2.3521000000000001</v>
      </c>
      <c r="V304">
        <f>YEAR(Table1[[#This Row],[Order Date]])</f>
        <v>2023</v>
      </c>
      <c r="W304" t="str">
        <f>TEXT(Table1[[#This Row],[Order Date]],"mmm")</f>
        <v>Apr</v>
      </c>
      <c r="X304">
        <f t="shared" si="12"/>
        <v>2.3521000000000001</v>
      </c>
      <c r="Y304" t="str">
        <f t="shared" si="13"/>
        <v>Profit</v>
      </c>
      <c r="Z304" t="str">
        <f t="shared" si="14"/>
        <v>No Discount</v>
      </c>
    </row>
    <row r="305" spans="1:26" x14ac:dyDescent="0.35">
      <c r="A305" s="1">
        <v>304</v>
      </c>
      <c r="B305" s="2" t="s">
        <v>1102</v>
      </c>
      <c r="C305" s="3">
        <v>45020</v>
      </c>
      <c r="D305" s="3">
        <v>45025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</v>
      </c>
      <c r="T305" s="1">
        <v>0</v>
      </c>
      <c r="U305" s="1">
        <v>23.807999999999993</v>
      </c>
      <c r="V305">
        <f>YEAR(Table1[[#This Row],[Order Date]])</f>
        <v>2023</v>
      </c>
      <c r="W305" t="str">
        <f>TEXT(Table1[[#This Row],[Order Date]],"mmm")</f>
        <v>Apr</v>
      </c>
      <c r="X305">
        <f t="shared" si="12"/>
        <v>5.9519999999999982</v>
      </c>
      <c r="Y305" t="str">
        <f t="shared" si="13"/>
        <v>Profit</v>
      </c>
      <c r="Z305" t="str">
        <f t="shared" si="14"/>
        <v>No Discount</v>
      </c>
    </row>
    <row r="306" spans="1:26" x14ac:dyDescent="0.35">
      <c r="A306" s="1">
        <v>305</v>
      </c>
      <c r="B306" s="2" t="s">
        <v>1107</v>
      </c>
      <c r="C306" s="3">
        <v>45020</v>
      </c>
      <c r="D306" s="3">
        <v>45021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7.1840000000000011</v>
      </c>
      <c r="S306" s="1">
        <v>2</v>
      </c>
      <c r="T306" s="1">
        <v>0.2</v>
      </c>
      <c r="U306" s="1">
        <v>2.2449999999999992</v>
      </c>
      <c r="V306">
        <f>YEAR(Table1[[#This Row],[Order Date]])</f>
        <v>2023</v>
      </c>
      <c r="W306" t="str">
        <f>TEXT(Table1[[#This Row],[Order Date]],"mmm")</f>
        <v>Apr</v>
      </c>
      <c r="X306">
        <f t="shared" si="12"/>
        <v>1.1224999999999996</v>
      </c>
      <c r="Y306" t="str">
        <f t="shared" si="13"/>
        <v>Profit</v>
      </c>
      <c r="Z306" t="str">
        <f t="shared" si="14"/>
        <v>Low</v>
      </c>
    </row>
    <row r="307" spans="1:26" x14ac:dyDescent="0.35">
      <c r="A307" s="1">
        <v>306</v>
      </c>
      <c r="B307" s="2" t="s">
        <v>1112</v>
      </c>
      <c r="C307" s="3">
        <v>45020</v>
      </c>
      <c r="D307" s="3">
        <v>45025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  <c r="V307">
        <f>YEAR(Table1[[#This Row],[Order Date]])</f>
        <v>2023</v>
      </c>
      <c r="W307" t="str">
        <f>TEXT(Table1[[#This Row],[Order Date]],"mmm")</f>
        <v>Apr</v>
      </c>
      <c r="X307">
        <f t="shared" si="12"/>
        <v>1.5119999999999998</v>
      </c>
      <c r="Y307" t="str">
        <f t="shared" si="13"/>
        <v>Profit</v>
      </c>
      <c r="Z307" t="str">
        <f t="shared" si="14"/>
        <v>No Discount</v>
      </c>
    </row>
    <row r="308" spans="1:26" x14ac:dyDescent="0.35">
      <c r="A308" s="1">
        <v>307</v>
      </c>
      <c r="B308" s="2" t="s">
        <v>1117</v>
      </c>
      <c r="C308" s="3">
        <v>45020</v>
      </c>
      <c r="D308" s="3">
        <v>45024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</v>
      </c>
      <c r="T308" s="1">
        <v>0</v>
      </c>
      <c r="U308" s="1">
        <v>6.3504000000000005</v>
      </c>
      <c r="V308">
        <f>YEAR(Table1[[#This Row],[Order Date]])</f>
        <v>2023</v>
      </c>
      <c r="W308" t="str">
        <f>TEXT(Table1[[#This Row],[Order Date]],"mmm")</f>
        <v>Apr</v>
      </c>
      <c r="X308">
        <f t="shared" si="12"/>
        <v>3.1752000000000002</v>
      </c>
      <c r="Y308" t="str">
        <f t="shared" si="13"/>
        <v>Profit</v>
      </c>
      <c r="Z308" t="str">
        <f t="shared" si="14"/>
        <v>No Discount</v>
      </c>
    </row>
    <row r="309" spans="1:26" x14ac:dyDescent="0.35">
      <c r="A309" s="1">
        <v>308</v>
      </c>
      <c r="B309" s="2" t="s">
        <v>1117</v>
      </c>
      <c r="C309" s="3">
        <v>45020</v>
      </c>
      <c r="D309" s="3">
        <v>45024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  <c r="V309">
        <f>YEAR(Table1[[#This Row],[Order Date]])</f>
        <v>2023</v>
      </c>
      <c r="W309" t="str">
        <f>TEXT(Table1[[#This Row],[Order Date]],"mmm")</f>
        <v>Apr</v>
      </c>
      <c r="X309">
        <f t="shared" si="12"/>
        <v>3.1104000000000003</v>
      </c>
      <c r="Y309" t="str">
        <f t="shared" si="13"/>
        <v>Profit</v>
      </c>
      <c r="Z309" t="str">
        <f t="shared" si="14"/>
        <v>No Discount</v>
      </c>
    </row>
    <row r="310" spans="1:26" x14ac:dyDescent="0.35">
      <c r="A310" s="1">
        <v>309</v>
      </c>
      <c r="B310" s="2" t="s">
        <v>1117</v>
      </c>
      <c r="C310" s="3">
        <v>45020</v>
      </c>
      <c r="D310" s="3">
        <v>45024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232.54999999999998</v>
      </c>
      <c r="S310" s="1">
        <v>5</v>
      </c>
      <c r="T310" s="1">
        <v>0</v>
      </c>
      <c r="U310" s="1">
        <v>9.3019999999999925</v>
      </c>
      <c r="V310">
        <f>YEAR(Table1[[#This Row],[Order Date]])</f>
        <v>2023</v>
      </c>
      <c r="W310" t="str">
        <f>TEXT(Table1[[#This Row],[Order Date]],"mmm")</f>
        <v>Apr</v>
      </c>
      <c r="X310">
        <f t="shared" si="12"/>
        <v>1.8603999999999985</v>
      </c>
      <c r="Y310" t="str">
        <f t="shared" si="13"/>
        <v>Profit</v>
      </c>
      <c r="Z310" t="str">
        <f t="shared" si="14"/>
        <v>No Discount</v>
      </c>
    </row>
    <row r="311" spans="1:26" x14ac:dyDescent="0.35">
      <c r="A311" s="1">
        <v>310</v>
      </c>
      <c r="B311" s="2" t="s">
        <v>1117</v>
      </c>
      <c r="C311" s="3">
        <v>45020</v>
      </c>
      <c r="D311" s="3">
        <v>45024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</v>
      </c>
      <c r="T311" s="1">
        <v>0</v>
      </c>
      <c r="U311" s="1">
        <v>42.991400000000006</v>
      </c>
      <c r="V311">
        <f>YEAR(Table1[[#This Row],[Order Date]])</f>
        <v>2023</v>
      </c>
      <c r="W311" t="str">
        <f>TEXT(Table1[[#This Row],[Order Date]],"mmm")</f>
        <v>Apr</v>
      </c>
      <c r="X311">
        <f t="shared" si="12"/>
        <v>21.495700000000003</v>
      </c>
      <c r="Y311" t="str">
        <f t="shared" si="13"/>
        <v>Profit</v>
      </c>
      <c r="Z311" t="str">
        <f t="shared" si="14"/>
        <v>No Discount</v>
      </c>
    </row>
    <row r="312" spans="1:26" x14ac:dyDescent="0.35">
      <c r="A312" s="1">
        <v>311</v>
      </c>
      <c r="B312" s="2" t="s">
        <v>1126</v>
      </c>
      <c r="C312" s="3">
        <v>45021</v>
      </c>
      <c r="D312" s="3">
        <v>45025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22.959999999999997</v>
      </c>
      <c r="S312" s="1">
        <v>7</v>
      </c>
      <c r="T312" s="1">
        <v>0</v>
      </c>
      <c r="U312" s="1">
        <v>6.6583999999999968</v>
      </c>
      <c r="V312">
        <f>YEAR(Table1[[#This Row],[Order Date]])</f>
        <v>2023</v>
      </c>
      <c r="W312" t="str">
        <f>TEXT(Table1[[#This Row],[Order Date]],"mmm")</f>
        <v>Apr</v>
      </c>
      <c r="X312">
        <f t="shared" si="12"/>
        <v>0.95119999999999949</v>
      </c>
      <c r="Y312" t="str">
        <f t="shared" si="13"/>
        <v>Profit</v>
      </c>
      <c r="Z312" t="str">
        <f t="shared" si="14"/>
        <v>No Discount</v>
      </c>
    </row>
    <row r="313" spans="1:26" x14ac:dyDescent="0.35">
      <c r="A313" s="1">
        <v>312</v>
      </c>
      <c r="B313" s="2" t="s">
        <v>1131</v>
      </c>
      <c r="C313" s="3">
        <v>45021</v>
      </c>
      <c r="D313" s="3">
        <v>45023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</v>
      </c>
      <c r="T313" s="1">
        <v>0</v>
      </c>
      <c r="U313" s="1">
        <v>7.4759999999999991</v>
      </c>
      <c r="V313">
        <f>YEAR(Table1[[#This Row],[Order Date]])</f>
        <v>2023</v>
      </c>
      <c r="W313" t="str">
        <f>TEXT(Table1[[#This Row],[Order Date]],"mmm")</f>
        <v>Apr</v>
      </c>
      <c r="X313">
        <f t="shared" si="12"/>
        <v>3.7379999999999995</v>
      </c>
      <c r="Y313" t="str">
        <f t="shared" si="13"/>
        <v>Profit</v>
      </c>
      <c r="Z313" t="str">
        <f t="shared" si="14"/>
        <v>No Discount</v>
      </c>
    </row>
    <row r="314" spans="1:26" x14ac:dyDescent="0.35">
      <c r="A314" s="1">
        <v>313</v>
      </c>
      <c r="B314" s="2" t="s">
        <v>1131</v>
      </c>
      <c r="C314" s="3">
        <v>45021</v>
      </c>
      <c r="D314" s="3">
        <v>45023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</v>
      </c>
      <c r="T314" s="1">
        <v>0</v>
      </c>
      <c r="U314" s="1">
        <v>4.5836999999999994</v>
      </c>
      <c r="V314">
        <f>YEAR(Table1[[#This Row],[Order Date]])</f>
        <v>2023</v>
      </c>
      <c r="W314" t="str">
        <f>TEXT(Table1[[#This Row],[Order Date]],"mmm")</f>
        <v>Apr</v>
      </c>
      <c r="X314">
        <f t="shared" si="12"/>
        <v>1.5278999999999998</v>
      </c>
      <c r="Y314" t="str">
        <f t="shared" si="13"/>
        <v>Profit</v>
      </c>
      <c r="Z314" t="str">
        <f t="shared" si="14"/>
        <v>No Discount</v>
      </c>
    </row>
    <row r="315" spans="1:26" x14ac:dyDescent="0.35">
      <c r="A315" s="1">
        <v>314</v>
      </c>
      <c r="B315" s="2" t="s">
        <v>1126</v>
      </c>
      <c r="C315" s="3">
        <v>45021</v>
      </c>
      <c r="D315" s="3">
        <v>45025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22.959999999999997</v>
      </c>
      <c r="S315" s="1">
        <v>7</v>
      </c>
      <c r="T315" s="1">
        <v>0</v>
      </c>
      <c r="U315" s="1">
        <v>7.5767999999999986</v>
      </c>
      <c r="V315">
        <f>YEAR(Table1[[#This Row],[Order Date]])</f>
        <v>2023</v>
      </c>
      <c r="W315" t="str">
        <f>TEXT(Table1[[#This Row],[Order Date]],"mmm")</f>
        <v>Apr</v>
      </c>
      <c r="X315">
        <f t="shared" si="12"/>
        <v>1.0823999999999998</v>
      </c>
      <c r="Y315" t="str">
        <f t="shared" si="13"/>
        <v>Profit</v>
      </c>
      <c r="Z315" t="str">
        <f t="shared" si="14"/>
        <v>No Discount</v>
      </c>
    </row>
    <row r="316" spans="1:26" x14ac:dyDescent="0.35">
      <c r="A316" s="1">
        <v>315</v>
      </c>
      <c r="B316" s="2" t="s">
        <v>1139</v>
      </c>
      <c r="C316" s="3">
        <v>45021</v>
      </c>
      <c r="D316" s="3">
        <v>45025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</v>
      </c>
      <c r="T316" s="1">
        <v>0</v>
      </c>
      <c r="U316" s="1">
        <v>56.526400000000002</v>
      </c>
      <c r="V316">
        <f>YEAR(Table1[[#This Row],[Order Date]])</f>
        <v>2023</v>
      </c>
      <c r="W316" t="str">
        <f>TEXT(Table1[[#This Row],[Order Date]],"mmm")</f>
        <v>Apr</v>
      </c>
      <c r="X316">
        <f t="shared" si="12"/>
        <v>8.0752000000000006</v>
      </c>
      <c r="Y316" t="str">
        <f t="shared" si="13"/>
        <v>Profit</v>
      </c>
      <c r="Z316" t="str">
        <f t="shared" si="14"/>
        <v>No Discount</v>
      </c>
    </row>
    <row r="317" spans="1:26" x14ac:dyDescent="0.35">
      <c r="A317" s="1">
        <v>316</v>
      </c>
      <c r="B317" s="2" t="s">
        <v>1131</v>
      </c>
      <c r="C317" s="3">
        <v>45021</v>
      </c>
      <c r="D317" s="3">
        <v>45023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40.199999999999996</v>
      </c>
      <c r="S317" s="1">
        <v>5</v>
      </c>
      <c r="T317" s="1">
        <v>0</v>
      </c>
      <c r="U317" s="1">
        <v>18.089999999999996</v>
      </c>
      <c r="V317">
        <f>YEAR(Table1[[#This Row],[Order Date]])</f>
        <v>2023</v>
      </c>
      <c r="W317" t="str">
        <f>TEXT(Table1[[#This Row],[Order Date]],"mmm")</f>
        <v>Apr</v>
      </c>
      <c r="X317">
        <f t="shared" si="12"/>
        <v>3.6179999999999994</v>
      </c>
      <c r="Y317" t="str">
        <f t="shared" si="13"/>
        <v>Profit</v>
      </c>
      <c r="Z317" t="str">
        <f t="shared" si="14"/>
        <v>No Discount</v>
      </c>
    </row>
    <row r="318" spans="1:26" x14ac:dyDescent="0.35">
      <c r="A318" s="1">
        <v>317</v>
      </c>
      <c r="B318" s="2" t="s">
        <v>1126</v>
      </c>
      <c r="C318" s="3">
        <v>45021</v>
      </c>
      <c r="D318" s="3">
        <v>45025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</v>
      </c>
      <c r="T318" s="1">
        <v>0</v>
      </c>
      <c r="U318" s="1">
        <v>6.3504000000000005</v>
      </c>
      <c r="V318">
        <f>YEAR(Table1[[#This Row],[Order Date]])</f>
        <v>2023</v>
      </c>
      <c r="W318" t="str">
        <f>TEXT(Table1[[#This Row],[Order Date]],"mmm")</f>
        <v>Apr</v>
      </c>
      <c r="X318">
        <f t="shared" si="12"/>
        <v>3.1752000000000002</v>
      </c>
      <c r="Y318" t="str">
        <f t="shared" si="13"/>
        <v>Profit</v>
      </c>
      <c r="Z318" t="str">
        <f t="shared" si="14"/>
        <v>No Discount</v>
      </c>
    </row>
    <row r="319" spans="1:26" x14ac:dyDescent="0.35">
      <c r="A319" s="1">
        <v>318</v>
      </c>
      <c r="B319" s="2" t="s">
        <v>1146</v>
      </c>
      <c r="C319" s="3">
        <v>45021</v>
      </c>
      <c r="D319" s="3">
        <v>45023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</v>
      </c>
      <c r="T319" s="1">
        <v>0</v>
      </c>
      <c r="U319" s="1">
        <v>26.630399999999998</v>
      </c>
      <c r="V319">
        <f>YEAR(Table1[[#This Row],[Order Date]])</f>
        <v>2023</v>
      </c>
      <c r="W319" t="str">
        <f>TEXT(Table1[[#This Row],[Order Date]],"mmm")</f>
        <v>Apr</v>
      </c>
      <c r="X319">
        <f t="shared" si="12"/>
        <v>26.630399999999998</v>
      </c>
      <c r="Y319" t="str">
        <f t="shared" si="13"/>
        <v>Profit</v>
      </c>
      <c r="Z319" t="str">
        <f t="shared" si="14"/>
        <v>No Discount</v>
      </c>
    </row>
    <row r="320" spans="1:26" x14ac:dyDescent="0.35">
      <c r="A320" s="1">
        <v>319</v>
      </c>
      <c r="B320" s="2" t="s">
        <v>1131</v>
      </c>
      <c r="C320" s="3">
        <v>45021</v>
      </c>
      <c r="D320" s="3">
        <v>45023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689.81999999999994</v>
      </c>
      <c r="S320" s="1">
        <v>6</v>
      </c>
      <c r="T320" s="1">
        <v>0</v>
      </c>
      <c r="U320" s="1">
        <v>20.694600000000008</v>
      </c>
      <c r="V320">
        <f>YEAR(Table1[[#This Row],[Order Date]])</f>
        <v>2023</v>
      </c>
      <c r="W320" t="str">
        <f>TEXT(Table1[[#This Row],[Order Date]],"mmm")</f>
        <v>Apr</v>
      </c>
      <c r="X320">
        <f t="shared" si="12"/>
        <v>3.4491000000000014</v>
      </c>
      <c r="Y320" t="str">
        <f t="shared" si="13"/>
        <v>Profit</v>
      </c>
      <c r="Z320" t="str">
        <f t="shared" si="14"/>
        <v>No Discount</v>
      </c>
    </row>
    <row r="321" spans="1:26" x14ac:dyDescent="0.35">
      <c r="A321" s="1">
        <v>320</v>
      </c>
      <c r="B321" s="2" t="s">
        <v>1151</v>
      </c>
      <c r="C321" s="3">
        <v>45021</v>
      </c>
      <c r="D321" s="3">
        <v>45023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52.096000000000004</v>
      </c>
      <c r="S321" s="1">
        <v>4</v>
      </c>
      <c r="T321" s="1">
        <v>0.2</v>
      </c>
      <c r="U321" s="1">
        <v>3.9072000000000031</v>
      </c>
      <c r="V321">
        <f>YEAR(Table1[[#This Row],[Order Date]])</f>
        <v>2023</v>
      </c>
      <c r="W321" t="str">
        <f>TEXT(Table1[[#This Row],[Order Date]],"mmm")</f>
        <v>Apr</v>
      </c>
      <c r="X321">
        <f t="shared" si="12"/>
        <v>0.97680000000000078</v>
      </c>
      <c r="Y321" t="str">
        <f t="shared" si="13"/>
        <v>Profit</v>
      </c>
      <c r="Z321" t="str">
        <f t="shared" si="14"/>
        <v>Low</v>
      </c>
    </row>
    <row r="322" spans="1:26" x14ac:dyDescent="0.35">
      <c r="A322" s="1">
        <v>321</v>
      </c>
      <c r="B322" s="2" t="s">
        <v>1151</v>
      </c>
      <c r="C322" s="3">
        <v>45021</v>
      </c>
      <c r="D322" s="3">
        <v>45023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49.632000000000005</v>
      </c>
      <c r="S322" s="1">
        <v>4</v>
      </c>
      <c r="T322" s="1">
        <v>0.2</v>
      </c>
      <c r="U322" s="1">
        <v>3.7224000000000004</v>
      </c>
      <c r="V322">
        <f>YEAR(Table1[[#This Row],[Order Date]])</f>
        <v>2023</v>
      </c>
      <c r="W322" t="str">
        <f>TEXT(Table1[[#This Row],[Order Date]],"mmm")</f>
        <v>Apr</v>
      </c>
      <c r="X322">
        <f t="shared" ref="X322:X385" si="15">IFERROR(U322/S322,0)</f>
        <v>0.93060000000000009</v>
      </c>
      <c r="Y322" t="str">
        <f t="shared" ref="Y322:Y385" si="16">IF(U322&gt;0,"Profit",IF(U322&lt;0,"Loss","Break-even"))</f>
        <v>Profit</v>
      </c>
      <c r="Z322" t="str">
        <f t="shared" ref="Z322:Z385" si="17">IF(T322=0,"No Discount",IF(T322&lt;=0.2,"Low",IF(T322&lt;=0.4,"Medium","High")))</f>
        <v>Low</v>
      </c>
    </row>
    <row r="323" spans="1:26" x14ac:dyDescent="0.35">
      <c r="A323" s="1">
        <v>322</v>
      </c>
      <c r="B323" s="2" t="s">
        <v>1126</v>
      </c>
      <c r="C323" s="3">
        <v>45021</v>
      </c>
      <c r="D323" s="3">
        <v>45025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4164.0499999999993</v>
      </c>
      <c r="S323" s="1">
        <v>5</v>
      </c>
      <c r="T323" s="1">
        <v>0</v>
      </c>
      <c r="U323" s="1">
        <v>83.281000000000063</v>
      </c>
      <c r="V323">
        <f>YEAR(Table1[[#This Row],[Order Date]])</f>
        <v>2023</v>
      </c>
      <c r="W323" t="str">
        <f>TEXT(Table1[[#This Row],[Order Date]],"mmm")</f>
        <v>Apr</v>
      </c>
      <c r="X323">
        <f t="shared" si="15"/>
        <v>16.656200000000013</v>
      </c>
      <c r="Y323" t="str">
        <f t="shared" si="16"/>
        <v>Profit</v>
      </c>
      <c r="Z323" t="str">
        <f t="shared" si="17"/>
        <v>No Discount</v>
      </c>
    </row>
    <row r="324" spans="1:26" x14ac:dyDescent="0.35">
      <c r="A324" s="1">
        <v>323</v>
      </c>
      <c r="B324" s="2" t="s">
        <v>1126</v>
      </c>
      <c r="C324" s="3">
        <v>45021</v>
      </c>
      <c r="D324" s="3">
        <v>45025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</v>
      </c>
      <c r="T324" s="1">
        <v>0</v>
      </c>
      <c r="U324" s="1">
        <v>8.4070999999999962</v>
      </c>
      <c r="V324">
        <f>YEAR(Table1[[#This Row],[Order Date]])</f>
        <v>2023</v>
      </c>
      <c r="W324" t="str">
        <f>TEXT(Table1[[#This Row],[Order Date]],"mmm")</f>
        <v>Apr</v>
      </c>
      <c r="X324">
        <f t="shared" si="15"/>
        <v>8.4070999999999962</v>
      </c>
      <c r="Y324" t="str">
        <f t="shared" si="16"/>
        <v>Profit</v>
      </c>
      <c r="Z324" t="str">
        <f t="shared" si="17"/>
        <v>No Discount</v>
      </c>
    </row>
    <row r="325" spans="1:26" x14ac:dyDescent="0.35">
      <c r="A325" s="1">
        <v>324</v>
      </c>
      <c r="B325" s="2" t="s">
        <v>1161</v>
      </c>
      <c r="C325" s="3">
        <v>45022</v>
      </c>
      <c r="D325" s="3">
        <v>45028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</v>
      </c>
      <c r="T325" s="1">
        <v>0</v>
      </c>
      <c r="U325" s="1">
        <v>15.633199999999988</v>
      </c>
      <c r="V325">
        <f>YEAR(Table1[[#This Row],[Order Date]])</f>
        <v>2023</v>
      </c>
      <c r="W325" t="str">
        <f>TEXT(Table1[[#This Row],[Order Date]],"mmm")</f>
        <v>Apr</v>
      </c>
      <c r="X325">
        <f t="shared" si="15"/>
        <v>7.816599999999994</v>
      </c>
      <c r="Y325" t="str">
        <f t="shared" si="16"/>
        <v>Profit</v>
      </c>
      <c r="Z325" t="str">
        <f t="shared" si="17"/>
        <v>No Discount</v>
      </c>
    </row>
    <row r="326" spans="1:26" x14ac:dyDescent="0.35">
      <c r="A326" s="1">
        <v>325</v>
      </c>
      <c r="B326" s="2" t="s">
        <v>1161</v>
      </c>
      <c r="C326" s="3">
        <v>45022</v>
      </c>
      <c r="D326" s="3">
        <v>45028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</v>
      </c>
      <c r="T326" s="1">
        <v>0</v>
      </c>
      <c r="U326" s="1">
        <v>12.912900000000004</v>
      </c>
      <c r="V326">
        <f>YEAR(Table1[[#This Row],[Order Date]])</f>
        <v>2023</v>
      </c>
      <c r="W326" t="str">
        <f>TEXT(Table1[[#This Row],[Order Date]],"mmm")</f>
        <v>Apr</v>
      </c>
      <c r="X326">
        <f t="shared" si="15"/>
        <v>1.8447000000000007</v>
      </c>
      <c r="Y326" t="str">
        <f t="shared" si="16"/>
        <v>Profit</v>
      </c>
      <c r="Z326" t="str">
        <f t="shared" si="17"/>
        <v>No Discount</v>
      </c>
    </row>
    <row r="327" spans="1:26" x14ac:dyDescent="0.35">
      <c r="A327" s="1">
        <v>326</v>
      </c>
      <c r="B327" s="2" t="s">
        <v>1168</v>
      </c>
      <c r="C327" s="3">
        <v>45022</v>
      </c>
      <c r="D327" s="3">
        <v>45028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653.54999999999995</v>
      </c>
      <c r="S327" s="1">
        <v>3</v>
      </c>
      <c r="T327" s="1">
        <v>0</v>
      </c>
      <c r="U327" s="1">
        <v>111.10349999999994</v>
      </c>
      <c r="V327">
        <f>YEAR(Table1[[#This Row],[Order Date]])</f>
        <v>2023</v>
      </c>
      <c r="W327" t="str">
        <f>TEXT(Table1[[#This Row],[Order Date]],"mmm")</f>
        <v>Apr</v>
      </c>
      <c r="X327">
        <f t="shared" si="15"/>
        <v>37.03449999999998</v>
      </c>
      <c r="Y327" t="str">
        <f t="shared" si="16"/>
        <v>Profit</v>
      </c>
      <c r="Z327" t="str">
        <f t="shared" si="17"/>
        <v>No Discount</v>
      </c>
    </row>
    <row r="328" spans="1:26" x14ac:dyDescent="0.35">
      <c r="A328" s="1">
        <v>327</v>
      </c>
      <c r="B328" s="2" t="s">
        <v>1173</v>
      </c>
      <c r="C328" s="3">
        <v>45022</v>
      </c>
      <c r="D328" s="3">
        <v>45024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154.76400000000001</v>
      </c>
      <c r="S328" s="1">
        <v>3</v>
      </c>
      <c r="T328" s="1">
        <v>0.4</v>
      </c>
      <c r="U328" s="1">
        <v>-36.11160000000001</v>
      </c>
      <c r="V328">
        <f>YEAR(Table1[[#This Row],[Order Date]])</f>
        <v>2023</v>
      </c>
      <c r="W328" t="str">
        <f>TEXT(Table1[[#This Row],[Order Date]],"mmm")</f>
        <v>Apr</v>
      </c>
      <c r="X328">
        <f t="shared" si="15"/>
        <v>-12.037200000000004</v>
      </c>
      <c r="Y328" t="str">
        <f t="shared" si="16"/>
        <v>Loss</v>
      </c>
      <c r="Z328" t="str">
        <f t="shared" si="17"/>
        <v>Medium</v>
      </c>
    </row>
    <row r="329" spans="1:26" x14ac:dyDescent="0.35">
      <c r="A329" s="1">
        <v>328</v>
      </c>
      <c r="B329" s="2" t="s">
        <v>1176</v>
      </c>
      <c r="C329" s="3">
        <v>45022</v>
      </c>
      <c r="D329" s="3">
        <v>45026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70.949999999999989</v>
      </c>
      <c r="S329" s="1">
        <v>3</v>
      </c>
      <c r="T329" s="1">
        <v>0</v>
      </c>
      <c r="U329" s="1">
        <v>18.447000000000003</v>
      </c>
      <c r="V329">
        <f>YEAR(Table1[[#This Row],[Order Date]])</f>
        <v>2023</v>
      </c>
      <c r="W329" t="str">
        <f>TEXT(Table1[[#This Row],[Order Date]],"mmm")</f>
        <v>Apr</v>
      </c>
      <c r="X329">
        <f t="shared" si="15"/>
        <v>6.1490000000000009</v>
      </c>
      <c r="Y329" t="str">
        <f t="shared" si="16"/>
        <v>Profit</v>
      </c>
      <c r="Z329" t="str">
        <f t="shared" si="17"/>
        <v>No Discount</v>
      </c>
    </row>
    <row r="330" spans="1:26" x14ac:dyDescent="0.35">
      <c r="A330" s="1">
        <v>329</v>
      </c>
      <c r="B330" s="2" t="s">
        <v>1176</v>
      </c>
      <c r="C330" s="3">
        <v>45022</v>
      </c>
      <c r="D330" s="3">
        <v>45026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65.567999999999998</v>
      </c>
      <c r="S330" s="1">
        <v>2</v>
      </c>
      <c r="T330" s="1">
        <v>0.2</v>
      </c>
      <c r="U330" s="1">
        <v>23.768399999999996</v>
      </c>
      <c r="V330">
        <f>YEAR(Table1[[#This Row],[Order Date]])</f>
        <v>2023</v>
      </c>
      <c r="W330" t="str">
        <f>TEXT(Table1[[#This Row],[Order Date]],"mmm")</f>
        <v>Apr</v>
      </c>
      <c r="X330">
        <f t="shared" si="15"/>
        <v>11.884199999999998</v>
      </c>
      <c r="Y330" t="str">
        <f t="shared" si="16"/>
        <v>Profit</v>
      </c>
      <c r="Z330" t="str">
        <f t="shared" si="17"/>
        <v>Low</v>
      </c>
    </row>
    <row r="331" spans="1:26" x14ac:dyDescent="0.35">
      <c r="A331" s="1">
        <v>330</v>
      </c>
      <c r="B331" s="2" t="s">
        <v>1183</v>
      </c>
      <c r="C331" s="3">
        <v>45022</v>
      </c>
      <c r="D331" s="3">
        <v>45026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44.910000000000011</v>
      </c>
      <c r="S331" s="1">
        <v>6</v>
      </c>
      <c r="T331" s="1">
        <v>0.7</v>
      </c>
      <c r="U331" s="1">
        <v>-35.927999999999997</v>
      </c>
      <c r="V331">
        <f>YEAR(Table1[[#This Row],[Order Date]])</f>
        <v>2023</v>
      </c>
      <c r="W331" t="str">
        <f>TEXT(Table1[[#This Row],[Order Date]],"mmm")</f>
        <v>Apr</v>
      </c>
      <c r="X331">
        <f t="shared" si="15"/>
        <v>-5.9879999999999995</v>
      </c>
      <c r="Y331" t="str">
        <f t="shared" si="16"/>
        <v>Loss</v>
      </c>
      <c r="Z331" t="str">
        <f t="shared" si="17"/>
        <v>High</v>
      </c>
    </row>
    <row r="332" spans="1:26" x14ac:dyDescent="0.35">
      <c r="A332" s="1">
        <v>331</v>
      </c>
      <c r="B332" s="2" t="s">
        <v>1161</v>
      </c>
      <c r="C332" s="3">
        <v>45022</v>
      </c>
      <c r="D332" s="3">
        <v>45028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</v>
      </c>
      <c r="T332" s="1">
        <v>0</v>
      </c>
      <c r="U332" s="1">
        <v>26.630399999999998</v>
      </c>
      <c r="V332">
        <f>YEAR(Table1[[#This Row],[Order Date]])</f>
        <v>2023</v>
      </c>
      <c r="W332" t="str">
        <f>TEXT(Table1[[#This Row],[Order Date]],"mmm")</f>
        <v>Apr</v>
      </c>
      <c r="X332">
        <f t="shared" si="15"/>
        <v>26.630399999999998</v>
      </c>
      <c r="Y332" t="str">
        <f t="shared" si="16"/>
        <v>Profit</v>
      </c>
      <c r="Z332" t="str">
        <f t="shared" si="17"/>
        <v>No Discount</v>
      </c>
    </row>
    <row r="333" spans="1:26" x14ac:dyDescent="0.35">
      <c r="A333" s="1">
        <v>332</v>
      </c>
      <c r="B333" s="2" t="s">
        <v>1161</v>
      </c>
      <c r="C333" s="3">
        <v>45022</v>
      </c>
      <c r="D333" s="3">
        <v>45028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  <c r="V333">
        <f>YEAR(Table1[[#This Row],[Order Date]])</f>
        <v>2023</v>
      </c>
      <c r="W333" t="str">
        <f>TEXT(Table1[[#This Row],[Order Date]],"mmm")</f>
        <v>Apr</v>
      </c>
      <c r="X333">
        <f t="shared" si="15"/>
        <v>3.1104000000000003</v>
      </c>
      <c r="Y333" t="str">
        <f t="shared" si="16"/>
        <v>Profit</v>
      </c>
      <c r="Z333" t="str">
        <f t="shared" si="17"/>
        <v>No Discount</v>
      </c>
    </row>
    <row r="334" spans="1:26" x14ac:dyDescent="0.35">
      <c r="A334" s="1">
        <v>333</v>
      </c>
      <c r="B334" s="2" t="s">
        <v>1173</v>
      </c>
      <c r="C334" s="3">
        <v>45022</v>
      </c>
      <c r="D334" s="3">
        <v>45024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10.304000000000002</v>
      </c>
      <c r="S334" s="1">
        <v>1</v>
      </c>
      <c r="T334" s="1">
        <v>0.2</v>
      </c>
      <c r="U334" s="1">
        <v>-2.1896000000000004</v>
      </c>
      <c r="V334">
        <f>YEAR(Table1[[#This Row],[Order Date]])</f>
        <v>2023</v>
      </c>
      <c r="W334" t="str">
        <f>TEXT(Table1[[#This Row],[Order Date]],"mmm")</f>
        <v>Apr</v>
      </c>
      <c r="X334">
        <f t="shared" si="15"/>
        <v>-2.1896000000000004</v>
      </c>
      <c r="Y334" t="str">
        <f t="shared" si="16"/>
        <v>Loss</v>
      </c>
      <c r="Z334" t="str">
        <f t="shared" si="17"/>
        <v>Low</v>
      </c>
    </row>
    <row r="335" spans="1:26" x14ac:dyDescent="0.35">
      <c r="A335" s="1">
        <v>334</v>
      </c>
      <c r="B335" s="2" t="s">
        <v>1168</v>
      </c>
      <c r="C335" s="3">
        <v>45022</v>
      </c>
      <c r="D335" s="3">
        <v>45028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</v>
      </c>
      <c r="T335" s="1">
        <v>0</v>
      </c>
      <c r="U335" s="1">
        <v>2.0339999999999989</v>
      </c>
      <c r="V335">
        <f>YEAR(Table1[[#This Row],[Order Date]])</f>
        <v>2023</v>
      </c>
      <c r="W335" t="str">
        <f>TEXT(Table1[[#This Row],[Order Date]],"mmm")</f>
        <v>Apr</v>
      </c>
      <c r="X335">
        <f t="shared" si="15"/>
        <v>1.0169999999999995</v>
      </c>
      <c r="Y335" t="str">
        <f t="shared" si="16"/>
        <v>Profit</v>
      </c>
      <c r="Z335" t="str">
        <f t="shared" si="17"/>
        <v>No Discount</v>
      </c>
    </row>
    <row r="336" spans="1:26" x14ac:dyDescent="0.35">
      <c r="A336" s="1">
        <v>335</v>
      </c>
      <c r="B336" s="2" t="s">
        <v>1176</v>
      </c>
      <c r="C336" s="3">
        <v>45022</v>
      </c>
      <c r="D336" s="3">
        <v>45026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299.96999999999997</v>
      </c>
      <c r="S336" s="1">
        <v>3</v>
      </c>
      <c r="T336" s="1">
        <v>0</v>
      </c>
      <c r="U336" s="1">
        <v>131.98680000000002</v>
      </c>
      <c r="V336">
        <f>YEAR(Table1[[#This Row],[Order Date]])</f>
        <v>2023</v>
      </c>
      <c r="W336" t="str">
        <f>TEXT(Table1[[#This Row],[Order Date]],"mmm")</f>
        <v>Apr</v>
      </c>
      <c r="X336">
        <f t="shared" si="15"/>
        <v>43.995600000000003</v>
      </c>
      <c r="Y336" t="str">
        <f t="shared" si="16"/>
        <v>Profit</v>
      </c>
      <c r="Z336" t="str">
        <f t="shared" si="17"/>
        <v>No Discount</v>
      </c>
    </row>
    <row r="337" spans="1:26" x14ac:dyDescent="0.35">
      <c r="A337" s="1">
        <v>336</v>
      </c>
      <c r="B337" s="2" t="s">
        <v>1173</v>
      </c>
      <c r="C337" s="3">
        <v>45022</v>
      </c>
      <c r="D337" s="3">
        <v>45024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116.78399999999999</v>
      </c>
      <c r="S337" s="1">
        <v>2</v>
      </c>
      <c r="T337" s="1">
        <v>0.2</v>
      </c>
      <c r="U337" s="1">
        <v>21.896999999999991</v>
      </c>
      <c r="V337">
        <f>YEAR(Table1[[#This Row],[Order Date]])</f>
        <v>2023</v>
      </c>
      <c r="W337" t="str">
        <f>TEXT(Table1[[#This Row],[Order Date]],"mmm")</f>
        <v>Apr</v>
      </c>
      <c r="X337">
        <f t="shared" si="15"/>
        <v>10.948499999999996</v>
      </c>
      <c r="Y337" t="str">
        <f t="shared" si="16"/>
        <v>Profit</v>
      </c>
      <c r="Z337" t="str">
        <f t="shared" si="17"/>
        <v>Low</v>
      </c>
    </row>
    <row r="338" spans="1:26" x14ac:dyDescent="0.35">
      <c r="A338" s="1">
        <v>337</v>
      </c>
      <c r="B338" s="2" t="s">
        <v>1201</v>
      </c>
      <c r="C338" s="3">
        <v>45023</v>
      </c>
      <c r="D338" s="3">
        <v>45026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8.9600000000000009</v>
      </c>
      <c r="S338" s="1">
        <v>2</v>
      </c>
      <c r="T338" s="1">
        <v>0</v>
      </c>
      <c r="U338" s="1">
        <v>2.7775999999999996</v>
      </c>
      <c r="V338">
        <f>YEAR(Table1[[#This Row],[Order Date]])</f>
        <v>2023</v>
      </c>
      <c r="W338" t="str">
        <f>TEXT(Table1[[#This Row],[Order Date]],"mmm")</f>
        <v>Apr</v>
      </c>
      <c r="X338">
        <f t="shared" si="15"/>
        <v>1.3887999999999998</v>
      </c>
      <c r="Y338" t="str">
        <f t="shared" si="16"/>
        <v>Profit</v>
      </c>
      <c r="Z338" t="str">
        <f t="shared" si="17"/>
        <v>No Discount</v>
      </c>
    </row>
    <row r="339" spans="1:26" x14ac:dyDescent="0.35">
      <c r="A339" s="1">
        <v>338</v>
      </c>
      <c r="B339" s="2" t="s">
        <v>1208</v>
      </c>
      <c r="C339" s="3">
        <v>45023</v>
      </c>
      <c r="D339" s="3">
        <v>45028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</v>
      </c>
      <c r="T339" s="1">
        <v>0</v>
      </c>
      <c r="U339" s="1">
        <v>60.255300000000005</v>
      </c>
      <c r="V339">
        <f>YEAR(Table1[[#This Row],[Order Date]])</f>
        <v>2023</v>
      </c>
      <c r="W339" t="str">
        <f>TEXT(Table1[[#This Row],[Order Date]],"mmm")</f>
        <v>Apr</v>
      </c>
      <c r="X339">
        <f t="shared" si="15"/>
        <v>20.085100000000001</v>
      </c>
      <c r="Y339" t="str">
        <f t="shared" si="16"/>
        <v>Profit</v>
      </c>
      <c r="Z339" t="str">
        <f t="shared" si="17"/>
        <v>No Discount</v>
      </c>
    </row>
    <row r="340" spans="1:26" x14ac:dyDescent="0.35">
      <c r="A340" s="1">
        <v>339</v>
      </c>
      <c r="B340" s="2" t="s">
        <v>1213</v>
      </c>
      <c r="C340" s="3">
        <v>45023</v>
      </c>
      <c r="D340" s="3">
        <v>45023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58.320000000000007</v>
      </c>
      <c r="S340" s="1">
        <v>9</v>
      </c>
      <c r="T340" s="1">
        <v>0</v>
      </c>
      <c r="U340" s="1">
        <v>27.993600000000001</v>
      </c>
      <c r="V340">
        <f>YEAR(Table1[[#This Row],[Order Date]])</f>
        <v>2023</v>
      </c>
      <c r="W340" t="str">
        <f>TEXT(Table1[[#This Row],[Order Date]],"mmm")</f>
        <v>Apr</v>
      </c>
      <c r="X340">
        <f t="shared" si="15"/>
        <v>3.1104000000000003</v>
      </c>
      <c r="Y340" t="str">
        <f t="shared" si="16"/>
        <v>Profit</v>
      </c>
      <c r="Z340" t="str">
        <f t="shared" si="17"/>
        <v>No Discount</v>
      </c>
    </row>
    <row r="341" spans="1:26" x14ac:dyDescent="0.35">
      <c r="A341" s="1">
        <v>340</v>
      </c>
      <c r="B341" s="2" t="s">
        <v>1208</v>
      </c>
      <c r="C341" s="3">
        <v>45023</v>
      </c>
      <c r="D341" s="3">
        <v>45028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629.94999999999993</v>
      </c>
      <c r="S341" s="1">
        <v>5</v>
      </c>
      <c r="T341" s="1">
        <v>0</v>
      </c>
      <c r="U341" s="1">
        <v>163.78700000000003</v>
      </c>
      <c r="V341">
        <f>YEAR(Table1[[#This Row],[Order Date]])</f>
        <v>2023</v>
      </c>
      <c r="W341" t="str">
        <f>TEXT(Table1[[#This Row],[Order Date]],"mmm")</f>
        <v>Apr</v>
      </c>
      <c r="X341">
        <f t="shared" si="15"/>
        <v>32.757400000000004</v>
      </c>
      <c r="Y341" t="str">
        <f t="shared" si="16"/>
        <v>Profit</v>
      </c>
      <c r="Z341" t="str">
        <f t="shared" si="17"/>
        <v>No Discount</v>
      </c>
    </row>
    <row r="342" spans="1:26" x14ac:dyDescent="0.35">
      <c r="A342" s="1">
        <v>341</v>
      </c>
      <c r="B342" s="2" t="s">
        <v>1213</v>
      </c>
      <c r="C342" s="3">
        <v>45023</v>
      </c>
      <c r="D342" s="3">
        <v>45023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200.96999999999997</v>
      </c>
      <c r="S342" s="1">
        <v>3</v>
      </c>
      <c r="T342" s="1">
        <v>0</v>
      </c>
      <c r="U342" s="1">
        <v>50.242500000000007</v>
      </c>
      <c r="V342">
        <f>YEAR(Table1[[#This Row],[Order Date]])</f>
        <v>2023</v>
      </c>
      <c r="W342" t="str">
        <f>TEXT(Table1[[#This Row],[Order Date]],"mmm")</f>
        <v>Apr</v>
      </c>
      <c r="X342">
        <f t="shared" si="15"/>
        <v>16.747500000000002</v>
      </c>
      <c r="Y342" t="str">
        <f t="shared" si="16"/>
        <v>Profit</v>
      </c>
      <c r="Z342" t="str">
        <f t="shared" si="17"/>
        <v>No Discount</v>
      </c>
    </row>
    <row r="343" spans="1:26" x14ac:dyDescent="0.35">
      <c r="A343" s="1">
        <v>342</v>
      </c>
      <c r="B343" s="2" t="s">
        <v>1221</v>
      </c>
      <c r="C343" s="3">
        <v>45024</v>
      </c>
      <c r="D343" s="3">
        <v>45028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</v>
      </c>
      <c r="T343" s="1">
        <v>0</v>
      </c>
      <c r="U343" s="1">
        <v>316.13920000000007</v>
      </c>
      <c r="V343">
        <f>YEAR(Table1[[#This Row],[Order Date]])</f>
        <v>2023</v>
      </c>
      <c r="W343" t="str">
        <f>TEXT(Table1[[#This Row],[Order Date]],"mmm")</f>
        <v>Apr</v>
      </c>
      <c r="X343">
        <f t="shared" si="15"/>
        <v>39.517400000000009</v>
      </c>
      <c r="Y343" t="str">
        <f t="shared" si="16"/>
        <v>Profit</v>
      </c>
      <c r="Z343" t="str">
        <f t="shared" si="17"/>
        <v>No Discount</v>
      </c>
    </row>
    <row r="344" spans="1:26" x14ac:dyDescent="0.35">
      <c r="A344" s="1">
        <v>343</v>
      </c>
      <c r="B344" s="2" t="s">
        <v>1226</v>
      </c>
      <c r="C344" s="3">
        <v>45024</v>
      </c>
      <c r="D344" s="3">
        <v>45028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99.591999999999999</v>
      </c>
      <c r="S344" s="1">
        <v>1</v>
      </c>
      <c r="T344" s="1">
        <v>0.2</v>
      </c>
      <c r="U344" s="1">
        <v>2.4897999999999989</v>
      </c>
      <c r="V344">
        <f>YEAR(Table1[[#This Row],[Order Date]])</f>
        <v>2023</v>
      </c>
      <c r="W344" t="str">
        <f>TEXT(Table1[[#This Row],[Order Date]],"mmm")</f>
        <v>Apr</v>
      </c>
      <c r="X344">
        <f t="shared" si="15"/>
        <v>2.4897999999999989</v>
      </c>
      <c r="Y344" t="str">
        <f t="shared" si="16"/>
        <v>Profit</v>
      </c>
      <c r="Z344" t="str">
        <f t="shared" si="17"/>
        <v>Low</v>
      </c>
    </row>
    <row r="345" spans="1:26" x14ac:dyDescent="0.35">
      <c r="A345" s="1">
        <v>344</v>
      </c>
      <c r="B345" s="2" t="s">
        <v>1229</v>
      </c>
      <c r="C345" s="3">
        <v>45024</v>
      </c>
      <c r="D345" s="3">
        <v>45028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</v>
      </c>
      <c r="T345" s="1">
        <v>0.4</v>
      </c>
      <c r="U345" s="1">
        <v>-94.660500000000013</v>
      </c>
      <c r="V345">
        <f>YEAR(Table1[[#This Row],[Order Date]])</f>
        <v>2023</v>
      </c>
      <c r="W345" t="str">
        <f>TEXT(Table1[[#This Row],[Order Date]],"mmm")</f>
        <v>Apr</v>
      </c>
      <c r="X345">
        <f t="shared" si="15"/>
        <v>-94.660500000000013</v>
      </c>
      <c r="Y345" t="str">
        <f t="shared" si="16"/>
        <v>Loss</v>
      </c>
      <c r="Z345" t="str">
        <f t="shared" si="17"/>
        <v>Medium</v>
      </c>
    </row>
    <row r="346" spans="1:26" x14ac:dyDescent="0.35">
      <c r="A346" s="1">
        <v>345</v>
      </c>
      <c r="B346" s="2" t="s">
        <v>1235</v>
      </c>
      <c r="C346" s="3">
        <v>45024</v>
      </c>
      <c r="D346" s="3">
        <v>45031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2.3679999999999999</v>
      </c>
      <c r="S346" s="1">
        <v>2</v>
      </c>
      <c r="T346" s="1">
        <v>0.2</v>
      </c>
      <c r="U346" s="1">
        <v>0.82879999999999987</v>
      </c>
      <c r="V346">
        <f>YEAR(Table1[[#This Row],[Order Date]])</f>
        <v>2023</v>
      </c>
      <c r="W346" t="str">
        <f>TEXT(Table1[[#This Row],[Order Date]],"mmm")</f>
        <v>Apr</v>
      </c>
      <c r="X346">
        <f t="shared" si="15"/>
        <v>0.41439999999999994</v>
      </c>
      <c r="Y346" t="str">
        <f t="shared" si="16"/>
        <v>Profit</v>
      </c>
      <c r="Z346" t="str">
        <f t="shared" si="17"/>
        <v>Low</v>
      </c>
    </row>
    <row r="347" spans="1:26" x14ac:dyDescent="0.35">
      <c r="A347" s="1">
        <v>346</v>
      </c>
      <c r="B347" s="2" t="s">
        <v>1241</v>
      </c>
      <c r="C347" s="3">
        <v>45024</v>
      </c>
      <c r="D347" s="3">
        <v>45029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49.792000000000002</v>
      </c>
      <c r="S347" s="1">
        <v>8</v>
      </c>
      <c r="T347" s="1">
        <v>0.2</v>
      </c>
      <c r="U347" s="1">
        <v>-11.825600000000001</v>
      </c>
      <c r="V347">
        <f>YEAR(Table1[[#This Row],[Order Date]])</f>
        <v>2023</v>
      </c>
      <c r="W347" t="str">
        <f>TEXT(Table1[[#This Row],[Order Date]],"mmm")</f>
        <v>Apr</v>
      </c>
      <c r="X347">
        <f t="shared" si="15"/>
        <v>-1.4782000000000002</v>
      </c>
      <c r="Y347" t="str">
        <f t="shared" si="16"/>
        <v>Loss</v>
      </c>
      <c r="Z347" t="str">
        <f t="shared" si="17"/>
        <v>Low</v>
      </c>
    </row>
    <row r="348" spans="1:26" x14ac:dyDescent="0.35">
      <c r="A348" s="1">
        <v>347</v>
      </c>
      <c r="B348" s="2" t="s">
        <v>1235</v>
      </c>
      <c r="C348" s="3">
        <v>45024</v>
      </c>
      <c r="D348" s="3">
        <v>45031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19.008000000000003</v>
      </c>
      <c r="S348" s="1">
        <v>3</v>
      </c>
      <c r="T348" s="1">
        <v>0.2</v>
      </c>
      <c r="U348" s="1">
        <v>6.8903999999999979</v>
      </c>
      <c r="V348">
        <f>YEAR(Table1[[#This Row],[Order Date]])</f>
        <v>2023</v>
      </c>
      <c r="W348" t="str">
        <f>TEXT(Table1[[#This Row],[Order Date]],"mmm")</f>
        <v>Apr</v>
      </c>
      <c r="X348">
        <f t="shared" si="15"/>
        <v>2.2967999999999993</v>
      </c>
      <c r="Y348" t="str">
        <f t="shared" si="16"/>
        <v>Profit</v>
      </c>
      <c r="Z348" t="str">
        <f t="shared" si="17"/>
        <v>Low</v>
      </c>
    </row>
    <row r="349" spans="1:26" x14ac:dyDescent="0.35">
      <c r="A349" s="1">
        <v>348</v>
      </c>
      <c r="B349" s="2" t="s">
        <v>1226</v>
      </c>
      <c r="C349" s="3">
        <v>45024</v>
      </c>
      <c r="D349" s="3">
        <v>45028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</v>
      </c>
      <c r="T349" s="1">
        <v>0</v>
      </c>
      <c r="U349" s="1">
        <v>139.98599999999999</v>
      </c>
      <c r="V349">
        <f>YEAR(Table1[[#This Row],[Order Date]])</f>
        <v>2023</v>
      </c>
      <c r="W349" t="str">
        <f>TEXT(Table1[[#This Row],[Order Date]],"mmm")</f>
        <v>Apr</v>
      </c>
      <c r="X349">
        <f t="shared" si="15"/>
        <v>34.996499999999997</v>
      </c>
      <c r="Y349" t="str">
        <f t="shared" si="16"/>
        <v>Profit</v>
      </c>
      <c r="Z349" t="str">
        <f t="shared" si="17"/>
        <v>No Discount</v>
      </c>
    </row>
    <row r="350" spans="1:26" x14ac:dyDescent="0.35">
      <c r="A350" s="1">
        <v>349</v>
      </c>
      <c r="B350" s="2" t="s">
        <v>1249</v>
      </c>
      <c r="C350" s="3">
        <v>45027</v>
      </c>
      <c r="D350" s="3">
        <v>45032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9.5840000000000014</v>
      </c>
      <c r="S350" s="1">
        <v>1</v>
      </c>
      <c r="T350" s="1">
        <v>0.2</v>
      </c>
      <c r="U350" s="1">
        <v>3.3543999999999996</v>
      </c>
      <c r="V350">
        <f>YEAR(Table1[[#This Row],[Order Date]])</f>
        <v>2023</v>
      </c>
      <c r="W350" t="str">
        <f>TEXT(Table1[[#This Row],[Order Date]],"mmm")</f>
        <v>Apr</v>
      </c>
      <c r="X350">
        <f t="shared" si="15"/>
        <v>3.3543999999999996</v>
      </c>
      <c r="Y350" t="str">
        <f t="shared" si="16"/>
        <v>Profit</v>
      </c>
      <c r="Z350" t="str">
        <f t="shared" si="17"/>
        <v>Low</v>
      </c>
    </row>
    <row r="351" spans="1:26" x14ac:dyDescent="0.35">
      <c r="A351" s="1">
        <v>350</v>
      </c>
      <c r="B351" s="2" t="s">
        <v>1256</v>
      </c>
      <c r="C351" s="3">
        <v>45027</v>
      </c>
      <c r="D351" s="3">
        <v>45029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6.911999999999999</v>
      </c>
      <c r="S351" s="1">
        <v>3</v>
      </c>
      <c r="T351" s="1">
        <v>0.2</v>
      </c>
      <c r="U351" s="1">
        <v>2.3327999999999998</v>
      </c>
      <c r="V351">
        <f>YEAR(Table1[[#This Row],[Order Date]])</f>
        <v>2023</v>
      </c>
      <c r="W351" t="str">
        <f>TEXT(Table1[[#This Row],[Order Date]],"mmm")</f>
        <v>Apr</v>
      </c>
      <c r="X351">
        <f t="shared" si="15"/>
        <v>0.77759999999999996</v>
      </c>
      <c r="Y351" t="str">
        <f t="shared" si="16"/>
        <v>Profit</v>
      </c>
      <c r="Z351" t="str">
        <f t="shared" si="17"/>
        <v>Low</v>
      </c>
    </row>
    <row r="352" spans="1:26" x14ac:dyDescent="0.35">
      <c r="A352" s="1">
        <v>351</v>
      </c>
      <c r="B352" s="2" t="s">
        <v>1256</v>
      </c>
      <c r="C352" s="3">
        <v>45027</v>
      </c>
      <c r="D352" s="3">
        <v>45029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10.368000000000002</v>
      </c>
      <c r="S352" s="1">
        <v>2</v>
      </c>
      <c r="T352" s="1">
        <v>0.2</v>
      </c>
      <c r="U352" s="1">
        <v>3.6288</v>
      </c>
      <c r="V352">
        <f>YEAR(Table1[[#This Row],[Order Date]])</f>
        <v>2023</v>
      </c>
      <c r="W352" t="str">
        <f>TEXT(Table1[[#This Row],[Order Date]],"mmm")</f>
        <v>Apr</v>
      </c>
      <c r="X352">
        <f t="shared" si="15"/>
        <v>1.8144</v>
      </c>
      <c r="Y352" t="str">
        <f t="shared" si="16"/>
        <v>Profit</v>
      </c>
      <c r="Z352" t="str">
        <f t="shared" si="17"/>
        <v>Low</v>
      </c>
    </row>
    <row r="353" spans="1:26" x14ac:dyDescent="0.35">
      <c r="A353" s="1">
        <v>352</v>
      </c>
      <c r="B353" s="2" t="s">
        <v>1263</v>
      </c>
      <c r="C353" s="3">
        <v>45027</v>
      </c>
      <c r="D353" s="3">
        <v>45034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</v>
      </c>
      <c r="T353" s="1">
        <v>0</v>
      </c>
      <c r="U353" s="1">
        <v>24.382400000000001</v>
      </c>
      <c r="V353">
        <f>YEAR(Table1[[#This Row],[Order Date]])</f>
        <v>2023</v>
      </c>
      <c r="W353" t="str">
        <f>TEXT(Table1[[#This Row],[Order Date]],"mmm")</f>
        <v>Apr</v>
      </c>
      <c r="X353">
        <f t="shared" si="15"/>
        <v>3.4832000000000001</v>
      </c>
      <c r="Y353" t="str">
        <f t="shared" si="16"/>
        <v>Profit</v>
      </c>
      <c r="Z353" t="str">
        <f t="shared" si="17"/>
        <v>No Discount</v>
      </c>
    </row>
    <row r="354" spans="1:26" x14ac:dyDescent="0.35">
      <c r="A354" s="1">
        <v>353</v>
      </c>
      <c r="B354" s="2" t="s">
        <v>1256</v>
      </c>
      <c r="C354" s="3">
        <v>45027</v>
      </c>
      <c r="D354" s="3">
        <v>45029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335.94400000000002</v>
      </c>
      <c r="S354" s="1">
        <v>7</v>
      </c>
      <c r="T354" s="1">
        <v>0.2</v>
      </c>
      <c r="U354" s="1">
        <v>41.992999999999995</v>
      </c>
      <c r="V354">
        <f>YEAR(Table1[[#This Row],[Order Date]])</f>
        <v>2023</v>
      </c>
      <c r="W354" t="str">
        <f>TEXT(Table1[[#This Row],[Order Date]],"mmm")</f>
        <v>Apr</v>
      </c>
      <c r="X354">
        <f t="shared" si="15"/>
        <v>5.9989999999999997</v>
      </c>
      <c r="Y354" t="str">
        <f t="shared" si="16"/>
        <v>Profit</v>
      </c>
      <c r="Z354" t="str">
        <f t="shared" si="17"/>
        <v>Low</v>
      </c>
    </row>
    <row r="355" spans="1:26" x14ac:dyDescent="0.35">
      <c r="A355" s="1">
        <v>354</v>
      </c>
      <c r="B355" s="2" t="s">
        <v>1256</v>
      </c>
      <c r="C355" s="3">
        <v>45027</v>
      </c>
      <c r="D355" s="3">
        <v>45029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383.97600000000006</v>
      </c>
      <c r="S355" s="1">
        <v>3</v>
      </c>
      <c r="T355" s="1">
        <v>0.2</v>
      </c>
      <c r="U355" s="1">
        <v>81.59490000000001</v>
      </c>
      <c r="V355">
        <f>YEAR(Table1[[#This Row],[Order Date]])</f>
        <v>2023</v>
      </c>
      <c r="W355" t="str">
        <f>TEXT(Table1[[#This Row],[Order Date]],"mmm")</f>
        <v>Apr</v>
      </c>
      <c r="X355">
        <f t="shared" si="15"/>
        <v>27.198300000000003</v>
      </c>
      <c r="Y355" t="str">
        <f t="shared" si="16"/>
        <v>Profit</v>
      </c>
      <c r="Z355" t="str">
        <f t="shared" si="17"/>
        <v>Low</v>
      </c>
    </row>
    <row r="356" spans="1:26" x14ac:dyDescent="0.35">
      <c r="A356" s="1">
        <v>355</v>
      </c>
      <c r="B356" s="2" t="s">
        <v>1263</v>
      </c>
      <c r="C356" s="3">
        <v>45027</v>
      </c>
      <c r="D356" s="3">
        <v>45034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</v>
      </c>
      <c r="T356" s="1">
        <v>0</v>
      </c>
      <c r="U356" s="1">
        <v>91.32480000000001</v>
      </c>
      <c r="V356">
        <f>YEAR(Table1[[#This Row],[Order Date]])</f>
        <v>2023</v>
      </c>
      <c r="W356" t="str">
        <f>TEXT(Table1[[#This Row],[Order Date]],"mmm")</f>
        <v>Apr</v>
      </c>
      <c r="X356">
        <f t="shared" si="15"/>
        <v>15.220800000000002</v>
      </c>
      <c r="Y356" t="str">
        <f t="shared" si="16"/>
        <v>Profit</v>
      </c>
      <c r="Z356" t="str">
        <f t="shared" si="17"/>
        <v>No Discount</v>
      </c>
    </row>
    <row r="357" spans="1:26" x14ac:dyDescent="0.35">
      <c r="A357" s="1">
        <v>356</v>
      </c>
      <c r="B357" s="2" t="s">
        <v>1263</v>
      </c>
      <c r="C357" s="3">
        <v>45027</v>
      </c>
      <c r="D357" s="3">
        <v>45034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</v>
      </c>
      <c r="T357" s="1">
        <v>0.2</v>
      </c>
      <c r="U357" s="1">
        <v>9.2386000000000053</v>
      </c>
      <c r="V357">
        <f>YEAR(Table1[[#This Row],[Order Date]])</f>
        <v>2023</v>
      </c>
      <c r="W357" t="str">
        <f>TEXT(Table1[[#This Row],[Order Date]],"mmm")</f>
        <v>Apr</v>
      </c>
      <c r="X357">
        <f t="shared" si="15"/>
        <v>4.6193000000000026</v>
      </c>
      <c r="Y357" t="str">
        <f t="shared" si="16"/>
        <v>Profit</v>
      </c>
      <c r="Z357" t="str">
        <f t="shared" si="17"/>
        <v>Low</v>
      </c>
    </row>
    <row r="358" spans="1:26" x14ac:dyDescent="0.35">
      <c r="A358" s="1">
        <v>357</v>
      </c>
      <c r="B358" s="2" t="s">
        <v>1276</v>
      </c>
      <c r="C358" s="3">
        <v>45027</v>
      </c>
      <c r="D358" s="3">
        <v>45032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758.35200000000009</v>
      </c>
      <c r="S358" s="1">
        <v>6</v>
      </c>
      <c r="T358" s="1">
        <v>0.2</v>
      </c>
      <c r="U358" s="1">
        <v>265.42320000000001</v>
      </c>
      <c r="V358">
        <f>YEAR(Table1[[#This Row],[Order Date]])</f>
        <v>2023</v>
      </c>
      <c r="W358" t="str">
        <f>TEXT(Table1[[#This Row],[Order Date]],"mmm")</f>
        <v>Apr</v>
      </c>
      <c r="X358">
        <f t="shared" si="15"/>
        <v>44.237200000000001</v>
      </c>
      <c r="Y358" t="str">
        <f t="shared" si="16"/>
        <v>Profit</v>
      </c>
      <c r="Z358" t="str">
        <f t="shared" si="17"/>
        <v>Low</v>
      </c>
    </row>
    <row r="359" spans="1:26" x14ac:dyDescent="0.35">
      <c r="A359" s="1">
        <v>358</v>
      </c>
      <c r="B359" s="2" t="s">
        <v>1282</v>
      </c>
      <c r="C359" s="3">
        <v>45028</v>
      </c>
      <c r="D359" s="3">
        <v>45033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>
        <f>YEAR(Table1[[#This Row],[Order Date]])</f>
        <v>2023</v>
      </c>
      <c r="W359" t="str">
        <f>TEXT(Table1[[#This Row],[Order Date]],"mmm")</f>
        <v>Apr</v>
      </c>
      <c r="X359">
        <f t="shared" si="15"/>
        <v>-6.0489999999999995</v>
      </c>
      <c r="Y359" t="str">
        <f t="shared" si="16"/>
        <v>Loss</v>
      </c>
      <c r="Z359" t="str">
        <f t="shared" si="17"/>
        <v>Low</v>
      </c>
    </row>
    <row r="360" spans="1:26" x14ac:dyDescent="0.35">
      <c r="A360" s="1">
        <v>359</v>
      </c>
      <c r="B360" s="2" t="s">
        <v>1286</v>
      </c>
      <c r="C360" s="3">
        <v>45028</v>
      </c>
      <c r="D360" s="3">
        <v>45034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</v>
      </c>
      <c r="T360" s="1">
        <v>0</v>
      </c>
      <c r="U360" s="1">
        <v>16.268800000000002</v>
      </c>
      <c r="V360">
        <f>YEAR(Table1[[#This Row],[Order Date]])</f>
        <v>2023</v>
      </c>
      <c r="W360" t="str">
        <f>TEXT(Table1[[#This Row],[Order Date]],"mmm")</f>
        <v>Apr</v>
      </c>
      <c r="X360">
        <f t="shared" si="15"/>
        <v>8.1344000000000012</v>
      </c>
      <c r="Y360" t="str">
        <f t="shared" si="16"/>
        <v>Profit</v>
      </c>
      <c r="Z360" t="str">
        <f t="shared" si="17"/>
        <v>No Discount</v>
      </c>
    </row>
    <row r="361" spans="1:26" x14ac:dyDescent="0.35">
      <c r="A361" s="1">
        <v>360</v>
      </c>
      <c r="B361" s="2" t="s">
        <v>1282</v>
      </c>
      <c r="C361" s="3">
        <v>45028</v>
      </c>
      <c r="D361" s="3">
        <v>45033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18.088000000000001</v>
      </c>
      <c r="S361" s="1">
        <v>7</v>
      </c>
      <c r="T361" s="1">
        <v>0.2</v>
      </c>
      <c r="U361" s="1">
        <v>6.5569000000000006</v>
      </c>
      <c r="V361">
        <f>YEAR(Table1[[#This Row],[Order Date]])</f>
        <v>2023</v>
      </c>
      <c r="W361" t="str">
        <f>TEXT(Table1[[#This Row],[Order Date]],"mmm")</f>
        <v>Apr</v>
      </c>
      <c r="X361">
        <f t="shared" si="15"/>
        <v>0.93670000000000009</v>
      </c>
      <c r="Y361" t="str">
        <f t="shared" si="16"/>
        <v>Profit</v>
      </c>
      <c r="Z361" t="str">
        <f t="shared" si="17"/>
        <v>Low</v>
      </c>
    </row>
    <row r="362" spans="1:26" x14ac:dyDescent="0.35">
      <c r="A362" s="1">
        <v>361</v>
      </c>
      <c r="B362" s="2" t="s">
        <v>1294</v>
      </c>
      <c r="C362" s="3">
        <v>45028</v>
      </c>
      <c r="D362" s="3">
        <v>45033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32.400000000000006</v>
      </c>
      <c r="S362" s="1">
        <v>5</v>
      </c>
      <c r="T362" s="1">
        <v>0</v>
      </c>
      <c r="U362" s="1">
        <v>15.552000000000001</v>
      </c>
      <c r="V362">
        <f>YEAR(Table1[[#This Row],[Order Date]])</f>
        <v>2023</v>
      </c>
      <c r="W362" t="str">
        <f>TEXT(Table1[[#This Row],[Order Date]],"mmm")</f>
        <v>Apr</v>
      </c>
      <c r="X362">
        <f t="shared" si="15"/>
        <v>3.1104000000000003</v>
      </c>
      <c r="Y362" t="str">
        <f t="shared" si="16"/>
        <v>Profit</v>
      </c>
      <c r="Z362" t="str">
        <f t="shared" si="17"/>
        <v>No Discount</v>
      </c>
    </row>
    <row r="363" spans="1:26" x14ac:dyDescent="0.35">
      <c r="A363" s="1">
        <v>362</v>
      </c>
      <c r="B363" s="2" t="s">
        <v>1282</v>
      </c>
      <c r="C363" s="3">
        <v>45028</v>
      </c>
      <c r="D363" s="3">
        <v>45033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438.36800000000005</v>
      </c>
      <c r="S363" s="1">
        <v>4</v>
      </c>
      <c r="T363" s="1">
        <v>0.2</v>
      </c>
      <c r="U363" s="1">
        <v>38.357200000000006</v>
      </c>
      <c r="V363">
        <f>YEAR(Table1[[#This Row],[Order Date]])</f>
        <v>2023</v>
      </c>
      <c r="W363" t="str">
        <f>TEXT(Table1[[#This Row],[Order Date]],"mmm")</f>
        <v>Apr</v>
      </c>
      <c r="X363">
        <f t="shared" si="15"/>
        <v>9.5893000000000015</v>
      </c>
      <c r="Y363" t="str">
        <f t="shared" si="16"/>
        <v>Profit</v>
      </c>
      <c r="Z363" t="str">
        <f t="shared" si="17"/>
        <v>Low</v>
      </c>
    </row>
    <row r="364" spans="1:26" x14ac:dyDescent="0.35">
      <c r="A364" s="1">
        <v>363</v>
      </c>
      <c r="B364" s="2" t="s">
        <v>1282</v>
      </c>
      <c r="C364" s="3">
        <v>45028</v>
      </c>
      <c r="D364" s="3">
        <v>45033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</v>
      </c>
      <c r="T364" s="1">
        <v>0.2</v>
      </c>
      <c r="U364" s="1">
        <v>94.070199999999943</v>
      </c>
      <c r="V364">
        <f>YEAR(Table1[[#This Row],[Order Date]])</f>
        <v>2023</v>
      </c>
      <c r="W364" t="str">
        <f>TEXT(Table1[[#This Row],[Order Date]],"mmm")</f>
        <v>Apr</v>
      </c>
      <c r="X364">
        <f t="shared" si="15"/>
        <v>6.7192999999999961</v>
      </c>
      <c r="Y364" t="str">
        <f t="shared" si="16"/>
        <v>Profit</v>
      </c>
      <c r="Z364" t="str">
        <f t="shared" si="17"/>
        <v>Low</v>
      </c>
    </row>
    <row r="365" spans="1:26" x14ac:dyDescent="0.35">
      <c r="A365" s="1">
        <v>364</v>
      </c>
      <c r="B365" s="2" t="s">
        <v>1304</v>
      </c>
      <c r="C365" s="3">
        <v>45029</v>
      </c>
      <c r="D365" s="3">
        <v>45033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17.856000000000002</v>
      </c>
      <c r="S365" s="1">
        <v>4</v>
      </c>
      <c r="T365" s="1">
        <v>0.2</v>
      </c>
      <c r="U365" s="1">
        <v>1.1159999999999979</v>
      </c>
      <c r="V365">
        <f>YEAR(Table1[[#This Row],[Order Date]])</f>
        <v>2023</v>
      </c>
      <c r="W365" t="str">
        <f>TEXT(Table1[[#This Row],[Order Date]],"mmm")</f>
        <v>Apr</v>
      </c>
      <c r="X365">
        <f t="shared" si="15"/>
        <v>0.27899999999999947</v>
      </c>
      <c r="Y365" t="str">
        <f t="shared" si="16"/>
        <v>Profit</v>
      </c>
      <c r="Z365" t="str">
        <f t="shared" si="17"/>
        <v>Low</v>
      </c>
    </row>
    <row r="366" spans="1:26" x14ac:dyDescent="0.35">
      <c r="A366" s="1">
        <v>365</v>
      </c>
      <c r="B366" s="2" t="s">
        <v>1304</v>
      </c>
      <c r="C366" s="3">
        <v>45029</v>
      </c>
      <c r="D366" s="3">
        <v>45033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509.97000000000008</v>
      </c>
      <c r="S366" s="1">
        <v>10</v>
      </c>
      <c r="T366" s="1">
        <v>0.7</v>
      </c>
      <c r="U366" s="1">
        <v>-407.97599999999989</v>
      </c>
      <c r="V366">
        <f>YEAR(Table1[[#This Row],[Order Date]])</f>
        <v>2023</v>
      </c>
      <c r="W366" t="str">
        <f>TEXT(Table1[[#This Row],[Order Date]],"mmm")</f>
        <v>Apr</v>
      </c>
      <c r="X366">
        <f t="shared" si="15"/>
        <v>-40.797599999999989</v>
      </c>
      <c r="Y366" t="str">
        <f t="shared" si="16"/>
        <v>Loss</v>
      </c>
      <c r="Z366" t="str">
        <f t="shared" si="17"/>
        <v>High</v>
      </c>
    </row>
    <row r="367" spans="1:26" x14ac:dyDescent="0.35">
      <c r="A367" s="1">
        <v>366</v>
      </c>
      <c r="B367" s="2" t="s">
        <v>1304</v>
      </c>
      <c r="C367" s="3">
        <v>45029</v>
      </c>
      <c r="D367" s="3">
        <v>45033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30.991999999999997</v>
      </c>
      <c r="S367" s="1">
        <v>13</v>
      </c>
      <c r="T367" s="1">
        <v>0.2</v>
      </c>
      <c r="U367" s="1">
        <v>10.072399999999996</v>
      </c>
      <c r="V367">
        <f>YEAR(Table1[[#This Row],[Order Date]])</f>
        <v>2023</v>
      </c>
      <c r="W367" t="str">
        <f>TEXT(Table1[[#This Row],[Order Date]],"mmm")</f>
        <v>Apr</v>
      </c>
      <c r="X367">
        <f t="shared" si="15"/>
        <v>0.77479999999999971</v>
      </c>
      <c r="Y367" t="str">
        <f t="shared" si="16"/>
        <v>Profit</v>
      </c>
      <c r="Z367" t="str">
        <f t="shared" si="17"/>
        <v>Low</v>
      </c>
    </row>
    <row r="368" spans="1:26" x14ac:dyDescent="0.35">
      <c r="A368" s="1">
        <v>367</v>
      </c>
      <c r="B368" s="2" t="s">
        <v>1310</v>
      </c>
      <c r="C368" s="3">
        <v>45029</v>
      </c>
      <c r="D368" s="3">
        <v>45034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</v>
      </c>
      <c r="T368" s="1">
        <v>0</v>
      </c>
      <c r="U368" s="1">
        <v>3.6017999999999999</v>
      </c>
      <c r="V368">
        <f>YEAR(Table1[[#This Row],[Order Date]])</f>
        <v>2023</v>
      </c>
      <c r="W368" t="str">
        <f>TEXT(Table1[[#This Row],[Order Date]],"mmm")</f>
        <v>Apr</v>
      </c>
      <c r="X368">
        <f t="shared" si="15"/>
        <v>1.2005999999999999</v>
      </c>
      <c r="Y368" t="str">
        <f t="shared" si="16"/>
        <v>Profit</v>
      </c>
      <c r="Z368" t="str">
        <f t="shared" si="17"/>
        <v>No Discount</v>
      </c>
    </row>
    <row r="369" spans="1:26" x14ac:dyDescent="0.35">
      <c r="A369" s="1">
        <v>368</v>
      </c>
      <c r="B369" s="2" t="s">
        <v>1304</v>
      </c>
      <c r="C369" s="3">
        <v>45029</v>
      </c>
      <c r="D369" s="3">
        <v>45033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>
        <f>YEAR(Table1[[#This Row],[Order Date]])</f>
        <v>2023</v>
      </c>
      <c r="W369" t="str">
        <f>TEXT(Table1[[#This Row],[Order Date]],"mmm")</f>
        <v>Apr</v>
      </c>
      <c r="X369">
        <f t="shared" si="15"/>
        <v>0.69929999999999914</v>
      </c>
      <c r="Y369" t="str">
        <f t="shared" si="16"/>
        <v>Profit</v>
      </c>
      <c r="Z369" t="str">
        <f t="shared" si="17"/>
        <v>Medium</v>
      </c>
    </row>
    <row r="370" spans="1:26" x14ac:dyDescent="0.35">
      <c r="A370" s="1">
        <v>369</v>
      </c>
      <c r="B370" s="2" t="s">
        <v>1319</v>
      </c>
      <c r="C370" s="3">
        <v>45031</v>
      </c>
      <c r="D370" s="3">
        <v>45031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</v>
      </c>
      <c r="T370" s="1">
        <v>0</v>
      </c>
      <c r="U370" s="1">
        <v>76.9816</v>
      </c>
      <c r="V370">
        <f>YEAR(Table1[[#This Row],[Order Date]])</f>
        <v>2023</v>
      </c>
      <c r="W370" t="str">
        <f>TEXT(Table1[[#This Row],[Order Date]],"mmm")</f>
        <v>Apr</v>
      </c>
      <c r="X370">
        <f t="shared" si="15"/>
        <v>19.2454</v>
      </c>
      <c r="Y370" t="str">
        <f t="shared" si="16"/>
        <v>Profit</v>
      </c>
      <c r="Z370" t="str">
        <f t="shared" si="17"/>
        <v>No Discount</v>
      </c>
    </row>
    <row r="371" spans="1:26" x14ac:dyDescent="0.35">
      <c r="A371" s="1">
        <v>370</v>
      </c>
      <c r="B371" s="2" t="s">
        <v>1319</v>
      </c>
      <c r="C371" s="3">
        <v>45031</v>
      </c>
      <c r="D371" s="3">
        <v>45031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</v>
      </c>
      <c r="T371" s="1">
        <v>0</v>
      </c>
      <c r="U371" s="1">
        <v>31.018399999999986</v>
      </c>
      <c r="V371">
        <f>YEAR(Table1[[#This Row],[Order Date]])</f>
        <v>2023</v>
      </c>
      <c r="W371" t="str">
        <f>TEXT(Table1[[#This Row],[Order Date]],"mmm")</f>
        <v>Apr</v>
      </c>
      <c r="X371">
        <f t="shared" si="15"/>
        <v>15.509199999999993</v>
      </c>
      <c r="Y371" t="str">
        <f t="shared" si="16"/>
        <v>Profit</v>
      </c>
      <c r="Z371" t="str">
        <f t="shared" si="17"/>
        <v>No Discount</v>
      </c>
    </row>
    <row r="372" spans="1:26" x14ac:dyDescent="0.35">
      <c r="A372" s="1">
        <v>371</v>
      </c>
      <c r="B372" s="2" t="s">
        <v>1326</v>
      </c>
      <c r="C372" s="3">
        <v>45032</v>
      </c>
      <c r="D372" s="3">
        <v>45036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>
        <f>YEAR(Table1[[#This Row],[Order Date]])</f>
        <v>2023</v>
      </c>
      <c r="W372" t="str">
        <f>TEXT(Table1[[#This Row],[Order Date]],"mmm")</f>
        <v>Apr</v>
      </c>
      <c r="X372">
        <f t="shared" si="15"/>
        <v>1.6280000000000001</v>
      </c>
      <c r="Y372" t="str">
        <f t="shared" si="16"/>
        <v>Profit</v>
      </c>
      <c r="Z372" t="str">
        <f t="shared" si="17"/>
        <v>Low</v>
      </c>
    </row>
    <row r="373" spans="1:26" x14ac:dyDescent="0.35">
      <c r="A373" s="1">
        <v>372</v>
      </c>
      <c r="B373" s="2" t="s">
        <v>1329</v>
      </c>
      <c r="C373" s="3">
        <v>45034</v>
      </c>
      <c r="D373" s="3">
        <v>45038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317.05799999999999</v>
      </c>
      <c r="S373" s="1">
        <v>3</v>
      </c>
      <c r="T373" s="1">
        <v>0.3</v>
      </c>
      <c r="U373" s="1">
        <v>-18.117599999999996</v>
      </c>
      <c r="V373">
        <f>YEAR(Table1[[#This Row],[Order Date]])</f>
        <v>2023</v>
      </c>
      <c r="W373" t="str">
        <f>TEXT(Table1[[#This Row],[Order Date]],"mmm")</f>
        <v>Apr</v>
      </c>
      <c r="X373">
        <f t="shared" si="15"/>
        <v>-6.0391999999999983</v>
      </c>
      <c r="Y373" t="str">
        <f t="shared" si="16"/>
        <v>Loss</v>
      </c>
      <c r="Z373" t="str">
        <f t="shared" si="17"/>
        <v>Medium</v>
      </c>
    </row>
    <row r="374" spans="1:26" x14ac:dyDescent="0.35">
      <c r="A374" s="1">
        <v>373</v>
      </c>
      <c r="B374" s="2" t="s">
        <v>1332</v>
      </c>
      <c r="C374" s="3">
        <v>45034</v>
      </c>
      <c r="D374" s="3">
        <v>45039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</v>
      </c>
      <c r="T374" s="1">
        <v>0</v>
      </c>
      <c r="U374" s="1">
        <v>3.547499999999999</v>
      </c>
      <c r="V374">
        <f>YEAR(Table1[[#This Row],[Order Date]])</f>
        <v>2023</v>
      </c>
      <c r="W374" t="str">
        <f>TEXT(Table1[[#This Row],[Order Date]],"mmm")</f>
        <v>Apr</v>
      </c>
      <c r="X374">
        <f t="shared" si="15"/>
        <v>0.7094999999999998</v>
      </c>
      <c r="Y374" t="str">
        <f t="shared" si="16"/>
        <v>Profit</v>
      </c>
      <c r="Z374" t="str">
        <f t="shared" si="17"/>
        <v>No Discount</v>
      </c>
    </row>
    <row r="375" spans="1:26" x14ac:dyDescent="0.35">
      <c r="A375" s="1">
        <v>374</v>
      </c>
      <c r="B375" s="2" t="s">
        <v>1329</v>
      </c>
      <c r="C375" s="3">
        <v>45034</v>
      </c>
      <c r="D375" s="3">
        <v>45038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2.6880000000000002</v>
      </c>
      <c r="S375" s="1">
        <v>2</v>
      </c>
      <c r="T375" s="1">
        <v>0.2</v>
      </c>
      <c r="U375" s="1">
        <v>1.008</v>
      </c>
      <c r="V375">
        <f>YEAR(Table1[[#This Row],[Order Date]])</f>
        <v>2023</v>
      </c>
      <c r="W375" t="str">
        <f>TEXT(Table1[[#This Row],[Order Date]],"mmm")</f>
        <v>Apr</v>
      </c>
      <c r="X375">
        <f t="shared" si="15"/>
        <v>0.504</v>
      </c>
      <c r="Y375" t="str">
        <f t="shared" si="16"/>
        <v>Profit</v>
      </c>
      <c r="Z375" t="str">
        <f t="shared" si="17"/>
        <v>Low</v>
      </c>
    </row>
    <row r="376" spans="1:26" x14ac:dyDescent="0.35">
      <c r="A376" s="1">
        <v>375</v>
      </c>
      <c r="B376" s="2" t="s">
        <v>1332</v>
      </c>
      <c r="C376" s="3">
        <v>45034</v>
      </c>
      <c r="D376" s="3">
        <v>45039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</v>
      </c>
      <c r="T376" s="1">
        <v>0</v>
      </c>
      <c r="U376" s="1">
        <v>3.8047999999999984</v>
      </c>
      <c r="V376">
        <f>YEAR(Table1[[#This Row],[Order Date]])</f>
        <v>2023</v>
      </c>
      <c r="W376" t="str">
        <f>TEXT(Table1[[#This Row],[Order Date]],"mmm")</f>
        <v>Apr</v>
      </c>
      <c r="X376">
        <f t="shared" si="15"/>
        <v>0.9511999999999996</v>
      </c>
      <c r="Y376" t="str">
        <f t="shared" si="16"/>
        <v>Profit</v>
      </c>
      <c r="Z376" t="str">
        <f t="shared" si="17"/>
        <v>No Discount</v>
      </c>
    </row>
    <row r="377" spans="1:26" x14ac:dyDescent="0.35">
      <c r="A377" s="1">
        <v>376</v>
      </c>
      <c r="B377" s="2" t="s">
        <v>1329</v>
      </c>
      <c r="C377" s="3">
        <v>45034</v>
      </c>
      <c r="D377" s="3">
        <v>45038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</v>
      </c>
      <c r="T377" s="1">
        <v>0.2</v>
      </c>
      <c r="U377" s="1">
        <v>50.40629999999998</v>
      </c>
      <c r="V377">
        <f>YEAR(Table1[[#This Row],[Order Date]])</f>
        <v>2023</v>
      </c>
      <c r="W377" t="str">
        <f>TEXT(Table1[[#This Row],[Order Date]],"mmm")</f>
        <v>Apr</v>
      </c>
      <c r="X377">
        <f t="shared" si="15"/>
        <v>16.802099999999992</v>
      </c>
      <c r="Y377" t="str">
        <f t="shared" si="16"/>
        <v>Profit</v>
      </c>
      <c r="Z377" t="str">
        <f t="shared" si="17"/>
        <v>Low</v>
      </c>
    </row>
    <row r="378" spans="1:26" x14ac:dyDescent="0.35">
      <c r="A378" s="1">
        <v>377</v>
      </c>
      <c r="B378" s="2" t="s">
        <v>1332</v>
      </c>
      <c r="C378" s="3">
        <v>45034</v>
      </c>
      <c r="D378" s="3">
        <v>45039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</v>
      </c>
      <c r="T378" s="1">
        <v>0</v>
      </c>
      <c r="U378" s="1">
        <v>3.6021999999999998</v>
      </c>
      <c r="V378">
        <f>YEAR(Table1[[#This Row],[Order Date]])</f>
        <v>2023</v>
      </c>
      <c r="W378" t="str">
        <f>TEXT(Table1[[#This Row],[Order Date]],"mmm")</f>
        <v>Apr</v>
      </c>
      <c r="X378">
        <f t="shared" si="15"/>
        <v>1.8010999999999999</v>
      </c>
      <c r="Y378" t="str">
        <f t="shared" si="16"/>
        <v>Profit</v>
      </c>
      <c r="Z378" t="str">
        <f t="shared" si="17"/>
        <v>No Discount</v>
      </c>
    </row>
    <row r="379" spans="1:26" x14ac:dyDescent="0.35">
      <c r="A379" s="1">
        <v>378</v>
      </c>
      <c r="B379" s="2" t="s">
        <v>1329</v>
      </c>
      <c r="C379" s="3">
        <v>45034</v>
      </c>
      <c r="D379" s="3">
        <v>45038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</v>
      </c>
      <c r="T379" s="1">
        <v>0.2</v>
      </c>
      <c r="U379" s="1">
        <v>28.496999999999957</v>
      </c>
      <c r="V379">
        <f>YEAR(Table1[[#This Row],[Order Date]])</f>
        <v>2023</v>
      </c>
      <c r="W379" t="str">
        <f>TEXT(Table1[[#This Row],[Order Date]],"mmm")</f>
        <v>Apr</v>
      </c>
      <c r="X379">
        <f t="shared" si="15"/>
        <v>9.4989999999999863</v>
      </c>
      <c r="Y379" t="str">
        <f t="shared" si="16"/>
        <v>Profit</v>
      </c>
      <c r="Z379" t="str">
        <f t="shared" si="17"/>
        <v>Low</v>
      </c>
    </row>
    <row r="380" spans="1:26" x14ac:dyDescent="0.35">
      <c r="A380" s="1">
        <v>379</v>
      </c>
      <c r="B380" s="2" t="s">
        <v>1332</v>
      </c>
      <c r="C380" s="3">
        <v>45034</v>
      </c>
      <c r="D380" s="3">
        <v>45039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287.96800000000002</v>
      </c>
      <c r="S380" s="1">
        <v>4</v>
      </c>
      <c r="T380" s="1">
        <v>0.2</v>
      </c>
      <c r="U380" s="1">
        <v>97.189199999999985</v>
      </c>
      <c r="V380">
        <f>YEAR(Table1[[#This Row],[Order Date]])</f>
        <v>2023</v>
      </c>
      <c r="W380" t="str">
        <f>TEXT(Table1[[#This Row],[Order Date]],"mmm")</f>
        <v>Apr</v>
      </c>
      <c r="X380">
        <f t="shared" si="15"/>
        <v>24.297299999999996</v>
      </c>
      <c r="Y380" t="str">
        <f t="shared" si="16"/>
        <v>Profit</v>
      </c>
      <c r="Z380" t="str">
        <f t="shared" si="17"/>
        <v>Low</v>
      </c>
    </row>
    <row r="381" spans="1:26" x14ac:dyDescent="0.35">
      <c r="A381" s="1">
        <v>380</v>
      </c>
      <c r="B381" s="2" t="s">
        <v>1347</v>
      </c>
      <c r="C381" s="3">
        <v>45035</v>
      </c>
      <c r="D381" s="3">
        <v>45037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</v>
      </c>
      <c r="T381" s="1">
        <v>0</v>
      </c>
      <c r="U381" s="1">
        <v>26.648999999999997</v>
      </c>
      <c r="V381">
        <f>YEAR(Table1[[#This Row],[Order Date]])</f>
        <v>2023</v>
      </c>
      <c r="W381" t="str">
        <f>TEXT(Table1[[#This Row],[Order Date]],"mmm")</f>
        <v>Apr</v>
      </c>
      <c r="X381">
        <f t="shared" si="15"/>
        <v>8.8829999999999991</v>
      </c>
      <c r="Y381" t="str">
        <f t="shared" si="16"/>
        <v>Profit</v>
      </c>
      <c r="Z381" t="str">
        <f t="shared" si="17"/>
        <v>No Discount</v>
      </c>
    </row>
    <row r="382" spans="1:26" x14ac:dyDescent="0.35">
      <c r="A382" s="1">
        <v>381</v>
      </c>
      <c r="B382" s="2" t="s">
        <v>1351</v>
      </c>
      <c r="C382" s="3">
        <v>45035</v>
      </c>
      <c r="D382" s="3">
        <v>45039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58.050000000000004</v>
      </c>
      <c r="S382" s="1">
        <v>3</v>
      </c>
      <c r="T382" s="1">
        <v>0</v>
      </c>
      <c r="U382" s="1">
        <v>26.702999999999999</v>
      </c>
      <c r="V382">
        <f>YEAR(Table1[[#This Row],[Order Date]])</f>
        <v>2023</v>
      </c>
      <c r="W382" t="str">
        <f>TEXT(Table1[[#This Row],[Order Date]],"mmm")</f>
        <v>Apr</v>
      </c>
      <c r="X382">
        <f t="shared" si="15"/>
        <v>8.9009999999999998</v>
      </c>
      <c r="Y382" t="str">
        <f t="shared" si="16"/>
        <v>Profit</v>
      </c>
      <c r="Z382" t="str">
        <f t="shared" si="17"/>
        <v>No Discount</v>
      </c>
    </row>
    <row r="383" spans="1:26" x14ac:dyDescent="0.35">
      <c r="A383" s="1">
        <v>382</v>
      </c>
      <c r="B383" s="2" t="s">
        <v>1351</v>
      </c>
      <c r="C383" s="3">
        <v>45035</v>
      </c>
      <c r="D383" s="3">
        <v>45039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</v>
      </c>
      <c r="T383" s="1">
        <v>0</v>
      </c>
      <c r="U383" s="1">
        <v>34.214400000000005</v>
      </c>
      <c r="V383">
        <f>YEAR(Table1[[#This Row],[Order Date]])</f>
        <v>2023</v>
      </c>
      <c r="W383" t="str">
        <f>TEXT(Table1[[#This Row],[Order Date]],"mmm")</f>
        <v>Apr</v>
      </c>
      <c r="X383">
        <f t="shared" si="15"/>
        <v>3.1104000000000003</v>
      </c>
      <c r="Y383" t="str">
        <f t="shared" si="16"/>
        <v>Profit</v>
      </c>
      <c r="Z383" t="str">
        <f t="shared" si="17"/>
        <v>No Discount</v>
      </c>
    </row>
    <row r="384" spans="1:26" x14ac:dyDescent="0.35">
      <c r="A384" s="1">
        <v>383</v>
      </c>
      <c r="B384" s="2" t="s">
        <v>1358</v>
      </c>
      <c r="C384" s="3">
        <v>45036</v>
      </c>
      <c r="D384" s="3">
        <v>45041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</v>
      </c>
      <c r="T384" s="1">
        <v>0</v>
      </c>
      <c r="U384" s="1">
        <v>27.563200000000002</v>
      </c>
      <c r="V384">
        <f>YEAR(Table1[[#This Row],[Order Date]])</f>
        <v>2023</v>
      </c>
      <c r="W384" t="str">
        <f>TEXT(Table1[[#This Row],[Order Date]],"mmm")</f>
        <v>Apr</v>
      </c>
      <c r="X384">
        <f t="shared" si="15"/>
        <v>6.8908000000000005</v>
      </c>
      <c r="Y384" t="str">
        <f t="shared" si="16"/>
        <v>Profit</v>
      </c>
      <c r="Z384" t="str">
        <f t="shared" si="17"/>
        <v>No Discount</v>
      </c>
    </row>
    <row r="385" spans="1:26" x14ac:dyDescent="0.35">
      <c r="A385" s="1">
        <v>384</v>
      </c>
      <c r="B385" s="2" t="s">
        <v>1363</v>
      </c>
      <c r="C385" s="3">
        <v>45036</v>
      </c>
      <c r="D385" s="3">
        <v>45038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744.09999999999991</v>
      </c>
      <c r="S385" s="1">
        <v>5</v>
      </c>
      <c r="T385" s="1">
        <v>0.3</v>
      </c>
      <c r="U385" s="1">
        <v>-95.670000000000044</v>
      </c>
      <c r="V385">
        <f>YEAR(Table1[[#This Row],[Order Date]])</f>
        <v>2023</v>
      </c>
      <c r="W385" t="str">
        <f>TEXT(Table1[[#This Row],[Order Date]],"mmm")</f>
        <v>Apr</v>
      </c>
      <c r="X385">
        <f t="shared" si="15"/>
        <v>-19.134000000000007</v>
      </c>
      <c r="Y385" t="str">
        <f t="shared" si="16"/>
        <v>Loss</v>
      </c>
      <c r="Z385" t="str">
        <f t="shared" si="17"/>
        <v>Medium</v>
      </c>
    </row>
    <row r="386" spans="1:26" x14ac:dyDescent="0.35">
      <c r="A386" s="1">
        <v>385</v>
      </c>
      <c r="B386" s="2" t="s">
        <v>1363</v>
      </c>
      <c r="C386" s="3">
        <v>45036</v>
      </c>
      <c r="D386" s="3">
        <v>45038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401.59000000000003</v>
      </c>
      <c r="S386" s="1">
        <v>2</v>
      </c>
      <c r="T386" s="1">
        <v>0.3</v>
      </c>
      <c r="U386" s="1">
        <v>-131.95100000000002</v>
      </c>
      <c r="V386">
        <f>YEAR(Table1[[#This Row],[Order Date]])</f>
        <v>2023</v>
      </c>
      <c r="W386" t="str">
        <f>TEXT(Table1[[#This Row],[Order Date]],"mmm")</f>
        <v>Apr</v>
      </c>
      <c r="X386">
        <f t="shared" ref="X386:X449" si="18">IFERROR(U386/S386,0)</f>
        <v>-65.975500000000011</v>
      </c>
      <c r="Y386" t="str">
        <f t="shared" ref="Y386:Y449" si="19">IF(U386&gt;0,"Profit",IF(U386&lt;0,"Loss","Break-even"))</f>
        <v>Loss</v>
      </c>
      <c r="Z386" t="str">
        <f t="shared" ref="Z386:Z449" si="20">IF(T386=0,"No Discount",IF(T386&lt;=0.2,"Low",IF(T386&lt;=0.4,"Medium","High")))</f>
        <v>Medium</v>
      </c>
    </row>
    <row r="387" spans="1:26" x14ac:dyDescent="0.35">
      <c r="A387" s="1">
        <v>386</v>
      </c>
      <c r="B387" s="2" t="s">
        <v>1363</v>
      </c>
      <c r="C387" s="3">
        <v>45036</v>
      </c>
      <c r="D387" s="3">
        <v>45038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44.840000000000011</v>
      </c>
      <c r="S387" s="1">
        <v>5</v>
      </c>
      <c r="T387" s="1">
        <v>0.2</v>
      </c>
      <c r="U387" s="1">
        <v>5.6049999999999951</v>
      </c>
      <c r="V387">
        <f>YEAR(Table1[[#This Row],[Order Date]])</f>
        <v>2023</v>
      </c>
      <c r="W387" t="str">
        <f>TEXT(Table1[[#This Row],[Order Date]],"mmm")</f>
        <v>Apr</v>
      </c>
      <c r="X387">
        <f t="shared" si="18"/>
        <v>1.1209999999999991</v>
      </c>
      <c r="Y387" t="str">
        <f t="shared" si="19"/>
        <v>Profit</v>
      </c>
      <c r="Z387" t="str">
        <f t="shared" si="20"/>
        <v>Low</v>
      </c>
    </row>
    <row r="388" spans="1:26" x14ac:dyDescent="0.35">
      <c r="A388" s="1">
        <v>387</v>
      </c>
      <c r="B388" s="2" t="s">
        <v>1368</v>
      </c>
      <c r="C388" s="3">
        <v>45037</v>
      </c>
      <c r="D388" s="3">
        <v>45041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16.520000000000003</v>
      </c>
      <c r="S388" s="1">
        <v>5</v>
      </c>
      <c r="T388" s="1">
        <v>0.2</v>
      </c>
      <c r="U388" s="1">
        <v>5.5754999999999999</v>
      </c>
      <c r="V388">
        <f>YEAR(Table1[[#This Row],[Order Date]])</f>
        <v>2023</v>
      </c>
      <c r="W388" t="str">
        <f>TEXT(Table1[[#This Row],[Order Date]],"mmm")</f>
        <v>Apr</v>
      </c>
      <c r="X388">
        <f t="shared" si="18"/>
        <v>1.1151</v>
      </c>
      <c r="Y388" t="str">
        <f t="shared" si="19"/>
        <v>Profit</v>
      </c>
      <c r="Z388" t="str">
        <f t="shared" si="20"/>
        <v>Low</v>
      </c>
    </row>
    <row r="389" spans="1:26" x14ac:dyDescent="0.35">
      <c r="A389" s="1">
        <v>388</v>
      </c>
      <c r="B389" s="2" t="s">
        <v>1373</v>
      </c>
      <c r="C389" s="3">
        <v>45037</v>
      </c>
      <c r="D389" s="3">
        <v>45042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828.83999999999992</v>
      </c>
      <c r="S389" s="1">
        <v>6</v>
      </c>
      <c r="T389" s="1">
        <v>0</v>
      </c>
      <c r="U389" s="1">
        <v>0</v>
      </c>
      <c r="V389">
        <f>YEAR(Table1[[#This Row],[Order Date]])</f>
        <v>2023</v>
      </c>
      <c r="W389" t="str">
        <f>TEXT(Table1[[#This Row],[Order Date]],"mmm")</f>
        <v>Apr</v>
      </c>
      <c r="X389">
        <f t="shared" si="18"/>
        <v>0</v>
      </c>
      <c r="Y389" t="str">
        <f t="shared" si="19"/>
        <v>Break-even</v>
      </c>
      <c r="Z389" t="str">
        <f t="shared" si="20"/>
        <v>No Discount</v>
      </c>
    </row>
    <row r="390" spans="1:26" x14ac:dyDescent="0.35">
      <c r="A390" s="1">
        <v>389</v>
      </c>
      <c r="B390" s="2" t="s">
        <v>1378</v>
      </c>
      <c r="C390" s="3">
        <v>45038</v>
      </c>
      <c r="D390" s="3">
        <v>45040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9.9120000000000008</v>
      </c>
      <c r="S390" s="1">
        <v>3</v>
      </c>
      <c r="T390" s="1">
        <v>0.2</v>
      </c>
      <c r="U390" s="1">
        <v>3.3452999999999995</v>
      </c>
      <c r="V390">
        <f>YEAR(Table1[[#This Row],[Order Date]])</f>
        <v>2023</v>
      </c>
      <c r="W390" t="str">
        <f>TEXT(Table1[[#This Row],[Order Date]],"mmm")</f>
        <v>Apr</v>
      </c>
      <c r="X390">
        <f t="shared" si="18"/>
        <v>1.1150999999999998</v>
      </c>
      <c r="Y390" t="str">
        <f t="shared" si="19"/>
        <v>Profit</v>
      </c>
      <c r="Z390" t="str">
        <f t="shared" si="20"/>
        <v>Low</v>
      </c>
    </row>
    <row r="391" spans="1:26" x14ac:dyDescent="0.35">
      <c r="A391" s="1">
        <v>390</v>
      </c>
      <c r="B391" s="2" t="s">
        <v>1378</v>
      </c>
      <c r="C391" s="3">
        <v>45038</v>
      </c>
      <c r="D391" s="3">
        <v>45040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</v>
      </c>
      <c r="T391" s="1">
        <v>0</v>
      </c>
      <c r="U391" s="1">
        <v>121.44159999999999</v>
      </c>
      <c r="V391">
        <f>YEAR(Table1[[#This Row],[Order Date]])</f>
        <v>2023</v>
      </c>
      <c r="W391" t="str">
        <f>TEXT(Table1[[#This Row],[Order Date]],"mmm")</f>
        <v>Apr</v>
      </c>
      <c r="X391">
        <f t="shared" si="18"/>
        <v>15.180199999999999</v>
      </c>
      <c r="Y391" t="str">
        <f t="shared" si="19"/>
        <v>Profit</v>
      </c>
      <c r="Z391" t="str">
        <f t="shared" si="20"/>
        <v>No Discount</v>
      </c>
    </row>
    <row r="392" spans="1:26" x14ac:dyDescent="0.35">
      <c r="A392" s="1">
        <v>391</v>
      </c>
      <c r="B392" s="2" t="s">
        <v>1385</v>
      </c>
      <c r="C392" s="3">
        <v>45039</v>
      </c>
      <c r="D392" s="3">
        <v>45043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281.37199999999996</v>
      </c>
      <c r="S392" s="1">
        <v>2</v>
      </c>
      <c r="T392" s="1">
        <v>0.3</v>
      </c>
      <c r="U392" s="1">
        <v>-12.058799999999991</v>
      </c>
      <c r="V392">
        <f>YEAR(Table1[[#This Row],[Order Date]])</f>
        <v>2023</v>
      </c>
      <c r="W392" t="str">
        <f>TEXT(Table1[[#This Row],[Order Date]],"mmm")</f>
        <v>Apr</v>
      </c>
      <c r="X392">
        <f t="shared" si="18"/>
        <v>-6.0293999999999954</v>
      </c>
      <c r="Y392" t="str">
        <f t="shared" si="19"/>
        <v>Loss</v>
      </c>
      <c r="Z392" t="str">
        <f t="shared" si="20"/>
        <v>Medium</v>
      </c>
    </row>
    <row r="393" spans="1:26" x14ac:dyDescent="0.35">
      <c r="A393" s="1">
        <v>392</v>
      </c>
      <c r="B393" s="2" t="s">
        <v>1385</v>
      </c>
      <c r="C393" s="3">
        <v>45039</v>
      </c>
      <c r="D393" s="3">
        <v>45043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281.37199999999996</v>
      </c>
      <c r="S393" s="1">
        <v>2</v>
      </c>
      <c r="T393" s="1">
        <v>0.3</v>
      </c>
      <c r="U393" s="1">
        <v>-12.058799999999991</v>
      </c>
      <c r="V393">
        <f>YEAR(Table1[[#This Row],[Order Date]])</f>
        <v>2023</v>
      </c>
      <c r="W393" t="str">
        <f>TEXT(Table1[[#This Row],[Order Date]],"mmm")</f>
        <v>Apr</v>
      </c>
      <c r="X393">
        <f t="shared" si="18"/>
        <v>-6.0293999999999954</v>
      </c>
      <c r="Y393" t="str">
        <f t="shared" si="19"/>
        <v>Loss</v>
      </c>
      <c r="Z393" t="str">
        <f t="shared" si="20"/>
        <v>Medium</v>
      </c>
    </row>
    <row r="394" spans="1:26" x14ac:dyDescent="0.35">
      <c r="A394" s="1">
        <v>393</v>
      </c>
      <c r="B394" s="2" t="s">
        <v>1385</v>
      </c>
      <c r="C394" s="3">
        <v>45039</v>
      </c>
      <c r="D394" s="3">
        <v>45043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22.336000000000002</v>
      </c>
      <c r="S394" s="1">
        <v>4</v>
      </c>
      <c r="T394" s="1">
        <v>0.2</v>
      </c>
      <c r="U394" s="1">
        <v>7.8175999999999997</v>
      </c>
      <c r="V394">
        <f>YEAR(Table1[[#This Row],[Order Date]])</f>
        <v>2023</v>
      </c>
      <c r="W394" t="str">
        <f>TEXT(Table1[[#This Row],[Order Date]],"mmm")</f>
        <v>Apr</v>
      </c>
      <c r="X394">
        <f t="shared" si="18"/>
        <v>1.9543999999999999</v>
      </c>
      <c r="Y394" t="str">
        <f t="shared" si="19"/>
        <v>Profit</v>
      </c>
      <c r="Z394" t="str">
        <f t="shared" si="20"/>
        <v>Low</v>
      </c>
    </row>
    <row r="395" spans="1:26" x14ac:dyDescent="0.35">
      <c r="A395" s="1">
        <v>394</v>
      </c>
      <c r="B395" s="2" t="s">
        <v>1385</v>
      </c>
      <c r="C395" s="3">
        <v>45039</v>
      </c>
      <c r="D395" s="3">
        <v>45043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7.4880000000000013</v>
      </c>
      <c r="S395" s="1">
        <v>8</v>
      </c>
      <c r="T395" s="1">
        <v>0.7</v>
      </c>
      <c r="U395" s="1">
        <v>-5.2415999999999983</v>
      </c>
      <c r="V395">
        <f>YEAR(Table1[[#This Row],[Order Date]])</f>
        <v>2023</v>
      </c>
      <c r="W395" t="str">
        <f>TEXT(Table1[[#This Row],[Order Date]],"mmm")</f>
        <v>Apr</v>
      </c>
      <c r="X395">
        <f t="shared" si="18"/>
        <v>-0.65519999999999978</v>
      </c>
      <c r="Y395" t="str">
        <f t="shared" si="19"/>
        <v>Loss</v>
      </c>
      <c r="Z395" t="str">
        <f t="shared" si="20"/>
        <v>High</v>
      </c>
    </row>
    <row r="396" spans="1:26" x14ac:dyDescent="0.35">
      <c r="A396" s="1">
        <v>395</v>
      </c>
      <c r="B396" s="2" t="s">
        <v>1390</v>
      </c>
      <c r="C396" s="3">
        <v>45039</v>
      </c>
      <c r="D396" s="3">
        <v>45040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2.5020000000000002</v>
      </c>
      <c r="S396" s="1">
        <v>3</v>
      </c>
      <c r="T396" s="1">
        <v>0.7</v>
      </c>
      <c r="U396" s="1">
        <v>-1.7513999999999994</v>
      </c>
      <c r="V396">
        <f>YEAR(Table1[[#This Row],[Order Date]])</f>
        <v>2023</v>
      </c>
      <c r="W396" t="str">
        <f>TEXT(Table1[[#This Row],[Order Date]],"mmm")</f>
        <v>Apr</v>
      </c>
      <c r="X396">
        <f t="shared" si="18"/>
        <v>-0.58379999999999976</v>
      </c>
      <c r="Y396" t="str">
        <f t="shared" si="19"/>
        <v>Loss</v>
      </c>
      <c r="Z396" t="str">
        <f t="shared" si="20"/>
        <v>High</v>
      </c>
    </row>
    <row r="397" spans="1:26" x14ac:dyDescent="0.35">
      <c r="A397" s="1">
        <v>396</v>
      </c>
      <c r="B397" s="2" t="s">
        <v>1395</v>
      </c>
      <c r="C397" s="3">
        <v>45039</v>
      </c>
      <c r="D397" s="3">
        <v>45042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</v>
      </c>
      <c r="T397" s="1">
        <v>0</v>
      </c>
      <c r="U397" s="1">
        <v>22.987699999999997</v>
      </c>
      <c r="V397">
        <f>YEAR(Table1[[#This Row],[Order Date]])</f>
        <v>2023</v>
      </c>
      <c r="W397" t="str">
        <f>TEXT(Table1[[#This Row],[Order Date]],"mmm")</f>
        <v>Apr</v>
      </c>
      <c r="X397">
        <f t="shared" si="18"/>
        <v>22.987699999999997</v>
      </c>
      <c r="Y397" t="str">
        <f t="shared" si="19"/>
        <v>Profit</v>
      </c>
      <c r="Z397" t="str">
        <f t="shared" si="20"/>
        <v>No Discount</v>
      </c>
    </row>
    <row r="398" spans="1:26" x14ac:dyDescent="0.35">
      <c r="A398" s="1">
        <v>397</v>
      </c>
      <c r="B398" s="2" t="s">
        <v>1396</v>
      </c>
      <c r="C398" s="3">
        <v>45041</v>
      </c>
      <c r="D398" s="3">
        <v>45046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</v>
      </c>
      <c r="T398" s="1">
        <v>0.2</v>
      </c>
      <c r="U398" s="1">
        <v>148.70400000000006</v>
      </c>
      <c r="V398">
        <f>YEAR(Table1[[#This Row],[Order Date]])</f>
        <v>2023</v>
      </c>
      <c r="W398" t="str">
        <f>TEXT(Table1[[#This Row],[Order Date]],"mmm")</f>
        <v>Apr</v>
      </c>
      <c r="X398">
        <f t="shared" si="18"/>
        <v>29.740800000000014</v>
      </c>
      <c r="Y398" t="str">
        <f t="shared" si="19"/>
        <v>Profit</v>
      </c>
      <c r="Z398" t="str">
        <f t="shared" si="20"/>
        <v>Low</v>
      </c>
    </row>
    <row r="399" spans="1:26" x14ac:dyDescent="0.35">
      <c r="A399" s="1">
        <v>398</v>
      </c>
      <c r="B399" s="2" t="s">
        <v>1396</v>
      </c>
      <c r="C399" s="3">
        <v>45041</v>
      </c>
      <c r="D399" s="3">
        <v>45046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</v>
      </c>
      <c r="T399" s="1">
        <v>0</v>
      </c>
      <c r="U399" s="1">
        <v>63.682499999999997</v>
      </c>
      <c r="V399">
        <f>YEAR(Table1[[#This Row],[Order Date]])</f>
        <v>2023</v>
      </c>
      <c r="W399" t="str">
        <f>TEXT(Table1[[#This Row],[Order Date]],"mmm")</f>
        <v>Apr</v>
      </c>
      <c r="X399">
        <f t="shared" si="18"/>
        <v>12.736499999999999</v>
      </c>
      <c r="Y399" t="str">
        <f t="shared" si="19"/>
        <v>Profit</v>
      </c>
      <c r="Z399" t="str">
        <f t="shared" si="20"/>
        <v>No Discount</v>
      </c>
    </row>
    <row r="400" spans="1:26" x14ac:dyDescent="0.35">
      <c r="A400" s="1">
        <v>399</v>
      </c>
      <c r="B400" s="2" t="s">
        <v>1396</v>
      </c>
      <c r="C400" s="3">
        <v>45041</v>
      </c>
      <c r="D400" s="3">
        <v>45046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270.71999999999997</v>
      </c>
      <c r="S400" s="1">
        <v>3</v>
      </c>
      <c r="T400" s="1">
        <v>0</v>
      </c>
      <c r="U400" s="1">
        <v>78.508799999999965</v>
      </c>
      <c r="V400">
        <f>YEAR(Table1[[#This Row],[Order Date]])</f>
        <v>2023</v>
      </c>
      <c r="W400" t="str">
        <f>TEXT(Table1[[#This Row],[Order Date]],"mmm")</f>
        <v>Apr</v>
      </c>
      <c r="X400">
        <f t="shared" si="18"/>
        <v>26.169599999999988</v>
      </c>
      <c r="Y400" t="str">
        <f t="shared" si="19"/>
        <v>Profit</v>
      </c>
      <c r="Z400" t="str">
        <f t="shared" si="20"/>
        <v>No Discount</v>
      </c>
    </row>
    <row r="401" spans="1:26" x14ac:dyDescent="0.35">
      <c r="A401" s="1">
        <v>400</v>
      </c>
      <c r="B401" s="2" t="s">
        <v>1406</v>
      </c>
      <c r="C401" s="3">
        <v>45041</v>
      </c>
      <c r="D401" s="3">
        <v>45045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</v>
      </c>
      <c r="T401" s="1">
        <v>0.2</v>
      </c>
      <c r="U401" s="1">
        <v>0.54600000000000071</v>
      </c>
      <c r="V401">
        <f>YEAR(Table1[[#This Row],[Order Date]])</f>
        <v>2023</v>
      </c>
      <c r="W401" t="str">
        <f>TEXT(Table1[[#This Row],[Order Date]],"mmm")</f>
        <v>Apr</v>
      </c>
      <c r="X401">
        <f t="shared" si="18"/>
        <v>0.18200000000000024</v>
      </c>
      <c r="Y401" t="str">
        <f t="shared" si="19"/>
        <v>Profit</v>
      </c>
      <c r="Z401" t="str">
        <f t="shared" si="20"/>
        <v>Low</v>
      </c>
    </row>
    <row r="402" spans="1:26" x14ac:dyDescent="0.35">
      <c r="A402" s="1">
        <v>401</v>
      </c>
      <c r="B402" s="2" t="s">
        <v>1406</v>
      </c>
      <c r="C402" s="3">
        <v>45041</v>
      </c>
      <c r="D402" s="3">
        <v>45045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10.368000000000002</v>
      </c>
      <c r="S402" s="1">
        <v>2</v>
      </c>
      <c r="T402" s="1">
        <v>0.2</v>
      </c>
      <c r="U402" s="1">
        <v>3.6288</v>
      </c>
      <c r="V402">
        <f>YEAR(Table1[[#This Row],[Order Date]])</f>
        <v>2023</v>
      </c>
      <c r="W402" t="str">
        <f>TEXT(Table1[[#This Row],[Order Date]],"mmm")</f>
        <v>Apr</v>
      </c>
      <c r="X402">
        <f t="shared" si="18"/>
        <v>1.8144</v>
      </c>
      <c r="Y402" t="str">
        <f t="shared" si="19"/>
        <v>Profit</v>
      </c>
      <c r="Z402" t="str">
        <f t="shared" si="20"/>
        <v>Low</v>
      </c>
    </row>
    <row r="403" spans="1:26" x14ac:dyDescent="0.35">
      <c r="A403" s="1">
        <v>402</v>
      </c>
      <c r="B403" s="2" t="s">
        <v>1413</v>
      </c>
      <c r="C403" s="3">
        <v>45041</v>
      </c>
      <c r="D403" s="3">
        <v>45045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>
        <f>YEAR(Table1[[#This Row],[Order Date]])</f>
        <v>2023</v>
      </c>
      <c r="W403" t="str">
        <f>TEXT(Table1[[#This Row],[Order Date]],"mmm")</f>
        <v>Apr</v>
      </c>
      <c r="X403">
        <f t="shared" si="18"/>
        <v>12.598999999999998</v>
      </c>
      <c r="Y403" t="str">
        <f t="shared" si="19"/>
        <v>Profit</v>
      </c>
      <c r="Z403" t="str">
        <f t="shared" si="20"/>
        <v>Low</v>
      </c>
    </row>
    <row r="404" spans="1:26" x14ac:dyDescent="0.35">
      <c r="A404" s="1">
        <v>403</v>
      </c>
      <c r="B404" s="2" t="s">
        <v>1418</v>
      </c>
      <c r="C404" s="3">
        <v>45042</v>
      </c>
      <c r="D404" s="3">
        <v>45049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230.28000000000003</v>
      </c>
      <c r="S404" s="1">
        <v>3</v>
      </c>
      <c r="T404" s="1">
        <v>0.2</v>
      </c>
      <c r="U404" s="1">
        <v>23.027999999999992</v>
      </c>
      <c r="V404">
        <f>YEAR(Table1[[#This Row],[Order Date]])</f>
        <v>2023</v>
      </c>
      <c r="W404" t="str">
        <f>TEXT(Table1[[#This Row],[Order Date]],"mmm")</f>
        <v>Apr</v>
      </c>
      <c r="X404">
        <f t="shared" si="18"/>
        <v>7.6759999999999975</v>
      </c>
      <c r="Y404" t="str">
        <f t="shared" si="19"/>
        <v>Profit</v>
      </c>
      <c r="Z404" t="str">
        <f t="shared" si="20"/>
        <v>Low</v>
      </c>
    </row>
    <row r="405" spans="1:26" x14ac:dyDescent="0.35">
      <c r="A405" s="1">
        <v>404</v>
      </c>
      <c r="B405" s="2" t="s">
        <v>1423</v>
      </c>
      <c r="C405" s="3">
        <v>45042</v>
      </c>
      <c r="D405" s="3">
        <v>45046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21.400000000000002</v>
      </c>
      <c r="S405" s="1">
        <v>5</v>
      </c>
      <c r="T405" s="1">
        <v>0</v>
      </c>
      <c r="U405" s="1">
        <v>6.2059999999999977</v>
      </c>
      <c r="V405">
        <f>YEAR(Table1[[#This Row],[Order Date]])</f>
        <v>2023</v>
      </c>
      <c r="W405" t="str">
        <f>TEXT(Table1[[#This Row],[Order Date]],"mmm")</f>
        <v>Apr</v>
      </c>
      <c r="X405">
        <f t="shared" si="18"/>
        <v>1.2411999999999996</v>
      </c>
      <c r="Y405" t="str">
        <f t="shared" si="19"/>
        <v>Profit</v>
      </c>
      <c r="Z405" t="str">
        <f t="shared" si="20"/>
        <v>No Discount</v>
      </c>
    </row>
    <row r="406" spans="1:26" x14ac:dyDescent="0.35">
      <c r="A406" s="1">
        <v>405</v>
      </c>
      <c r="B406" s="2" t="s">
        <v>1418</v>
      </c>
      <c r="C406" s="3">
        <v>45042</v>
      </c>
      <c r="D406" s="3">
        <v>45049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</v>
      </c>
      <c r="T406" s="1">
        <v>0.2</v>
      </c>
      <c r="U406" s="1">
        <v>5.714999999999999</v>
      </c>
      <c r="V406">
        <f>YEAR(Table1[[#This Row],[Order Date]])</f>
        <v>2023</v>
      </c>
      <c r="W406" t="str">
        <f>TEXT(Table1[[#This Row],[Order Date]],"mmm")</f>
        <v>Apr</v>
      </c>
      <c r="X406">
        <f t="shared" si="18"/>
        <v>0.95249999999999979</v>
      </c>
      <c r="Y406" t="str">
        <f t="shared" si="19"/>
        <v>Profit</v>
      </c>
      <c r="Z406" t="str">
        <f t="shared" si="20"/>
        <v>Low</v>
      </c>
    </row>
    <row r="407" spans="1:26" x14ac:dyDescent="0.35">
      <c r="A407" s="1">
        <v>406</v>
      </c>
      <c r="B407" s="2" t="s">
        <v>1423</v>
      </c>
      <c r="C407" s="3">
        <v>45042</v>
      </c>
      <c r="D407" s="3">
        <v>45046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</v>
      </c>
      <c r="T407" s="1">
        <v>0</v>
      </c>
      <c r="U407" s="1">
        <v>5.7959999999999994</v>
      </c>
      <c r="V407">
        <f>YEAR(Table1[[#This Row],[Order Date]])</f>
        <v>2023</v>
      </c>
      <c r="W407" t="str">
        <f>TEXT(Table1[[#This Row],[Order Date]],"mmm")</f>
        <v>Apr</v>
      </c>
      <c r="X407">
        <f t="shared" si="18"/>
        <v>2.8979999999999997</v>
      </c>
      <c r="Y407" t="str">
        <f t="shared" si="19"/>
        <v>Profit</v>
      </c>
      <c r="Z407" t="str">
        <f t="shared" si="20"/>
        <v>No Discount</v>
      </c>
    </row>
    <row r="408" spans="1:26" x14ac:dyDescent="0.35">
      <c r="A408" s="1">
        <v>407</v>
      </c>
      <c r="B408" s="2" t="s">
        <v>1430</v>
      </c>
      <c r="C408" s="3">
        <v>45044</v>
      </c>
      <c r="D408" s="3">
        <v>45049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</v>
      </c>
      <c r="T408" s="1">
        <v>0</v>
      </c>
      <c r="U408" s="1">
        <v>1.4952000000000001</v>
      </c>
      <c r="V408">
        <f>YEAR(Table1[[#This Row],[Order Date]])</f>
        <v>2023</v>
      </c>
      <c r="W408" t="str">
        <f>TEXT(Table1[[#This Row],[Order Date]],"mmm")</f>
        <v>Apr</v>
      </c>
      <c r="X408">
        <f t="shared" si="18"/>
        <v>0.74760000000000004</v>
      </c>
      <c r="Y408" t="str">
        <f t="shared" si="19"/>
        <v>Profit</v>
      </c>
      <c r="Z408" t="str">
        <f t="shared" si="20"/>
        <v>No Discount</v>
      </c>
    </row>
    <row r="409" spans="1:26" x14ac:dyDescent="0.35">
      <c r="A409" s="1">
        <v>408</v>
      </c>
      <c r="B409" s="2" t="s">
        <v>1430</v>
      </c>
      <c r="C409" s="3">
        <v>45044</v>
      </c>
      <c r="D409" s="3">
        <v>45049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</v>
      </c>
      <c r="T409" s="1">
        <v>0</v>
      </c>
      <c r="U409" s="1">
        <v>9.3869999999999987</v>
      </c>
      <c r="V409">
        <f>YEAR(Table1[[#This Row],[Order Date]])</f>
        <v>2023</v>
      </c>
      <c r="W409" t="str">
        <f>TEXT(Table1[[#This Row],[Order Date]],"mmm")</f>
        <v>Apr</v>
      </c>
      <c r="X409">
        <f t="shared" si="18"/>
        <v>4.6934999999999993</v>
      </c>
      <c r="Y409" t="str">
        <f t="shared" si="19"/>
        <v>Profit</v>
      </c>
      <c r="Z409" t="str">
        <f t="shared" si="20"/>
        <v>No Discount</v>
      </c>
    </row>
    <row r="410" spans="1:26" x14ac:dyDescent="0.35">
      <c r="A410" s="1">
        <v>409</v>
      </c>
      <c r="B410" s="2" t="s">
        <v>1430</v>
      </c>
      <c r="C410" s="3">
        <v>45044</v>
      </c>
      <c r="D410" s="3">
        <v>45049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</v>
      </c>
      <c r="T410" s="1">
        <v>0</v>
      </c>
      <c r="U410" s="1">
        <v>1.512</v>
      </c>
      <c r="V410">
        <f>YEAR(Table1[[#This Row],[Order Date]])</f>
        <v>2023</v>
      </c>
      <c r="W410" t="str">
        <f>TEXT(Table1[[#This Row],[Order Date]],"mmm")</f>
        <v>Apr</v>
      </c>
      <c r="X410">
        <f t="shared" si="18"/>
        <v>1.512</v>
      </c>
      <c r="Y410" t="str">
        <f t="shared" si="19"/>
        <v>Profit</v>
      </c>
      <c r="Z410" t="str">
        <f t="shared" si="20"/>
        <v>No Discount</v>
      </c>
    </row>
    <row r="411" spans="1:26" x14ac:dyDescent="0.35">
      <c r="A411" s="1">
        <v>410</v>
      </c>
      <c r="B411" s="2" t="s">
        <v>1439</v>
      </c>
      <c r="C411" s="3">
        <v>45044</v>
      </c>
      <c r="D411" s="3">
        <v>45049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6.911999999999999</v>
      </c>
      <c r="S411" s="1">
        <v>3</v>
      </c>
      <c r="T411" s="1">
        <v>0.2</v>
      </c>
      <c r="U411" s="1">
        <v>2.5056000000000003</v>
      </c>
      <c r="V411">
        <f>YEAR(Table1[[#This Row],[Order Date]])</f>
        <v>2023</v>
      </c>
      <c r="W411" t="str">
        <f>TEXT(Table1[[#This Row],[Order Date]],"mmm")</f>
        <v>Apr</v>
      </c>
      <c r="X411">
        <f t="shared" si="18"/>
        <v>0.83520000000000005</v>
      </c>
      <c r="Y411" t="str">
        <f t="shared" si="19"/>
        <v>Profit</v>
      </c>
      <c r="Z411" t="str">
        <f t="shared" si="20"/>
        <v>Low</v>
      </c>
    </row>
    <row r="412" spans="1:26" x14ac:dyDescent="0.35">
      <c r="A412" s="1">
        <v>411</v>
      </c>
      <c r="B412" s="2" t="s">
        <v>1430</v>
      </c>
      <c r="C412" s="3">
        <v>45044</v>
      </c>
      <c r="D412" s="3">
        <v>45049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</v>
      </c>
      <c r="T412" s="1">
        <v>0</v>
      </c>
      <c r="U412" s="1">
        <v>129.37860000000001</v>
      </c>
      <c r="V412">
        <f>YEAR(Table1[[#This Row],[Order Date]])</f>
        <v>2023</v>
      </c>
      <c r="W412" t="str">
        <f>TEXT(Table1[[#This Row],[Order Date]],"mmm")</f>
        <v>Apr</v>
      </c>
      <c r="X412">
        <f t="shared" si="18"/>
        <v>14.375400000000001</v>
      </c>
      <c r="Y412" t="str">
        <f t="shared" si="19"/>
        <v>Profit</v>
      </c>
      <c r="Z412" t="str">
        <f t="shared" si="20"/>
        <v>No Discount</v>
      </c>
    </row>
    <row r="413" spans="1:26" x14ac:dyDescent="0.35">
      <c r="A413" s="1">
        <v>412</v>
      </c>
      <c r="B413" s="2" t="s">
        <v>1439</v>
      </c>
      <c r="C413" s="3">
        <v>45044</v>
      </c>
      <c r="D413" s="3">
        <v>45049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177.56800000000001</v>
      </c>
      <c r="S413" s="1">
        <v>2</v>
      </c>
      <c r="T413" s="1">
        <v>0.2</v>
      </c>
      <c r="U413" s="1">
        <v>-37.733199999999989</v>
      </c>
      <c r="V413">
        <f>YEAR(Table1[[#This Row],[Order Date]])</f>
        <v>2023</v>
      </c>
      <c r="W413" t="str">
        <f>TEXT(Table1[[#This Row],[Order Date]],"mmm")</f>
        <v>Apr</v>
      </c>
      <c r="X413">
        <f t="shared" si="18"/>
        <v>-18.866599999999995</v>
      </c>
      <c r="Y413" t="str">
        <f t="shared" si="19"/>
        <v>Loss</v>
      </c>
      <c r="Z413" t="str">
        <f t="shared" si="20"/>
        <v>Low</v>
      </c>
    </row>
    <row r="414" spans="1:26" x14ac:dyDescent="0.35">
      <c r="A414" s="1">
        <v>413</v>
      </c>
      <c r="B414" s="2" t="s">
        <v>1439</v>
      </c>
      <c r="C414" s="3">
        <v>45044</v>
      </c>
      <c r="D414" s="3">
        <v>45049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</v>
      </c>
      <c r="T414" s="1">
        <v>0.2</v>
      </c>
      <c r="U414" s="1">
        <v>2.0321999999999987</v>
      </c>
      <c r="V414">
        <f>YEAR(Table1[[#This Row],[Order Date]])</f>
        <v>2023</v>
      </c>
      <c r="W414" t="str">
        <f>TEXT(Table1[[#This Row],[Order Date]],"mmm")</f>
        <v>Apr</v>
      </c>
      <c r="X414">
        <f t="shared" si="18"/>
        <v>0.67739999999999956</v>
      </c>
      <c r="Y414" t="str">
        <f t="shared" si="19"/>
        <v>Profit</v>
      </c>
      <c r="Z414" t="str">
        <f t="shared" si="20"/>
        <v>Low</v>
      </c>
    </row>
    <row r="415" spans="1:26" x14ac:dyDescent="0.35">
      <c r="A415" s="1">
        <v>414</v>
      </c>
      <c r="B415" s="2" t="s">
        <v>1450</v>
      </c>
      <c r="C415" s="3">
        <v>45044</v>
      </c>
      <c r="D415" s="3">
        <v>45049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  <c r="V415">
        <f>YEAR(Table1[[#This Row],[Order Date]])</f>
        <v>2023</v>
      </c>
      <c r="W415" t="str">
        <f>TEXT(Table1[[#This Row],[Order Date]],"mmm")</f>
        <v>Apr</v>
      </c>
      <c r="X415">
        <f t="shared" si="18"/>
        <v>28.796399999999998</v>
      </c>
      <c r="Y415" t="str">
        <f t="shared" si="19"/>
        <v>Profit</v>
      </c>
      <c r="Z415" t="str">
        <f t="shared" si="20"/>
        <v>No Discount</v>
      </c>
    </row>
    <row r="416" spans="1:26" x14ac:dyDescent="0.35">
      <c r="A416" s="1">
        <v>415</v>
      </c>
      <c r="B416" s="2" t="s">
        <v>1454</v>
      </c>
      <c r="C416" s="3">
        <v>45044</v>
      </c>
      <c r="D416" s="3">
        <v>45046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</v>
      </c>
      <c r="T416" s="1">
        <v>0.2</v>
      </c>
      <c r="U416" s="1">
        <v>125.99700000000007</v>
      </c>
      <c r="V416">
        <f>YEAR(Table1[[#This Row],[Order Date]])</f>
        <v>2023</v>
      </c>
      <c r="W416" t="str">
        <f>TEXT(Table1[[#This Row],[Order Date]],"mmm")</f>
        <v>Apr</v>
      </c>
      <c r="X416">
        <f t="shared" si="18"/>
        <v>25.199400000000015</v>
      </c>
      <c r="Y416" t="str">
        <f t="shared" si="19"/>
        <v>Profit</v>
      </c>
      <c r="Z416" t="str">
        <f t="shared" si="20"/>
        <v>Low</v>
      </c>
    </row>
    <row r="417" spans="1:26" x14ac:dyDescent="0.35">
      <c r="A417" s="1">
        <v>416</v>
      </c>
      <c r="B417" s="2" t="s">
        <v>1459</v>
      </c>
      <c r="C417" s="3">
        <v>45045</v>
      </c>
      <c r="D417" s="3">
        <v>45049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561.58400000000006</v>
      </c>
      <c r="S417" s="1">
        <v>2</v>
      </c>
      <c r="T417" s="1">
        <v>0.2</v>
      </c>
      <c r="U417" s="1">
        <v>70.197999999999922</v>
      </c>
      <c r="V417">
        <f>YEAR(Table1[[#This Row],[Order Date]])</f>
        <v>2023</v>
      </c>
      <c r="W417" t="str">
        <f>TEXT(Table1[[#This Row],[Order Date]],"mmm")</f>
        <v>Apr</v>
      </c>
      <c r="X417">
        <f t="shared" si="18"/>
        <v>35.098999999999961</v>
      </c>
      <c r="Y417" t="str">
        <f t="shared" si="19"/>
        <v>Profit</v>
      </c>
      <c r="Z417" t="str">
        <f t="shared" si="20"/>
        <v>Low</v>
      </c>
    </row>
    <row r="418" spans="1:26" x14ac:dyDescent="0.35">
      <c r="A418" s="1">
        <v>417</v>
      </c>
      <c r="B418" s="2" t="s">
        <v>1465</v>
      </c>
      <c r="C418" s="3">
        <v>45045</v>
      </c>
      <c r="D418" s="3">
        <v>45047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</v>
      </c>
      <c r="T418" s="1">
        <v>0</v>
      </c>
      <c r="U418" s="1">
        <v>12.990000000000002</v>
      </c>
      <c r="V418">
        <f>YEAR(Table1[[#This Row],[Order Date]])</f>
        <v>2023</v>
      </c>
      <c r="W418" t="str">
        <f>TEXT(Table1[[#This Row],[Order Date]],"mmm")</f>
        <v>Apr</v>
      </c>
      <c r="X418">
        <f t="shared" si="18"/>
        <v>6.495000000000001</v>
      </c>
      <c r="Y418" t="str">
        <f t="shared" si="19"/>
        <v>Profit</v>
      </c>
      <c r="Z418" t="str">
        <f t="shared" si="20"/>
        <v>No Discount</v>
      </c>
    </row>
    <row r="419" spans="1:26" x14ac:dyDescent="0.35">
      <c r="A419" s="1">
        <v>418</v>
      </c>
      <c r="B419" s="2" t="s">
        <v>1469</v>
      </c>
      <c r="C419" s="3">
        <v>45045</v>
      </c>
      <c r="D419" s="3">
        <v>45050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</v>
      </c>
      <c r="T419" s="1">
        <v>0</v>
      </c>
      <c r="U419" s="1">
        <v>5.936399999999999</v>
      </c>
      <c r="V419">
        <f>YEAR(Table1[[#This Row],[Order Date]])</f>
        <v>2023</v>
      </c>
      <c r="W419" t="str">
        <f>TEXT(Table1[[#This Row],[Order Date]],"mmm")</f>
        <v>Apr</v>
      </c>
      <c r="X419">
        <f t="shared" si="18"/>
        <v>2.9681999999999995</v>
      </c>
      <c r="Y419" t="str">
        <f t="shared" si="19"/>
        <v>Profit</v>
      </c>
      <c r="Z419" t="str">
        <f t="shared" si="20"/>
        <v>No Discount</v>
      </c>
    </row>
    <row r="420" spans="1:26" x14ac:dyDescent="0.35">
      <c r="A420" s="1">
        <v>419</v>
      </c>
      <c r="B420" s="2" t="s">
        <v>1465</v>
      </c>
      <c r="C420" s="3">
        <v>45045</v>
      </c>
      <c r="D420" s="3">
        <v>45047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  <c r="V420">
        <f>YEAR(Table1[[#This Row],[Order Date]])</f>
        <v>2023</v>
      </c>
      <c r="W420" t="str">
        <f>TEXT(Table1[[#This Row],[Order Date]],"mmm")</f>
        <v>Apr</v>
      </c>
      <c r="X420">
        <f t="shared" si="18"/>
        <v>2.8704000000000001</v>
      </c>
      <c r="Y420" t="str">
        <f t="shared" si="19"/>
        <v>Profit</v>
      </c>
      <c r="Z420" t="str">
        <f t="shared" si="20"/>
        <v>No Discount</v>
      </c>
    </row>
    <row r="421" spans="1:26" x14ac:dyDescent="0.35">
      <c r="A421" s="1">
        <v>420</v>
      </c>
      <c r="B421" s="2" t="s">
        <v>1459</v>
      </c>
      <c r="C421" s="3">
        <v>45045</v>
      </c>
      <c r="D421" s="3">
        <v>45049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99.920000000000016</v>
      </c>
      <c r="S421" s="1">
        <v>5</v>
      </c>
      <c r="T421" s="1">
        <v>0.2</v>
      </c>
      <c r="U421" s="1">
        <v>-1.249000000000013</v>
      </c>
      <c r="V421">
        <f>YEAR(Table1[[#This Row],[Order Date]])</f>
        <v>2023</v>
      </c>
      <c r="W421" t="str">
        <f>TEXT(Table1[[#This Row],[Order Date]],"mmm")</f>
        <v>Apr</v>
      </c>
      <c r="X421">
        <f t="shared" si="18"/>
        <v>-0.2498000000000026</v>
      </c>
      <c r="Y421" t="str">
        <f t="shared" si="19"/>
        <v>Loss</v>
      </c>
      <c r="Z421" t="str">
        <f t="shared" si="20"/>
        <v>Low</v>
      </c>
    </row>
    <row r="422" spans="1:26" x14ac:dyDescent="0.35">
      <c r="A422" s="1">
        <v>421</v>
      </c>
      <c r="B422" s="2" t="s">
        <v>1477</v>
      </c>
      <c r="C422" s="3">
        <v>45045</v>
      </c>
      <c r="D422" s="3">
        <v>45050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</v>
      </c>
      <c r="T422" s="1">
        <v>0</v>
      </c>
      <c r="U422" s="1">
        <v>5.1948000000000008</v>
      </c>
      <c r="V422">
        <f>YEAR(Table1[[#This Row],[Order Date]])</f>
        <v>2023</v>
      </c>
      <c r="W422" t="str">
        <f>TEXT(Table1[[#This Row],[Order Date]],"mmm")</f>
        <v>Apr</v>
      </c>
      <c r="X422">
        <f t="shared" si="18"/>
        <v>2.5974000000000004</v>
      </c>
      <c r="Y422" t="str">
        <f t="shared" si="19"/>
        <v>Profit</v>
      </c>
      <c r="Z422" t="str">
        <f t="shared" si="20"/>
        <v>No Discount</v>
      </c>
    </row>
    <row r="423" spans="1:26" x14ac:dyDescent="0.35">
      <c r="A423" s="1">
        <v>422</v>
      </c>
      <c r="B423" s="2" t="s">
        <v>1482</v>
      </c>
      <c r="C423" s="3">
        <v>45046</v>
      </c>
      <c r="D423" s="3">
        <v>45048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174.95000000000002</v>
      </c>
      <c r="S423" s="1">
        <v>5</v>
      </c>
      <c r="T423" s="1">
        <v>0</v>
      </c>
      <c r="U423" s="1">
        <v>45.487000000000002</v>
      </c>
      <c r="V423">
        <f>YEAR(Table1[[#This Row],[Order Date]])</f>
        <v>2023</v>
      </c>
      <c r="W423" t="str">
        <f>TEXT(Table1[[#This Row],[Order Date]],"mmm")</f>
        <v>Apr</v>
      </c>
      <c r="X423">
        <f t="shared" si="18"/>
        <v>9.0974000000000004</v>
      </c>
      <c r="Y423" t="str">
        <f t="shared" si="19"/>
        <v>Profit</v>
      </c>
      <c r="Z423" t="str">
        <f t="shared" si="20"/>
        <v>No Discount</v>
      </c>
    </row>
    <row r="424" spans="1:26" x14ac:dyDescent="0.35">
      <c r="A424" s="1">
        <v>423</v>
      </c>
      <c r="B424" s="2" t="s">
        <v>1482</v>
      </c>
      <c r="C424" s="3">
        <v>45046</v>
      </c>
      <c r="D424" s="3">
        <v>45048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</v>
      </c>
      <c r="S424" s="1">
        <v>5</v>
      </c>
      <c r="T424" s="1">
        <v>0</v>
      </c>
      <c r="U424" s="1">
        <v>214.76</v>
      </c>
      <c r="V424">
        <f>YEAR(Table1[[#This Row],[Order Date]])</f>
        <v>2023</v>
      </c>
      <c r="W424" t="str">
        <f>TEXT(Table1[[#This Row],[Order Date]],"mmm")</f>
        <v>Apr</v>
      </c>
      <c r="X424">
        <f t="shared" si="18"/>
        <v>42.951999999999998</v>
      </c>
      <c r="Y424" t="str">
        <f t="shared" si="19"/>
        <v>Profit</v>
      </c>
      <c r="Z424" t="str">
        <f t="shared" si="20"/>
        <v>No Discount</v>
      </c>
    </row>
    <row r="425" spans="1:26" x14ac:dyDescent="0.35">
      <c r="A425" s="1">
        <v>424</v>
      </c>
      <c r="B425" s="2" t="s">
        <v>1488</v>
      </c>
      <c r="C425" s="3">
        <v>45046</v>
      </c>
      <c r="D425" s="3">
        <v>45048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</v>
      </c>
      <c r="T425" s="1">
        <v>0</v>
      </c>
      <c r="U425" s="1">
        <v>16.2486</v>
      </c>
      <c r="V425">
        <f>YEAR(Table1[[#This Row],[Order Date]])</f>
        <v>2023</v>
      </c>
      <c r="W425" t="str">
        <f>TEXT(Table1[[#This Row],[Order Date]],"mmm")</f>
        <v>Apr</v>
      </c>
      <c r="X425">
        <f t="shared" si="18"/>
        <v>5.4161999999999999</v>
      </c>
      <c r="Y425" t="str">
        <f t="shared" si="19"/>
        <v>Profit</v>
      </c>
      <c r="Z425" t="str">
        <f t="shared" si="20"/>
        <v>No Discount</v>
      </c>
    </row>
    <row r="426" spans="1:26" x14ac:dyDescent="0.35">
      <c r="A426" s="1">
        <v>425</v>
      </c>
      <c r="B426" s="2" t="s">
        <v>1491</v>
      </c>
      <c r="C426" s="3">
        <v>45048</v>
      </c>
      <c r="D426" s="3">
        <v>45048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26.136000000000003</v>
      </c>
      <c r="S426" s="1">
        <v>3</v>
      </c>
      <c r="T426" s="1">
        <v>0.2</v>
      </c>
      <c r="U426" s="1">
        <v>1.9602000000000004</v>
      </c>
      <c r="V426">
        <f>YEAR(Table1[[#This Row],[Order Date]])</f>
        <v>2023</v>
      </c>
      <c r="W426" t="str">
        <f>TEXT(Table1[[#This Row],[Order Date]],"mmm")</f>
        <v>May</v>
      </c>
      <c r="X426">
        <f t="shared" si="18"/>
        <v>0.65340000000000009</v>
      </c>
      <c r="Y426" t="str">
        <f t="shared" si="19"/>
        <v>Profit</v>
      </c>
      <c r="Z426" t="str">
        <f t="shared" si="20"/>
        <v>Low</v>
      </c>
    </row>
    <row r="427" spans="1:26" x14ac:dyDescent="0.35">
      <c r="A427" s="1">
        <v>426</v>
      </c>
      <c r="B427" s="2" t="s">
        <v>1494</v>
      </c>
      <c r="C427" s="3">
        <v>45048</v>
      </c>
      <c r="D427" s="3">
        <v>45050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479.98400000000004</v>
      </c>
      <c r="S427" s="1">
        <v>2</v>
      </c>
      <c r="T427" s="1">
        <v>0.2</v>
      </c>
      <c r="U427" s="1">
        <v>89.996999999999986</v>
      </c>
      <c r="V427">
        <f>YEAR(Table1[[#This Row],[Order Date]])</f>
        <v>2023</v>
      </c>
      <c r="W427" t="str">
        <f>TEXT(Table1[[#This Row],[Order Date]],"mmm")</f>
        <v>May</v>
      </c>
      <c r="X427">
        <f t="shared" si="18"/>
        <v>44.998499999999993</v>
      </c>
      <c r="Y427" t="str">
        <f t="shared" si="19"/>
        <v>Profit</v>
      </c>
      <c r="Z427" t="str">
        <f t="shared" si="20"/>
        <v>Low</v>
      </c>
    </row>
    <row r="428" spans="1:26" x14ac:dyDescent="0.35">
      <c r="A428" s="1">
        <v>427</v>
      </c>
      <c r="B428" s="2" t="s">
        <v>1500</v>
      </c>
      <c r="C428" s="3">
        <v>45049</v>
      </c>
      <c r="D428" s="3">
        <v>45056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10.896000000000001</v>
      </c>
      <c r="S428" s="1">
        <v>3</v>
      </c>
      <c r="T428" s="1">
        <v>0.2</v>
      </c>
      <c r="U428" s="1">
        <v>3.9497999999999998</v>
      </c>
      <c r="V428">
        <f>YEAR(Table1[[#This Row],[Order Date]])</f>
        <v>2023</v>
      </c>
      <c r="W428" t="str">
        <f>TEXT(Table1[[#This Row],[Order Date]],"mmm")</f>
        <v>May</v>
      </c>
      <c r="X428">
        <f t="shared" si="18"/>
        <v>1.3166</v>
      </c>
      <c r="Y428" t="str">
        <f t="shared" si="19"/>
        <v>Profit</v>
      </c>
      <c r="Z428" t="str">
        <f t="shared" si="20"/>
        <v>Low</v>
      </c>
    </row>
    <row r="429" spans="1:26" x14ac:dyDescent="0.35">
      <c r="A429" s="1">
        <v>428</v>
      </c>
      <c r="B429" s="2" t="s">
        <v>1500</v>
      </c>
      <c r="C429" s="3">
        <v>45049</v>
      </c>
      <c r="D429" s="3">
        <v>45056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40.176000000000002</v>
      </c>
      <c r="S429" s="1">
        <v>3</v>
      </c>
      <c r="T429" s="1">
        <v>0.2</v>
      </c>
      <c r="U429" s="1">
        <v>14.563799999999997</v>
      </c>
      <c r="V429">
        <f>YEAR(Table1[[#This Row],[Order Date]])</f>
        <v>2023</v>
      </c>
      <c r="W429" t="str">
        <f>TEXT(Table1[[#This Row],[Order Date]],"mmm")</f>
        <v>May</v>
      </c>
      <c r="X429">
        <f t="shared" si="18"/>
        <v>4.8545999999999987</v>
      </c>
      <c r="Y429" t="str">
        <f t="shared" si="19"/>
        <v>Profit</v>
      </c>
      <c r="Z429" t="str">
        <f t="shared" si="20"/>
        <v>Low</v>
      </c>
    </row>
    <row r="430" spans="1:26" x14ac:dyDescent="0.35">
      <c r="A430" s="1">
        <v>429</v>
      </c>
      <c r="B430" s="2" t="s">
        <v>1507</v>
      </c>
      <c r="C430" s="3">
        <v>45049</v>
      </c>
      <c r="D430" s="3">
        <v>45051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21.560000000000002</v>
      </c>
      <c r="S430" s="1">
        <v>7</v>
      </c>
      <c r="T430" s="1">
        <v>0</v>
      </c>
      <c r="U430" s="1">
        <v>10.348799999999999</v>
      </c>
      <c r="V430">
        <f>YEAR(Table1[[#This Row],[Order Date]])</f>
        <v>2023</v>
      </c>
      <c r="W430" t="str">
        <f>TEXT(Table1[[#This Row],[Order Date]],"mmm")</f>
        <v>May</v>
      </c>
      <c r="X430">
        <f t="shared" si="18"/>
        <v>1.4783999999999999</v>
      </c>
      <c r="Y430" t="str">
        <f t="shared" si="19"/>
        <v>Profit</v>
      </c>
      <c r="Z430" t="str">
        <f t="shared" si="20"/>
        <v>No Discount</v>
      </c>
    </row>
    <row r="431" spans="1:26" x14ac:dyDescent="0.35">
      <c r="A431" s="1">
        <v>430</v>
      </c>
      <c r="B431" s="2" t="s">
        <v>1513</v>
      </c>
      <c r="C431" s="3">
        <v>45050</v>
      </c>
      <c r="D431" s="3">
        <v>45050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</v>
      </c>
      <c r="T431" s="1">
        <v>0</v>
      </c>
      <c r="U431" s="1">
        <v>9.8856000000000002</v>
      </c>
      <c r="V431">
        <f>YEAR(Table1[[#This Row],[Order Date]])</f>
        <v>2023</v>
      </c>
      <c r="W431" t="str">
        <f>TEXT(Table1[[#This Row],[Order Date]],"mmm")</f>
        <v>May</v>
      </c>
      <c r="X431">
        <f t="shared" si="18"/>
        <v>4.9428000000000001</v>
      </c>
      <c r="Y431" t="str">
        <f t="shared" si="19"/>
        <v>Profit</v>
      </c>
      <c r="Z431" t="str">
        <f t="shared" si="20"/>
        <v>No Discount</v>
      </c>
    </row>
    <row r="432" spans="1:26" x14ac:dyDescent="0.35">
      <c r="A432" s="1">
        <v>431</v>
      </c>
      <c r="B432" s="2" t="s">
        <v>1518</v>
      </c>
      <c r="C432" s="3">
        <v>45050</v>
      </c>
      <c r="D432" s="3">
        <v>45053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</v>
      </c>
      <c r="T432" s="1">
        <v>0</v>
      </c>
      <c r="U432" s="1">
        <v>3.8975999999999997</v>
      </c>
      <c r="V432">
        <f>YEAR(Table1[[#This Row],[Order Date]])</f>
        <v>2023</v>
      </c>
      <c r="W432" t="str">
        <f>TEXT(Table1[[#This Row],[Order Date]],"mmm")</f>
        <v>May</v>
      </c>
      <c r="X432">
        <f t="shared" si="18"/>
        <v>0.55679999999999996</v>
      </c>
      <c r="Y432" t="str">
        <f t="shared" si="19"/>
        <v>Profit</v>
      </c>
      <c r="Z432" t="str">
        <f t="shared" si="20"/>
        <v>No Discount</v>
      </c>
    </row>
    <row r="433" spans="1:26" x14ac:dyDescent="0.35">
      <c r="A433" s="1">
        <v>432</v>
      </c>
      <c r="B433" s="2" t="s">
        <v>1518</v>
      </c>
      <c r="C433" s="3">
        <v>45050</v>
      </c>
      <c r="D433" s="3">
        <v>45053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</v>
      </c>
      <c r="T433" s="1">
        <v>0</v>
      </c>
      <c r="U433" s="1">
        <v>19.034399999999998</v>
      </c>
      <c r="V433">
        <f>YEAR(Table1[[#This Row],[Order Date]])</f>
        <v>2023</v>
      </c>
      <c r="W433" t="str">
        <f>TEXT(Table1[[#This Row],[Order Date]],"mmm")</f>
        <v>May</v>
      </c>
      <c r="X433">
        <f t="shared" si="18"/>
        <v>4.7585999999999995</v>
      </c>
      <c r="Y433" t="str">
        <f t="shared" si="19"/>
        <v>Profit</v>
      </c>
      <c r="Z433" t="str">
        <f t="shared" si="20"/>
        <v>No Discount</v>
      </c>
    </row>
    <row r="434" spans="1:26" x14ac:dyDescent="0.35">
      <c r="A434" s="1">
        <v>433</v>
      </c>
      <c r="B434" s="2" t="s">
        <v>1525</v>
      </c>
      <c r="C434" s="3">
        <v>45050</v>
      </c>
      <c r="D434" s="3">
        <v>45051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37.839999999999996</v>
      </c>
      <c r="S434" s="1">
        <v>2</v>
      </c>
      <c r="T434" s="1">
        <v>0.2</v>
      </c>
      <c r="U434" s="1">
        <v>2.8380000000000027</v>
      </c>
      <c r="V434">
        <f>YEAR(Table1[[#This Row],[Order Date]])</f>
        <v>2023</v>
      </c>
      <c r="W434" t="str">
        <f>TEXT(Table1[[#This Row],[Order Date]],"mmm")</f>
        <v>May</v>
      </c>
      <c r="X434">
        <f t="shared" si="18"/>
        <v>1.4190000000000014</v>
      </c>
      <c r="Y434" t="str">
        <f t="shared" si="19"/>
        <v>Profit</v>
      </c>
      <c r="Z434" t="str">
        <f t="shared" si="20"/>
        <v>Low</v>
      </c>
    </row>
    <row r="435" spans="1:26" x14ac:dyDescent="0.35">
      <c r="A435" s="1">
        <v>434</v>
      </c>
      <c r="B435" s="2" t="s">
        <v>1526</v>
      </c>
      <c r="C435" s="3">
        <v>45050</v>
      </c>
      <c r="D435" s="3">
        <v>45054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</v>
      </c>
      <c r="T435" s="1">
        <v>0</v>
      </c>
      <c r="U435" s="1">
        <v>21.059999999999995</v>
      </c>
      <c r="V435">
        <f>YEAR(Table1[[#This Row],[Order Date]])</f>
        <v>2023</v>
      </c>
      <c r="W435" t="str">
        <f>TEXT(Table1[[#This Row],[Order Date]],"mmm")</f>
        <v>May</v>
      </c>
      <c r="X435">
        <f t="shared" si="18"/>
        <v>5.2649999999999988</v>
      </c>
      <c r="Y435" t="str">
        <f t="shared" si="19"/>
        <v>Profit</v>
      </c>
      <c r="Z435" t="str">
        <f t="shared" si="20"/>
        <v>No Discount</v>
      </c>
    </row>
    <row r="436" spans="1:26" x14ac:dyDescent="0.35">
      <c r="A436" s="1">
        <v>435</v>
      </c>
      <c r="B436" s="2" t="s">
        <v>1525</v>
      </c>
      <c r="C436" s="3">
        <v>45050</v>
      </c>
      <c r="D436" s="3">
        <v>45051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5.4719999999999995</v>
      </c>
      <c r="S436" s="1">
        <v>6</v>
      </c>
      <c r="T436" s="1">
        <v>0.2</v>
      </c>
      <c r="U436" s="1">
        <v>1.8467999999999996</v>
      </c>
      <c r="V436">
        <f>YEAR(Table1[[#This Row],[Order Date]])</f>
        <v>2023</v>
      </c>
      <c r="W436" t="str">
        <f>TEXT(Table1[[#This Row],[Order Date]],"mmm")</f>
        <v>May</v>
      </c>
      <c r="X436">
        <f t="shared" si="18"/>
        <v>0.30779999999999991</v>
      </c>
      <c r="Y436" t="str">
        <f t="shared" si="19"/>
        <v>Profit</v>
      </c>
      <c r="Z436" t="str">
        <f t="shared" si="20"/>
        <v>Low</v>
      </c>
    </row>
    <row r="437" spans="1:26" x14ac:dyDescent="0.35">
      <c r="A437" s="1">
        <v>436</v>
      </c>
      <c r="B437" s="2" t="s">
        <v>1533</v>
      </c>
      <c r="C437" s="3">
        <v>45051</v>
      </c>
      <c r="D437" s="3">
        <v>45054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</v>
      </c>
      <c r="T437" s="1">
        <v>0.3</v>
      </c>
      <c r="U437" s="1">
        <v>-9.1335000000000122</v>
      </c>
      <c r="V437">
        <f>YEAR(Table1[[#This Row],[Order Date]])</f>
        <v>2023</v>
      </c>
      <c r="W437" t="str">
        <f>TEXT(Table1[[#This Row],[Order Date]],"mmm")</f>
        <v>May</v>
      </c>
      <c r="X437">
        <f t="shared" si="18"/>
        <v>-3.0445000000000042</v>
      </c>
      <c r="Y437" t="str">
        <f t="shared" si="19"/>
        <v>Loss</v>
      </c>
      <c r="Z437" t="str">
        <f t="shared" si="20"/>
        <v>Medium</v>
      </c>
    </row>
    <row r="438" spans="1:26" x14ac:dyDescent="0.35">
      <c r="A438" s="1">
        <v>437</v>
      </c>
      <c r="B438" s="2" t="s">
        <v>1537</v>
      </c>
      <c r="C438" s="3">
        <v>45051</v>
      </c>
      <c r="D438" s="3">
        <v>45055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</v>
      </c>
      <c r="T438" s="1">
        <v>0</v>
      </c>
      <c r="U438" s="1">
        <v>1.9023999999999992</v>
      </c>
      <c r="V438">
        <f>YEAR(Table1[[#This Row],[Order Date]])</f>
        <v>2023</v>
      </c>
      <c r="W438" t="str">
        <f>TEXT(Table1[[#This Row],[Order Date]],"mmm")</f>
        <v>May</v>
      </c>
      <c r="X438">
        <f t="shared" si="18"/>
        <v>0.9511999999999996</v>
      </c>
      <c r="Y438" t="str">
        <f t="shared" si="19"/>
        <v>Profit</v>
      </c>
      <c r="Z438" t="str">
        <f t="shared" si="20"/>
        <v>No Discount</v>
      </c>
    </row>
    <row r="439" spans="1:26" x14ac:dyDescent="0.35">
      <c r="A439" s="1">
        <v>438</v>
      </c>
      <c r="B439" s="2" t="s">
        <v>1542</v>
      </c>
      <c r="C439" s="3">
        <v>45051</v>
      </c>
      <c r="D439" s="3">
        <v>45053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</v>
      </c>
      <c r="T439" s="1">
        <v>0</v>
      </c>
      <c r="U439" s="1">
        <v>5.3460000000000001</v>
      </c>
      <c r="V439">
        <f>YEAR(Table1[[#This Row],[Order Date]])</f>
        <v>2023</v>
      </c>
      <c r="W439" t="str">
        <f>TEXT(Table1[[#This Row],[Order Date]],"mmm")</f>
        <v>May</v>
      </c>
      <c r="X439">
        <f t="shared" si="18"/>
        <v>2.673</v>
      </c>
      <c r="Y439" t="str">
        <f t="shared" si="19"/>
        <v>Profit</v>
      </c>
      <c r="Z439" t="str">
        <f t="shared" si="20"/>
        <v>No Discount</v>
      </c>
    </row>
    <row r="440" spans="1:26" x14ac:dyDescent="0.35">
      <c r="A440" s="1">
        <v>439</v>
      </c>
      <c r="B440" s="2" t="s">
        <v>1542</v>
      </c>
      <c r="C440" s="3">
        <v>45051</v>
      </c>
      <c r="D440" s="3">
        <v>45053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</v>
      </c>
      <c r="T440" s="1">
        <v>0</v>
      </c>
      <c r="U440" s="1">
        <v>16.656799999999997</v>
      </c>
      <c r="V440">
        <f>YEAR(Table1[[#This Row],[Order Date]])</f>
        <v>2023</v>
      </c>
      <c r="W440" t="str">
        <f>TEXT(Table1[[#This Row],[Order Date]],"mmm")</f>
        <v>May</v>
      </c>
      <c r="X440">
        <f t="shared" si="18"/>
        <v>16.656799999999997</v>
      </c>
      <c r="Y440" t="str">
        <f t="shared" si="19"/>
        <v>Profit</v>
      </c>
      <c r="Z440" t="str">
        <f t="shared" si="20"/>
        <v>No Discount</v>
      </c>
    </row>
    <row r="441" spans="1:26" x14ac:dyDescent="0.35">
      <c r="A441" s="1">
        <v>440</v>
      </c>
      <c r="B441" s="2" t="s">
        <v>1537</v>
      </c>
      <c r="C441" s="3">
        <v>45051</v>
      </c>
      <c r="D441" s="3">
        <v>45055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</v>
      </c>
      <c r="T441" s="1">
        <v>0</v>
      </c>
      <c r="U441" s="1">
        <v>11.543199999999999</v>
      </c>
      <c r="V441">
        <f>YEAR(Table1[[#This Row],[Order Date]])</f>
        <v>2023</v>
      </c>
      <c r="W441" t="str">
        <f>TEXT(Table1[[#This Row],[Order Date]],"mmm")</f>
        <v>May</v>
      </c>
      <c r="X441">
        <f t="shared" si="18"/>
        <v>5.7715999999999994</v>
      </c>
      <c r="Y441" t="str">
        <f t="shared" si="19"/>
        <v>Profit</v>
      </c>
      <c r="Z441" t="str">
        <f t="shared" si="20"/>
        <v>No Discount</v>
      </c>
    </row>
    <row r="442" spans="1:26" x14ac:dyDescent="0.35">
      <c r="A442" s="1">
        <v>441</v>
      </c>
      <c r="B442" s="2" t="s">
        <v>1537</v>
      </c>
      <c r="C442" s="3">
        <v>45051</v>
      </c>
      <c r="D442" s="3">
        <v>45055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</v>
      </c>
      <c r="T442" s="1">
        <v>0</v>
      </c>
      <c r="U442" s="1">
        <v>4.238999999999999</v>
      </c>
      <c r="V442">
        <f>YEAR(Table1[[#This Row],[Order Date]])</f>
        <v>2023</v>
      </c>
      <c r="W442" t="str">
        <f>TEXT(Table1[[#This Row],[Order Date]],"mmm")</f>
        <v>May</v>
      </c>
      <c r="X442">
        <f t="shared" si="18"/>
        <v>1.4129999999999996</v>
      </c>
      <c r="Y442" t="str">
        <f t="shared" si="19"/>
        <v>Profit</v>
      </c>
      <c r="Z442" t="str">
        <f t="shared" si="20"/>
        <v>No Discount</v>
      </c>
    </row>
    <row r="443" spans="1:26" x14ac:dyDescent="0.35">
      <c r="A443" s="1">
        <v>442</v>
      </c>
      <c r="B443" s="2" t="s">
        <v>1551</v>
      </c>
      <c r="C443" s="3">
        <v>45051</v>
      </c>
      <c r="D443" s="3">
        <v>45056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45.248000000000005</v>
      </c>
      <c r="S443" s="1">
        <v>2</v>
      </c>
      <c r="T443" s="1">
        <v>0.2</v>
      </c>
      <c r="U443" s="1">
        <v>3.9591999999999992</v>
      </c>
      <c r="V443">
        <f>YEAR(Table1[[#This Row],[Order Date]])</f>
        <v>2023</v>
      </c>
      <c r="W443" t="str">
        <f>TEXT(Table1[[#This Row],[Order Date]],"mmm")</f>
        <v>May</v>
      </c>
      <c r="X443">
        <f t="shared" si="18"/>
        <v>1.9795999999999996</v>
      </c>
      <c r="Y443" t="str">
        <f t="shared" si="19"/>
        <v>Profit</v>
      </c>
      <c r="Z443" t="str">
        <f t="shared" si="20"/>
        <v>Low</v>
      </c>
    </row>
    <row r="444" spans="1:26" x14ac:dyDescent="0.35">
      <c r="A444" s="1">
        <v>443</v>
      </c>
      <c r="B444" s="2" t="s">
        <v>1555</v>
      </c>
      <c r="C444" s="3">
        <v>45052</v>
      </c>
      <c r="D444" s="3">
        <v>45057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</v>
      </c>
      <c r="T444" s="1">
        <v>0</v>
      </c>
      <c r="U444" s="1">
        <v>30.223200000000002</v>
      </c>
      <c r="V444">
        <f>YEAR(Table1[[#This Row],[Order Date]])</f>
        <v>2023</v>
      </c>
      <c r="W444" t="str">
        <f>TEXT(Table1[[#This Row],[Order Date]],"mmm")</f>
        <v>May</v>
      </c>
      <c r="X444">
        <f t="shared" si="18"/>
        <v>5.0372000000000003</v>
      </c>
      <c r="Y444" t="str">
        <f t="shared" si="19"/>
        <v>Profit</v>
      </c>
      <c r="Z444" t="str">
        <f t="shared" si="20"/>
        <v>No Discount</v>
      </c>
    </row>
    <row r="445" spans="1:26" x14ac:dyDescent="0.35">
      <c r="A445" s="1">
        <v>444</v>
      </c>
      <c r="B445" s="2" t="s">
        <v>1560</v>
      </c>
      <c r="C445" s="3">
        <v>45052</v>
      </c>
      <c r="D445" s="3">
        <v>45056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140.73599999999999</v>
      </c>
      <c r="S445" s="1">
        <v>8</v>
      </c>
      <c r="T445" s="1">
        <v>0.2</v>
      </c>
      <c r="U445" s="1">
        <v>52.775999999999996</v>
      </c>
      <c r="V445">
        <f>YEAR(Table1[[#This Row],[Order Date]])</f>
        <v>2023</v>
      </c>
      <c r="W445" t="str">
        <f>TEXT(Table1[[#This Row],[Order Date]],"mmm")</f>
        <v>May</v>
      </c>
      <c r="X445">
        <f t="shared" si="18"/>
        <v>6.5969999999999995</v>
      </c>
      <c r="Y445" t="str">
        <f t="shared" si="19"/>
        <v>Profit</v>
      </c>
      <c r="Z445" t="str">
        <f t="shared" si="20"/>
        <v>Low</v>
      </c>
    </row>
    <row r="446" spans="1:26" x14ac:dyDescent="0.35">
      <c r="A446" s="1">
        <v>445</v>
      </c>
      <c r="B446" s="2" t="s">
        <v>1555</v>
      </c>
      <c r="C446" s="3">
        <v>45052</v>
      </c>
      <c r="D446" s="3">
        <v>45057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</v>
      </c>
      <c r="T446" s="1">
        <v>0</v>
      </c>
      <c r="U446" s="1">
        <v>2.7166000000000001</v>
      </c>
      <c r="V446">
        <f>YEAR(Table1[[#This Row],[Order Date]])</f>
        <v>2023</v>
      </c>
      <c r="W446" t="str">
        <f>TEXT(Table1[[#This Row],[Order Date]],"mmm")</f>
        <v>May</v>
      </c>
      <c r="X446">
        <f t="shared" si="18"/>
        <v>1.3583000000000001</v>
      </c>
      <c r="Y446" t="str">
        <f t="shared" si="19"/>
        <v>Profit</v>
      </c>
      <c r="Z446" t="str">
        <f t="shared" si="20"/>
        <v>No Discount</v>
      </c>
    </row>
    <row r="447" spans="1:26" x14ac:dyDescent="0.35">
      <c r="A447" s="1">
        <v>446</v>
      </c>
      <c r="B447" s="2" t="s">
        <v>1565</v>
      </c>
      <c r="C447" s="3">
        <v>45053</v>
      </c>
      <c r="D447" s="3">
        <v>45058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</v>
      </c>
      <c r="T447" s="1">
        <v>0</v>
      </c>
      <c r="U447" s="1">
        <v>244.24959999999999</v>
      </c>
      <c r="V447">
        <f>YEAR(Table1[[#This Row],[Order Date]])</f>
        <v>2023</v>
      </c>
      <c r="W447" t="str">
        <f>TEXT(Table1[[#This Row],[Order Date]],"mmm")</f>
        <v>May</v>
      </c>
      <c r="X447">
        <f t="shared" si="18"/>
        <v>61.062399999999997</v>
      </c>
      <c r="Y447" t="str">
        <f t="shared" si="19"/>
        <v>Profit</v>
      </c>
      <c r="Z447" t="str">
        <f t="shared" si="20"/>
        <v>No Discount</v>
      </c>
    </row>
    <row r="448" spans="1:26" x14ac:dyDescent="0.35">
      <c r="A448" s="1">
        <v>447</v>
      </c>
      <c r="B448" s="2" t="s">
        <v>1565</v>
      </c>
      <c r="C448" s="3">
        <v>45053</v>
      </c>
      <c r="D448" s="3">
        <v>45058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</v>
      </c>
      <c r="T448" s="1">
        <v>0.3</v>
      </c>
      <c r="U448" s="1">
        <v>-38.849999999999994</v>
      </c>
      <c r="V448">
        <f>YEAR(Table1[[#This Row],[Order Date]])</f>
        <v>2023</v>
      </c>
      <c r="W448" t="str">
        <f>TEXT(Table1[[#This Row],[Order Date]],"mmm")</f>
        <v>May</v>
      </c>
      <c r="X448">
        <f t="shared" si="18"/>
        <v>-19.424999999999997</v>
      </c>
      <c r="Y448" t="str">
        <f t="shared" si="19"/>
        <v>Loss</v>
      </c>
      <c r="Z448" t="str">
        <f t="shared" si="20"/>
        <v>Medium</v>
      </c>
    </row>
    <row r="449" spans="1:26" x14ac:dyDescent="0.35">
      <c r="A449" s="1">
        <v>448</v>
      </c>
      <c r="B449" s="2" t="s">
        <v>1565</v>
      </c>
      <c r="C449" s="3">
        <v>45053</v>
      </c>
      <c r="D449" s="3">
        <v>45058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</v>
      </c>
      <c r="T449" s="1">
        <v>0</v>
      </c>
      <c r="U449" s="1">
        <v>2.5055999999999998</v>
      </c>
      <c r="V449">
        <f>YEAR(Table1[[#This Row],[Order Date]])</f>
        <v>2023</v>
      </c>
      <c r="W449" t="str">
        <f>TEXT(Table1[[#This Row],[Order Date]],"mmm")</f>
        <v>May</v>
      </c>
      <c r="X449">
        <f t="shared" si="18"/>
        <v>0.83519999999999994</v>
      </c>
      <c r="Y449" t="str">
        <f t="shared" si="19"/>
        <v>Profit</v>
      </c>
      <c r="Z449" t="str">
        <f t="shared" si="20"/>
        <v>No Discount</v>
      </c>
    </row>
    <row r="450" spans="1:26" x14ac:dyDescent="0.35">
      <c r="A450" s="1">
        <v>449</v>
      </c>
      <c r="B450" s="2" t="s">
        <v>1565</v>
      </c>
      <c r="C450" s="3">
        <v>45053</v>
      </c>
      <c r="D450" s="3">
        <v>45058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</v>
      </c>
      <c r="T450" s="1">
        <v>0</v>
      </c>
      <c r="U450" s="1">
        <v>7.9085999999999999</v>
      </c>
      <c r="V450">
        <f>YEAR(Table1[[#This Row],[Order Date]])</f>
        <v>2023</v>
      </c>
      <c r="W450" t="str">
        <f>TEXT(Table1[[#This Row],[Order Date]],"mmm")</f>
        <v>May</v>
      </c>
      <c r="X450">
        <f t="shared" ref="X450:X513" si="21">IFERROR(U450/S450,0)</f>
        <v>2.6362000000000001</v>
      </c>
      <c r="Y450" t="str">
        <f t="shared" ref="Y450:Y513" si="22">IF(U450&gt;0,"Profit",IF(U450&lt;0,"Loss","Break-even"))</f>
        <v>Profit</v>
      </c>
      <c r="Z450" t="str">
        <f t="shared" ref="Z450:Z513" si="23">IF(T450=0,"No Discount",IF(T450&lt;=0.2,"Low",IF(T450&lt;=0.4,"Medium","High")))</f>
        <v>No Discount</v>
      </c>
    </row>
    <row r="451" spans="1:26" x14ac:dyDescent="0.35">
      <c r="A451" s="1">
        <v>450</v>
      </c>
      <c r="B451" s="2" t="s">
        <v>1575</v>
      </c>
      <c r="C451" s="3">
        <v>45053</v>
      </c>
      <c r="D451" s="3">
        <v>45058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6">
        <v>872.32</v>
      </c>
      <c r="S451" s="6">
        <v>4</v>
      </c>
      <c r="T451" s="6">
        <v>0</v>
      </c>
      <c r="U451" s="6">
        <v>244.24959999999999</v>
      </c>
      <c r="V451">
        <f>YEAR(Table1[[#This Row],[Order Date]])</f>
        <v>2023</v>
      </c>
      <c r="W451" t="str">
        <f>TEXT(Table1[[#This Row],[Order Date]],"mmm")</f>
        <v>May</v>
      </c>
      <c r="X451">
        <f t="shared" si="21"/>
        <v>61.062399999999997</v>
      </c>
      <c r="Y451" t="str">
        <f t="shared" si="22"/>
        <v>Profit</v>
      </c>
      <c r="Z451" t="str">
        <f t="shared" si="23"/>
        <v>No Discount</v>
      </c>
    </row>
    <row r="452" spans="1:26" x14ac:dyDescent="0.35">
      <c r="A452" s="1">
        <v>451</v>
      </c>
      <c r="B452" s="2" t="s">
        <v>1575</v>
      </c>
      <c r="C452" s="3">
        <v>45053</v>
      </c>
      <c r="D452" s="3">
        <v>45058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6">
        <v>194.25</v>
      </c>
      <c r="S452" s="6">
        <v>2</v>
      </c>
      <c r="T452" s="6">
        <v>0.3</v>
      </c>
      <c r="U452" s="6">
        <v>-38.849999999999994</v>
      </c>
      <c r="V452">
        <f>YEAR(Table1[[#This Row],[Order Date]])</f>
        <v>2023</v>
      </c>
      <c r="W452" t="str">
        <f>TEXT(Table1[[#This Row],[Order Date]],"mmm")</f>
        <v>May</v>
      </c>
      <c r="X452">
        <f t="shared" si="21"/>
        <v>-19.424999999999997</v>
      </c>
      <c r="Y452" t="str">
        <f t="shared" si="22"/>
        <v>Loss</v>
      </c>
      <c r="Z452" t="str">
        <f t="shared" si="23"/>
        <v>Medium</v>
      </c>
    </row>
    <row r="453" spans="1:26" x14ac:dyDescent="0.35">
      <c r="A453" s="1">
        <v>452</v>
      </c>
      <c r="B453" s="2" t="s">
        <v>1575</v>
      </c>
      <c r="C453" s="3">
        <v>45053</v>
      </c>
      <c r="D453" s="3">
        <v>45058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6">
        <v>8.64</v>
      </c>
      <c r="S453" s="6">
        <v>3</v>
      </c>
      <c r="T453" s="6">
        <v>0</v>
      </c>
      <c r="U453" s="6">
        <v>2.5055999999999998</v>
      </c>
      <c r="V453">
        <f>YEAR(Table1[[#This Row],[Order Date]])</f>
        <v>2023</v>
      </c>
      <c r="W453" t="str">
        <f>TEXT(Table1[[#This Row],[Order Date]],"mmm")</f>
        <v>May</v>
      </c>
      <c r="X453">
        <f t="shared" si="21"/>
        <v>0.83519999999999994</v>
      </c>
      <c r="Y453" t="str">
        <f t="shared" si="22"/>
        <v>Profit</v>
      </c>
      <c r="Z453" t="str">
        <f t="shared" si="23"/>
        <v>No Discount</v>
      </c>
    </row>
    <row r="454" spans="1:26" x14ac:dyDescent="0.35">
      <c r="A454" s="1">
        <v>453</v>
      </c>
      <c r="B454" s="2" t="s">
        <v>1575</v>
      </c>
      <c r="C454" s="3">
        <v>45053</v>
      </c>
      <c r="D454" s="3">
        <v>45058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6">
        <v>16.14</v>
      </c>
      <c r="S454" s="6">
        <v>3</v>
      </c>
      <c r="T454" s="6">
        <v>0</v>
      </c>
      <c r="U454" s="6">
        <v>7.9085999999999999</v>
      </c>
      <c r="V454">
        <f>YEAR(Table1[[#This Row],[Order Date]])</f>
        <v>2023</v>
      </c>
      <c r="W454" t="str">
        <f>TEXT(Table1[[#This Row],[Order Date]],"mmm")</f>
        <v>May</v>
      </c>
      <c r="X454">
        <f t="shared" si="21"/>
        <v>2.6362000000000001</v>
      </c>
      <c r="Y454" t="str">
        <f t="shared" si="22"/>
        <v>Profit</v>
      </c>
      <c r="Z454" t="str">
        <f t="shared" si="23"/>
        <v>No Discount</v>
      </c>
    </row>
    <row r="455" spans="1:26" x14ac:dyDescent="0.35">
      <c r="A455" s="1">
        <v>454</v>
      </c>
      <c r="B455" s="2" t="s">
        <v>1577</v>
      </c>
      <c r="C455" s="3">
        <v>45054</v>
      </c>
      <c r="D455" s="3">
        <v>45056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1799.9699999999998</v>
      </c>
      <c r="S455" s="1">
        <v>5</v>
      </c>
      <c r="T455" s="1">
        <v>0.4</v>
      </c>
      <c r="U455" s="1">
        <v>239.99600000000009</v>
      </c>
      <c r="V455">
        <f>YEAR(Table1[[#This Row],[Order Date]])</f>
        <v>2023</v>
      </c>
      <c r="W455" t="str">
        <f>TEXT(Table1[[#This Row],[Order Date]],"mmm")</f>
        <v>May</v>
      </c>
      <c r="X455">
        <f t="shared" si="21"/>
        <v>47.999200000000016</v>
      </c>
      <c r="Y455" t="str">
        <f t="shared" si="22"/>
        <v>Profit</v>
      </c>
      <c r="Z455" t="str">
        <f t="shared" si="23"/>
        <v>Medium</v>
      </c>
    </row>
    <row r="456" spans="1:26" x14ac:dyDescent="0.35">
      <c r="A456" s="1">
        <v>455</v>
      </c>
      <c r="B456" s="2" t="s">
        <v>1580</v>
      </c>
      <c r="C456" s="3">
        <v>45055</v>
      </c>
      <c r="D456" s="3">
        <v>45055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  <c r="V456">
        <f>YEAR(Table1[[#This Row],[Order Date]])</f>
        <v>2023</v>
      </c>
      <c r="W456" t="str">
        <f>TEXT(Table1[[#This Row],[Order Date]],"mmm")</f>
        <v>May</v>
      </c>
      <c r="X456">
        <f t="shared" si="21"/>
        <v>1.5119999999999998</v>
      </c>
      <c r="Y456" t="str">
        <f t="shared" si="22"/>
        <v>Profit</v>
      </c>
      <c r="Z456" t="str">
        <f t="shared" si="23"/>
        <v>No Discount</v>
      </c>
    </row>
    <row r="457" spans="1:26" x14ac:dyDescent="0.35">
      <c r="A457" s="1">
        <v>456</v>
      </c>
      <c r="B457" s="2" t="s">
        <v>1580</v>
      </c>
      <c r="C457" s="3">
        <v>45055</v>
      </c>
      <c r="D457" s="3">
        <v>45055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</v>
      </c>
      <c r="T457" s="1">
        <v>0</v>
      </c>
      <c r="U457" s="1">
        <v>9.4989999999999988</v>
      </c>
      <c r="V457">
        <f>YEAR(Table1[[#This Row],[Order Date]])</f>
        <v>2023</v>
      </c>
      <c r="W457" t="str">
        <f>TEXT(Table1[[#This Row],[Order Date]],"mmm")</f>
        <v>May</v>
      </c>
      <c r="X457">
        <f t="shared" si="21"/>
        <v>1.8997999999999997</v>
      </c>
      <c r="Y457" t="str">
        <f t="shared" si="22"/>
        <v>Profit</v>
      </c>
      <c r="Z457" t="str">
        <f t="shared" si="23"/>
        <v>No Discount</v>
      </c>
    </row>
    <row r="458" spans="1:26" x14ac:dyDescent="0.35">
      <c r="A458" s="1">
        <v>457</v>
      </c>
      <c r="B458" s="2" t="s">
        <v>1580</v>
      </c>
      <c r="C458" s="3">
        <v>45055</v>
      </c>
      <c r="D458" s="3">
        <v>45055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</v>
      </c>
      <c r="T458" s="1">
        <v>0</v>
      </c>
      <c r="U458" s="1">
        <v>21.772800000000004</v>
      </c>
      <c r="V458">
        <f>YEAR(Table1[[#This Row],[Order Date]])</f>
        <v>2023</v>
      </c>
      <c r="W458" t="str">
        <f>TEXT(Table1[[#This Row],[Order Date]],"mmm")</f>
        <v>May</v>
      </c>
      <c r="X458">
        <f t="shared" si="21"/>
        <v>3.1104000000000007</v>
      </c>
      <c r="Y458" t="str">
        <f t="shared" si="22"/>
        <v>Profit</v>
      </c>
      <c r="Z458" t="str">
        <f t="shared" si="23"/>
        <v>No Discount</v>
      </c>
    </row>
    <row r="459" spans="1:26" x14ac:dyDescent="0.35">
      <c r="A459" s="1">
        <v>458</v>
      </c>
      <c r="B459" s="2" t="s">
        <v>1580</v>
      </c>
      <c r="C459" s="3">
        <v>45055</v>
      </c>
      <c r="D459" s="3">
        <v>45055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</v>
      </c>
      <c r="T459" s="1">
        <v>0</v>
      </c>
      <c r="U459" s="1">
        <v>14.984999999999992</v>
      </c>
      <c r="V459">
        <f>YEAR(Table1[[#This Row],[Order Date]])</f>
        <v>2023</v>
      </c>
      <c r="W459" t="str">
        <f>TEXT(Table1[[#This Row],[Order Date]],"mmm")</f>
        <v>May</v>
      </c>
      <c r="X459">
        <f t="shared" si="21"/>
        <v>4.9949999999999974</v>
      </c>
      <c r="Y459" t="str">
        <f t="shared" si="22"/>
        <v>Profit</v>
      </c>
      <c r="Z459" t="str">
        <f t="shared" si="23"/>
        <v>No Discount</v>
      </c>
    </row>
    <row r="460" spans="1:26" x14ac:dyDescent="0.35">
      <c r="A460" s="1">
        <v>459</v>
      </c>
      <c r="B460" s="2" t="s">
        <v>1587</v>
      </c>
      <c r="C460" s="3">
        <v>45055</v>
      </c>
      <c r="D460" s="3">
        <v>45061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</v>
      </c>
      <c r="T460" s="1">
        <v>0</v>
      </c>
      <c r="U460" s="1">
        <v>40.31280000000001</v>
      </c>
      <c r="V460">
        <f>YEAR(Table1[[#This Row],[Order Date]])</f>
        <v>2023</v>
      </c>
      <c r="W460" t="str">
        <f>TEXT(Table1[[#This Row],[Order Date]],"mmm")</f>
        <v>May</v>
      </c>
      <c r="X460">
        <f t="shared" si="21"/>
        <v>13.437600000000003</v>
      </c>
      <c r="Y460" t="str">
        <f t="shared" si="22"/>
        <v>Profit</v>
      </c>
      <c r="Z460" t="str">
        <f t="shared" si="23"/>
        <v>No Discount</v>
      </c>
    </row>
    <row r="461" spans="1:26" x14ac:dyDescent="0.35">
      <c r="A461" s="1">
        <v>460</v>
      </c>
      <c r="B461" s="2" t="s">
        <v>1587</v>
      </c>
      <c r="C461" s="3">
        <v>45055</v>
      </c>
      <c r="D461" s="3">
        <v>45061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</v>
      </c>
      <c r="T461" s="1">
        <v>0</v>
      </c>
      <c r="U461" s="1">
        <v>4.0679999999999978</v>
      </c>
      <c r="V461">
        <f>YEAR(Table1[[#This Row],[Order Date]])</f>
        <v>2023</v>
      </c>
      <c r="W461" t="str">
        <f>TEXT(Table1[[#This Row],[Order Date]],"mmm")</f>
        <v>May</v>
      </c>
      <c r="X461">
        <f t="shared" si="21"/>
        <v>1.0169999999999995</v>
      </c>
      <c r="Y461" t="str">
        <f t="shared" si="22"/>
        <v>Profit</v>
      </c>
      <c r="Z461" t="str">
        <f t="shared" si="23"/>
        <v>No Discount</v>
      </c>
    </row>
    <row r="462" spans="1:26" x14ac:dyDescent="0.35">
      <c r="A462" s="1">
        <v>461</v>
      </c>
      <c r="B462" s="2" t="s">
        <v>1592</v>
      </c>
      <c r="C462" s="3">
        <v>45056</v>
      </c>
      <c r="D462" s="3">
        <v>45060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349.96499999999997</v>
      </c>
      <c r="S462" s="1">
        <v>7</v>
      </c>
      <c r="T462" s="1">
        <v>0.5</v>
      </c>
      <c r="U462" s="1">
        <v>-216.97830000000002</v>
      </c>
      <c r="V462">
        <f>YEAR(Table1[[#This Row],[Order Date]])</f>
        <v>2023</v>
      </c>
      <c r="W462" t="str">
        <f>TEXT(Table1[[#This Row],[Order Date]],"mmm")</f>
        <v>May</v>
      </c>
      <c r="X462">
        <f t="shared" si="21"/>
        <v>-30.996900000000004</v>
      </c>
      <c r="Y462" t="str">
        <f t="shared" si="22"/>
        <v>Loss</v>
      </c>
      <c r="Z462" t="str">
        <f t="shared" si="23"/>
        <v>High</v>
      </c>
    </row>
    <row r="463" spans="1:26" x14ac:dyDescent="0.35">
      <c r="A463" s="1">
        <v>462</v>
      </c>
      <c r="B463" s="2" t="s">
        <v>1597</v>
      </c>
      <c r="C463" s="3">
        <v>45056</v>
      </c>
      <c r="D463" s="3">
        <v>45061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256.78400000000005</v>
      </c>
      <c r="S463" s="1">
        <v>1</v>
      </c>
      <c r="T463" s="1">
        <v>0.2</v>
      </c>
      <c r="U463" s="1">
        <v>32.097999999999971</v>
      </c>
      <c r="V463">
        <f>YEAR(Table1[[#This Row],[Order Date]])</f>
        <v>2023</v>
      </c>
      <c r="W463" t="str">
        <f>TEXT(Table1[[#This Row],[Order Date]],"mmm")</f>
        <v>May</v>
      </c>
      <c r="X463">
        <f t="shared" si="21"/>
        <v>32.097999999999971</v>
      </c>
      <c r="Y463" t="str">
        <f t="shared" si="22"/>
        <v>Profit</v>
      </c>
      <c r="Z463" t="str">
        <f t="shared" si="23"/>
        <v>Low</v>
      </c>
    </row>
    <row r="464" spans="1:26" x14ac:dyDescent="0.35">
      <c r="A464" s="1">
        <v>463</v>
      </c>
      <c r="B464" s="2" t="s">
        <v>1592</v>
      </c>
      <c r="C464" s="3">
        <v>45056</v>
      </c>
      <c r="D464" s="3">
        <v>45060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</v>
      </c>
      <c r="T464" s="1">
        <v>0.2</v>
      </c>
      <c r="U464" s="1">
        <v>5.3010000000000002</v>
      </c>
      <c r="V464">
        <f>YEAR(Table1[[#This Row],[Order Date]])</f>
        <v>2023</v>
      </c>
      <c r="W464" t="str">
        <f>TEXT(Table1[[#This Row],[Order Date]],"mmm")</f>
        <v>May</v>
      </c>
      <c r="X464">
        <f t="shared" si="21"/>
        <v>1.0602</v>
      </c>
      <c r="Y464" t="str">
        <f t="shared" si="22"/>
        <v>Profit</v>
      </c>
      <c r="Z464" t="str">
        <f t="shared" si="23"/>
        <v>Low</v>
      </c>
    </row>
    <row r="465" spans="1:26" x14ac:dyDescent="0.35">
      <c r="A465" s="1">
        <v>464</v>
      </c>
      <c r="B465" s="2" t="s">
        <v>1604</v>
      </c>
      <c r="C465" s="3">
        <v>45056</v>
      </c>
      <c r="D465" s="3">
        <v>45061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</v>
      </c>
      <c r="T465" s="1">
        <v>0</v>
      </c>
      <c r="U465" s="1">
        <v>77.483699999999999</v>
      </c>
      <c r="V465">
        <f>YEAR(Table1[[#This Row],[Order Date]])</f>
        <v>2023</v>
      </c>
      <c r="W465" t="str">
        <f>TEXT(Table1[[#This Row],[Order Date]],"mmm")</f>
        <v>May</v>
      </c>
      <c r="X465">
        <f t="shared" si="21"/>
        <v>25.8279</v>
      </c>
      <c r="Y465" t="str">
        <f t="shared" si="22"/>
        <v>Profit</v>
      </c>
      <c r="Z465" t="str">
        <f t="shared" si="23"/>
        <v>No Discount</v>
      </c>
    </row>
    <row r="466" spans="1:26" x14ac:dyDescent="0.35">
      <c r="A466" s="1">
        <v>465</v>
      </c>
      <c r="B466" s="2" t="s">
        <v>1597</v>
      </c>
      <c r="C466" s="3">
        <v>45056</v>
      </c>
      <c r="D466" s="3">
        <v>45061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</v>
      </c>
      <c r="T466" s="1">
        <v>0</v>
      </c>
      <c r="U466" s="1">
        <v>19.180800000000001</v>
      </c>
      <c r="V466">
        <f>YEAR(Table1[[#This Row],[Order Date]])</f>
        <v>2023</v>
      </c>
      <c r="W466" t="str">
        <f>TEXT(Table1[[#This Row],[Order Date]],"mmm")</f>
        <v>May</v>
      </c>
      <c r="X466">
        <f t="shared" si="21"/>
        <v>9.5904000000000007</v>
      </c>
      <c r="Y466" t="str">
        <f t="shared" si="22"/>
        <v>Profit</v>
      </c>
      <c r="Z466" t="str">
        <f t="shared" si="23"/>
        <v>No Discount</v>
      </c>
    </row>
    <row r="467" spans="1:26" x14ac:dyDescent="0.35">
      <c r="A467" s="1">
        <v>466</v>
      </c>
      <c r="B467" s="2" t="s">
        <v>1597</v>
      </c>
      <c r="C467" s="3">
        <v>45056</v>
      </c>
      <c r="D467" s="3">
        <v>45061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</v>
      </c>
      <c r="T467" s="1">
        <v>0</v>
      </c>
      <c r="U467" s="1">
        <v>11.0808</v>
      </c>
      <c r="V467">
        <f>YEAR(Table1[[#This Row],[Order Date]])</f>
        <v>2023</v>
      </c>
      <c r="W467" t="str">
        <f>TEXT(Table1[[#This Row],[Order Date]],"mmm")</f>
        <v>May</v>
      </c>
      <c r="X467">
        <f t="shared" si="21"/>
        <v>1.8468</v>
      </c>
      <c r="Y467" t="str">
        <f t="shared" si="22"/>
        <v>Profit</v>
      </c>
      <c r="Z467" t="str">
        <f t="shared" si="23"/>
        <v>No Discount</v>
      </c>
    </row>
    <row r="468" spans="1:26" x14ac:dyDescent="0.35">
      <c r="A468" s="1">
        <v>467</v>
      </c>
      <c r="B468" s="2" t="s">
        <v>1597</v>
      </c>
      <c r="C468" s="3">
        <v>45056</v>
      </c>
      <c r="D468" s="3">
        <v>45061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1432.0000000000002</v>
      </c>
      <c r="S468" s="1">
        <v>5</v>
      </c>
      <c r="T468" s="1">
        <v>0.2</v>
      </c>
      <c r="U468" s="1">
        <v>125.30000000000007</v>
      </c>
      <c r="V468">
        <f>YEAR(Table1[[#This Row],[Order Date]])</f>
        <v>2023</v>
      </c>
      <c r="W468" t="str">
        <f>TEXT(Table1[[#This Row],[Order Date]],"mmm")</f>
        <v>May</v>
      </c>
      <c r="X468">
        <f t="shared" si="21"/>
        <v>25.060000000000013</v>
      </c>
      <c r="Y468" t="str">
        <f t="shared" si="22"/>
        <v>Profit</v>
      </c>
      <c r="Z468" t="str">
        <f t="shared" si="23"/>
        <v>Low</v>
      </c>
    </row>
    <row r="469" spans="1:26" x14ac:dyDescent="0.35">
      <c r="A469" s="1">
        <v>468</v>
      </c>
      <c r="B469" s="2" t="s">
        <v>1604</v>
      </c>
      <c r="C469" s="3">
        <v>45056</v>
      </c>
      <c r="D469" s="3">
        <v>45061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</v>
      </c>
      <c r="T469" s="1">
        <v>0.2</v>
      </c>
      <c r="U469" s="1">
        <v>4.3600000000000012</v>
      </c>
      <c r="V469">
        <f>YEAR(Table1[[#This Row],[Order Date]])</f>
        <v>2023</v>
      </c>
      <c r="W469" t="str">
        <f>TEXT(Table1[[#This Row],[Order Date]],"mmm")</f>
        <v>May</v>
      </c>
      <c r="X469">
        <f t="shared" si="21"/>
        <v>0.87200000000000022</v>
      </c>
      <c r="Y469" t="str">
        <f t="shared" si="22"/>
        <v>Profit</v>
      </c>
      <c r="Z469" t="str">
        <f t="shared" si="23"/>
        <v>Low</v>
      </c>
    </row>
    <row r="470" spans="1:26" x14ac:dyDescent="0.35">
      <c r="A470" s="1">
        <v>469</v>
      </c>
      <c r="B470" s="2" t="s">
        <v>1616</v>
      </c>
      <c r="C470" s="3">
        <v>45057</v>
      </c>
      <c r="D470" s="3">
        <v>45062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1212.9599999999998</v>
      </c>
      <c r="S470" s="1">
        <v>8</v>
      </c>
      <c r="T470" s="1">
        <v>0.3</v>
      </c>
      <c r="U470" s="1">
        <v>-69.311999999999898</v>
      </c>
      <c r="V470">
        <f>YEAR(Table1[[#This Row],[Order Date]])</f>
        <v>2023</v>
      </c>
      <c r="W470" t="str">
        <f>TEXT(Table1[[#This Row],[Order Date]],"mmm")</f>
        <v>May</v>
      </c>
      <c r="X470">
        <f t="shared" si="21"/>
        <v>-8.6639999999999873</v>
      </c>
      <c r="Y470" t="str">
        <f t="shared" si="22"/>
        <v>Loss</v>
      </c>
      <c r="Z470" t="str">
        <f t="shared" si="23"/>
        <v>Medium</v>
      </c>
    </row>
    <row r="471" spans="1:26" x14ac:dyDescent="0.35">
      <c r="A471" s="1">
        <v>470</v>
      </c>
      <c r="B471" s="2" t="s">
        <v>1621</v>
      </c>
      <c r="C471" s="3">
        <v>45057</v>
      </c>
      <c r="D471" s="3">
        <v>45062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66.112000000000009</v>
      </c>
      <c r="S471" s="1">
        <v>4</v>
      </c>
      <c r="T471" s="1">
        <v>0.6</v>
      </c>
      <c r="U471" s="1">
        <v>-84.292799999999986</v>
      </c>
      <c r="V471">
        <f>YEAR(Table1[[#This Row],[Order Date]])</f>
        <v>2023</v>
      </c>
      <c r="W471" t="str">
        <f>TEXT(Table1[[#This Row],[Order Date]],"mmm")</f>
        <v>May</v>
      </c>
      <c r="X471">
        <f t="shared" si="21"/>
        <v>-21.073199999999996</v>
      </c>
      <c r="Y471" t="str">
        <f t="shared" si="22"/>
        <v>Loss</v>
      </c>
      <c r="Z471" t="str">
        <f t="shared" si="23"/>
        <v>High</v>
      </c>
    </row>
    <row r="472" spans="1:26" x14ac:dyDescent="0.35">
      <c r="A472" s="1">
        <v>471</v>
      </c>
      <c r="B472" s="2" t="s">
        <v>1627</v>
      </c>
      <c r="C472" s="3">
        <v>45057</v>
      </c>
      <c r="D472" s="3">
        <v>45064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35.910000000000004</v>
      </c>
      <c r="S472" s="1">
        <v>3</v>
      </c>
      <c r="T472" s="1">
        <v>0</v>
      </c>
      <c r="U472" s="1">
        <v>9.6956999999999987</v>
      </c>
      <c r="V472">
        <f>YEAR(Table1[[#This Row],[Order Date]])</f>
        <v>2023</v>
      </c>
      <c r="W472" t="str">
        <f>TEXT(Table1[[#This Row],[Order Date]],"mmm")</f>
        <v>May</v>
      </c>
      <c r="X472">
        <f t="shared" si="21"/>
        <v>3.2318999999999996</v>
      </c>
      <c r="Y472" t="str">
        <f t="shared" si="22"/>
        <v>Profit</v>
      </c>
      <c r="Z472" t="str">
        <f t="shared" si="23"/>
        <v>No Discount</v>
      </c>
    </row>
    <row r="473" spans="1:26" x14ac:dyDescent="0.35">
      <c r="A473" s="1">
        <v>472</v>
      </c>
      <c r="B473" s="2" t="s">
        <v>1633</v>
      </c>
      <c r="C473" s="3">
        <v>45057</v>
      </c>
      <c r="D473" s="3">
        <v>45061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104.57999999999998</v>
      </c>
      <c r="S473" s="1">
        <v>9</v>
      </c>
      <c r="T473" s="1">
        <v>0.8</v>
      </c>
      <c r="U473" s="1">
        <v>-172.55700000000007</v>
      </c>
      <c r="V473">
        <f>YEAR(Table1[[#This Row],[Order Date]])</f>
        <v>2023</v>
      </c>
      <c r="W473" t="str">
        <f>TEXT(Table1[[#This Row],[Order Date]],"mmm")</f>
        <v>May</v>
      </c>
      <c r="X473">
        <f t="shared" si="21"/>
        <v>-19.173000000000009</v>
      </c>
      <c r="Y473" t="str">
        <f t="shared" si="22"/>
        <v>Loss</v>
      </c>
      <c r="Z473" t="str">
        <f t="shared" si="23"/>
        <v>High</v>
      </c>
    </row>
    <row r="474" spans="1:26" x14ac:dyDescent="0.35">
      <c r="A474" s="1">
        <v>473</v>
      </c>
      <c r="B474" s="2" t="s">
        <v>1633</v>
      </c>
      <c r="C474" s="3">
        <v>45057</v>
      </c>
      <c r="D474" s="3">
        <v>45061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17.472000000000001</v>
      </c>
      <c r="S474" s="1">
        <v>3</v>
      </c>
      <c r="T474" s="1">
        <v>0.2</v>
      </c>
      <c r="U474" s="1">
        <v>5.6783999999999981</v>
      </c>
      <c r="V474">
        <f>YEAR(Table1[[#This Row],[Order Date]])</f>
        <v>2023</v>
      </c>
      <c r="W474" t="str">
        <f>TEXT(Table1[[#This Row],[Order Date]],"mmm")</f>
        <v>May</v>
      </c>
      <c r="X474">
        <f t="shared" si="21"/>
        <v>1.8927999999999994</v>
      </c>
      <c r="Y474" t="str">
        <f t="shared" si="22"/>
        <v>Profit</v>
      </c>
      <c r="Z474" t="str">
        <f t="shared" si="23"/>
        <v>Low</v>
      </c>
    </row>
    <row r="475" spans="1:26" x14ac:dyDescent="0.35">
      <c r="A475" s="1">
        <v>474</v>
      </c>
      <c r="B475" s="2" t="s">
        <v>1638</v>
      </c>
      <c r="C475" s="3">
        <v>45057</v>
      </c>
      <c r="D475" s="3">
        <v>45063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46.864000000000004</v>
      </c>
      <c r="S475" s="1">
        <v>2</v>
      </c>
      <c r="T475" s="1">
        <v>0.2</v>
      </c>
      <c r="U475" s="1">
        <v>7.615399999999994</v>
      </c>
      <c r="V475">
        <f>YEAR(Table1[[#This Row],[Order Date]])</f>
        <v>2023</v>
      </c>
      <c r="W475" t="str">
        <f>TEXT(Table1[[#This Row],[Order Date]],"mmm")</f>
        <v>May</v>
      </c>
      <c r="X475">
        <f t="shared" si="21"/>
        <v>3.807699999999997</v>
      </c>
      <c r="Y475" t="str">
        <f t="shared" si="22"/>
        <v>Profit</v>
      </c>
      <c r="Z475" t="str">
        <f t="shared" si="23"/>
        <v>Low</v>
      </c>
    </row>
    <row r="476" spans="1:26" x14ac:dyDescent="0.35">
      <c r="A476" s="1">
        <v>475</v>
      </c>
      <c r="B476" s="2" t="s">
        <v>1621</v>
      </c>
      <c r="C476" s="3">
        <v>45057</v>
      </c>
      <c r="D476" s="3">
        <v>45062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58.112000000000002</v>
      </c>
      <c r="S476" s="1">
        <v>2</v>
      </c>
      <c r="T476" s="1">
        <v>0.2</v>
      </c>
      <c r="U476" s="1">
        <v>7.263999999999994</v>
      </c>
      <c r="V476">
        <f>YEAR(Table1[[#This Row],[Order Date]])</f>
        <v>2023</v>
      </c>
      <c r="W476" t="str">
        <f>TEXT(Table1[[#This Row],[Order Date]],"mmm")</f>
        <v>May</v>
      </c>
      <c r="X476">
        <f t="shared" si="21"/>
        <v>3.631999999999997</v>
      </c>
      <c r="Y476" t="str">
        <f t="shared" si="22"/>
        <v>Profit</v>
      </c>
      <c r="Z476" t="str">
        <f t="shared" si="23"/>
        <v>Low</v>
      </c>
    </row>
    <row r="477" spans="1:26" x14ac:dyDescent="0.35">
      <c r="A477" s="1">
        <v>476</v>
      </c>
      <c r="B477" s="2" t="s">
        <v>1621</v>
      </c>
      <c r="C477" s="3">
        <v>45057</v>
      </c>
      <c r="D477" s="3">
        <v>45062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</v>
      </c>
      <c r="T477" s="1">
        <v>0.2</v>
      </c>
      <c r="U477" s="1">
        <v>6.2995000000000019</v>
      </c>
      <c r="V477">
        <f>YEAR(Table1[[#This Row],[Order Date]])</f>
        <v>2023</v>
      </c>
      <c r="W477" t="str">
        <f>TEXT(Table1[[#This Row],[Order Date]],"mmm")</f>
        <v>May</v>
      </c>
      <c r="X477">
        <f t="shared" si="21"/>
        <v>6.2995000000000019</v>
      </c>
      <c r="Y477" t="str">
        <f t="shared" si="22"/>
        <v>Profit</v>
      </c>
      <c r="Z477" t="str">
        <f t="shared" si="23"/>
        <v>Low</v>
      </c>
    </row>
    <row r="478" spans="1:26" x14ac:dyDescent="0.35">
      <c r="A478" s="1">
        <v>477</v>
      </c>
      <c r="B478" s="2" t="s">
        <v>1647</v>
      </c>
      <c r="C478" s="3">
        <v>45058</v>
      </c>
      <c r="D478" s="3">
        <v>45061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</v>
      </c>
      <c r="T478" s="1">
        <v>0</v>
      </c>
      <c r="U478" s="1">
        <v>10.784899999999999</v>
      </c>
      <c r="V478">
        <f>YEAR(Table1[[#This Row],[Order Date]])</f>
        <v>2023</v>
      </c>
      <c r="W478" t="str">
        <f>TEXT(Table1[[#This Row],[Order Date]],"mmm")</f>
        <v>May</v>
      </c>
      <c r="X478">
        <f t="shared" si="21"/>
        <v>1.5406999999999997</v>
      </c>
      <c r="Y478" t="str">
        <f t="shared" si="22"/>
        <v>Profit</v>
      </c>
      <c r="Z478" t="str">
        <f t="shared" si="23"/>
        <v>No Discount</v>
      </c>
    </row>
    <row r="479" spans="1:26" x14ac:dyDescent="0.35">
      <c r="A479" s="1">
        <v>478</v>
      </c>
      <c r="B479" s="2" t="s">
        <v>1649</v>
      </c>
      <c r="C479" s="3">
        <v>45058</v>
      </c>
      <c r="D479" s="3">
        <v>45063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  <c r="V479">
        <f>YEAR(Table1[[#This Row],[Order Date]])</f>
        <v>2023</v>
      </c>
      <c r="W479" t="str">
        <f>TEXT(Table1[[#This Row],[Order Date]],"mmm")</f>
        <v>May</v>
      </c>
      <c r="X479">
        <f t="shared" si="21"/>
        <v>-43.336800000000004</v>
      </c>
      <c r="Y479" t="str">
        <f t="shared" si="22"/>
        <v>Loss</v>
      </c>
      <c r="Z479" t="str">
        <f t="shared" si="23"/>
        <v>Medium</v>
      </c>
    </row>
    <row r="480" spans="1:26" x14ac:dyDescent="0.35">
      <c r="A480" s="1">
        <v>479</v>
      </c>
      <c r="B480" s="2" t="s">
        <v>1653</v>
      </c>
      <c r="C480" s="3">
        <v>45059</v>
      </c>
      <c r="D480" s="3">
        <v>45065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279.45600000000002</v>
      </c>
      <c r="S480" s="1">
        <v>6</v>
      </c>
      <c r="T480" s="1">
        <v>0.2</v>
      </c>
      <c r="U480" s="1">
        <v>20.959199999999996</v>
      </c>
      <c r="V480">
        <f>YEAR(Table1[[#This Row],[Order Date]])</f>
        <v>2023</v>
      </c>
      <c r="W480" t="str">
        <f>TEXT(Table1[[#This Row],[Order Date]],"mmm")</f>
        <v>May</v>
      </c>
      <c r="X480">
        <f t="shared" si="21"/>
        <v>3.4931999999999994</v>
      </c>
      <c r="Y480" t="str">
        <f t="shared" si="22"/>
        <v>Profit</v>
      </c>
      <c r="Z480" t="str">
        <f t="shared" si="23"/>
        <v>Low</v>
      </c>
    </row>
    <row r="481" spans="1:26" x14ac:dyDescent="0.35">
      <c r="A481" s="1">
        <v>480</v>
      </c>
      <c r="B481" s="2" t="s">
        <v>1654</v>
      </c>
      <c r="C481" s="3">
        <v>45059</v>
      </c>
      <c r="D481" s="3">
        <v>45061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398.35200000000003</v>
      </c>
      <c r="S481" s="1">
        <v>8</v>
      </c>
      <c r="T481" s="1">
        <v>0.7</v>
      </c>
      <c r="U481" s="1">
        <v>-331.95999999999992</v>
      </c>
      <c r="V481">
        <f>YEAR(Table1[[#This Row],[Order Date]])</f>
        <v>2023</v>
      </c>
      <c r="W481" t="str">
        <f>TEXT(Table1[[#This Row],[Order Date]],"mmm")</f>
        <v>May</v>
      </c>
      <c r="X481">
        <f t="shared" si="21"/>
        <v>-41.49499999999999</v>
      </c>
      <c r="Y481" t="str">
        <f t="shared" si="22"/>
        <v>Loss</v>
      </c>
      <c r="Z481" t="str">
        <f t="shared" si="23"/>
        <v>High</v>
      </c>
    </row>
    <row r="482" spans="1:26" x14ac:dyDescent="0.35">
      <c r="A482" s="1">
        <v>481</v>
      </c>
      <c r="B482" s="2" t="s">
        <v>1654</v>
      </c>
      <c r="C482" s="3">
        <v>45059</v>
      </c>
      <c r="D482" s="3">
        <v>45061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7.104000000000001</v>
      </c>
      <c r="S482" s="1">
        <v>2</v>
      </c>
      <c r="T482" s="1">
        <v>0.2</v>
      </c>
      <c r="U482" s="1">
        <v>2.3976000000000002</v>
      </c>
      <c r="V482">
        <f>YEAR(Table1[[#This Row],[Order Date]])</f>
        <v>2023</v>
      </c>
      <c r="W482" t="str">
        <f>TEXT(Table1[[#This Row],[Order Date]],"mmm")</f>
        <v>May</v>
      </c>
      <c r="X482">
        <f t="shared" si="21"/>
        <v>1.1988000000000001</v>
      </c>
      <c r="Y482" t="str">
        <f t="shared" si="22"/>
        <v>Profit</v>
      </c>
      <c r="Z482" t="str">
        <f t="shared" si="23"/>
        <v>Low</v>
      </c>
    </row>
    <row r="483" spans="1:26" x14ac:dyDescent="0.35">
      <c r="A483" s="1">
        <v>482</v>
      </c>
      <c r="B483" s="2" t="s">
        <v>1653</v>
      </c>
      <c r="C483" s="3">
        <v>45059</v>
      </c>
      <c r="D483" s="3">
        <v>45065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</v>
      </c>
      <c r="S483" s="1">
        <v>2</v>
      </c>
      <c r="T483" s="1">
        <v>0</v>
      </c>
      <c r="U483" s="1">
        <v>3.84</v>
      </c>
      <c r="V483">
        <f>YEAR(Table1[[#This Row],[Order Date]])</f>
        <v>2023</v>
      </c>
      <c r="W483" t="str">
        <f>TEXT(Table1[[#This Row],[Order Date]],"mmm")</f>
        <v>May</v>
      </c>
      <c r="X483">
        <f t="shared" si="21"/>
        <v>1.92</v>
      </c>
      <c r="Y483" t="str">
        <f t="shared" si="22"/>
        <v>Profit</v>
      </c>
      <c r="Z483" t="str">
        <f t="shared" si="23"/>
        <v>No Discount</v>
      </c>
    </row>
    <row r="484" spans="1:26" x14ac:dyDescent="0.35">
      <c r="A484" s="1">
        <v>483</v>
      </c>
      <c r="B484" s="2" t="s">
        <v>1661</v>
      </c>
      <c r="C484" s="3">
        <v>45059</v>
      </c>
      <c r="D484" s="3">
        <v>45061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</v>
      </c>
      <c r="T484" s="1">
        <v>0</v>
      </c>
      <c r="U484" s="1">
        <v>9.9899999999999949</v>
      </c>
      <c r="V484">
        <f>YEAR(Table1[[#This Row],[Order Date]])</f>
        <v>2023</v>
      </c>
      <c r="W484" t="str">
        <f>TEXT(Table1[[#This Row],[Order Date]],"mmm")</f>
        <v>May</v>
      </c>
      <c r="X484">
        <f t="shared" si="21"/>
        <v>4.9949999999999974</v>
      </c>
      <c r="Y484" t="str">
        <f t="shared" si="22"/>
        <v>Profit</v>
      </c>
      <c r="Z484" t="str">
        <f t="shared" si="23"/>
        <v>No Discount</v>
      </c>
    </row>
    <row r="485" spans="1:26" x14ac:dyDescent="0.35">
      <c r="A485" s="1">
        <v>484</v>
      </c>
      <c r="B485" s="2" t="s">
        <v>1665</v>
      </c>
      <c r="C485" s="3">
        <v>45059</v>
      </c>
      <c r="D485" s="3">
        <v>45063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</v>
      </c>
      <c r="T485" s="1">
        <v>0</v>
      </c>
      <c r="U485" s="1">
        <v>52.489499999999992</v>
      </c>
      <c r="V485">
        <f>YEAR(Table1[[#This Row],[Order Date]])</f>
        <v>2023</v>
      </c>
      <c r="W485" t="str">
        <f>TEXT(Table1[[#This Row],[Order Date]],"mmm")</f>
        <v>May</v>
      </c>
      <c r="X485">
        <f t="shared" si="21"/>
        <v>17.496499999999997</v>
      </c>
      <c r="Y485" t="str">
        <f t="shared" si="22"/>
        <v>Profit</v>
      </c>
      <c r="Z485" t="str">
        <f t="shared" si="23"/>
        <v>No Discount</v>
      </c>
    </row>
    <row r="486" spans="1:26" x14ac:dyDescent="0.35">
      <c r="A486" s="1">
        <v>485</v>
      </c>
      <c r="B486" s="2" t="s">
        <v>1671</v>
      </c>
      <c r="C486" s="3">
        <v>45060</v>
      </c>
      <c r="D486" s="3">
        <v>45066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310.88000000000005</v>
      </c>
      <c r="S486" s="1">
        <v>2</v>
      </c>
      <c r="T486" s="1">
        <v>0.2</v>
      </c>
      <c r="U486" s="1">
        <v>23.315999999999988</v>
      </c>
      <c r="V486">
        <f>YEAR(Table1[[#This Row],[Order Date]])</f>
        <v>2023</v>
      </c>
      <c r="W486" t="str">
        <f>TEXT(Table1[[#This Row],[Order Date]],"mmm")</f>
        <v>May</v>
      </c>
      <c r="X486">
        <f t="shared" si="21"/>
        <v>11.657999999999994</v>
      </c>
      <c r="Y486" t="str">
        <f t="shared" si="22"/>
        <v>Profit</v>
      </c>
      <c r="Z486" t="str">
        <f t="shared" si="23"/>
        <v>Low</v>
      </c>
    </row>
    <row r="487" spans="1:26" x14ac:dyDescent="0.35">
      <c r="A487" s="1">
        <v>486</v>
      </c>
      <c r="B487" s="2" t="s">
        <v>1676</v>
      </c>
      <c r="C487" s="3">
        <v>45062</v>
      </c>
      <c r="D487" s="3">
        <v>45069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</v>
      </c>
      <c r="T487" s="1">
        <v>0.2</v>
      </c>
      <c r="U487" s="1">
        <v>17.466000000000008</v>
      </c>
      <c r="V487">
        <f>YEAR(Table1[[#This Row],[Order Date]])</f>
        <v>2023</v>
      </c>
      <c r="W487" t="str">
        <f>TEXT(Table1[[#This Row],[Order Date]],"mmm")</f>
        <v>May</v>
      </c>
      <c r="X487">
        <f t="shared" si="21"/>
        <v>3.4932000000000016</v>
      </c>
      <c r="Y487" t="str">
        <f t="shared" si="22"/>
        <v>Profit</v>
      </c>
      <c r="Z487" t="str">
        <f t="shared" si="23"/>
        <v>Low</v>
      </c>
    </row>
    <row r="488" spans="1:26" x14ac:dyDescent="0.35">
      <c r="A488" s="1">
        <v>487</v>
      </c>
      <c r="B488" s="2" t="s">
        <v>1679</v>
      </c>
      <c r="C488" s="3">
        <v>45062</v>
      </c>
      <c r="D488" s="3">
        <v>45066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56.400000000000006</v>
      </c>
      <c r="S488" s="1">
        <v>3</v>
      </c>
      <c r="T488" s="1">
        <v>0</v>
      </c>
      <c r="U488" s="1">
        <v>3.3840000000000003</v>
      </c>
      <c r="V488">
        <f>YEAR(Table1[[#This Row],[Order Date]])</f>
        <v>2023</v>
      </c>
      <c r="W488" t="str">
        <f>TEXT(Table1[[#This Row],[Order Date]],"mmm")</f>
        <v>May</v>
      </c>
      <c r="X488">
        <f t="shared" si="21"/>
        <v>1.1280000000000001</v>
      </c>
      <c r="Y488" t="str">
        <f t="shared" si="22"/>
        <v>Profit</v>
      </c>
      <c r="Z488" t="str">
        <f t="shared" si="23"/>
        <v>No Discount</v>
      </c>
    </row>
    <row r="489" spans="1:26" x14ac:dyDescent="0.35">
      <c r="A489" s="1">
        <v>488</v>
      </c>
      <c r="B489" s="2" t="s">
        <v>1684</v>
      </c>
      <c r="C489" s="3">
        <v>45063</v>
      </c>
      <c r="D489" s="3">
        <v>45067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91.679999999999993</v>
      </c>
      <c r="S489" s="1">
        <v>3</v>
      </c>
      <c r="T489" s="1">
        <v>0</v>
      </c>
      <c r="U489" s="1">
        <v>45.839999999999996</v>
      </c>
      <c r="V489">
        <f>YEAR(Table1[[#This Row],[Order Date]])</f>
        <v>2023</v>
      </c>
      <c r="W489" t="str">
        <f>TEXT(Table1[[#This Row],[Order Date]],"mmm")</f>
        <v>May</v>
      </c>
      <c r="X489">
        <f t="shared" si="21"/>
        <v>15.28</v>
      </c>
      <c r="Y489" t="str">
        <f t="shared" si="22"/>
        <v>Profit</v>
      </c>
      <c r="Z489" t="str">
        <f t="shared" si="23"/>
        <v>No Discount</v>
      </c>
    </row>
    <row r="490" spans="1:26" x14ac:dyDescent="0.35">
      <c r="A490" s="1">
        <v>489</v>
      </c>
      <c r="B490" s="2" t="s">
        <v>1688</v>
      </c>
      <c r="C490" s="3">
        <v>45064</v>
      </c>
      <c r="D490" s="3">
        <v>45066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</v>
      </c>
      <c r="T490" s="1">
        <v>0.2</v>
      </c>
      <c r="U490" s="1">
        <v>3.7308000000000021</v>
      </c>
      <c r="V490">
        <f>YEAR(Table1[[#This Row],[Order Date]])</f>
        <v>2023</v>
      </c>
      <c r="W490" t="str">
        <f>TEXT(Table1[[#This Row],[Order Date]],"mmm")</f>
        <v>May</v>
      </c>
      <c r="X490">
        <f t="shared" si="21"/>
        <v>1.2436000000000007</v>
      </c>
      <c r="Y490" t="str">
        <f t="shared" si="22"/>
        <v>Profit</v>
      </c>
      <c r="Z490" t="str">
        <f t="shared" si="23"/>
        <v>Low</v>
      </c>
    </row>
    <row r="491" spans="1:26" x14ac:dyDescent="0.35">
      <c r="A491" s="1">
        <v>490</v>
      </c>
      <c r="B491" s="2" t="s">
        <v>1688</v>
      </c>
      <c r="C491" s="3">
        <v>45064</v>
      </c>
      <c r="D491" s="3">
        <v>45066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15.936000000000002</v>
      </c>
      <c r="S491" s="1">
        <v>4</v>
      </c>
      <c r="T491" s="1">
        <v>0.2</v>
      </c>
      <c r="U491" s="1">
        <v>5.7768000000000015</v>
      </c>
      <c r="V491">
        <f>YEAR(Table1[[#This Row],[Order Date]])</f>
        <v>2023</v>
      </c>
      <c r="W491" t="str">
        <f>TEXT(Table1[[#This Row],[Order Date]],"mmm")</f>
        <v>May</v>
      </c>
      <c r="X491">
        <f t="shared" si="21"/>
        <v>1.4442000000000004</v>
      </c>
      <c r="Y491" t="str">
        <f t="shared" si="22"/>
        <v>Profit</v>
      </c>
      <c r="Z491" t="str">
        <f t="shared" si="23"/>
        <v>Low</v>
      </c>
    </row>
    <row r="492" spans="1:26" x14ac:dyDescent="0.35">
      <c r="A492" s="1">
        <v>491</v>
      </c>
      <c r="B492" s="2" t="s">
        <v>1696</v>
      </c>
      <c r="C492" s="3">
        <v>45064</v>
      </c>
      <c r="D492" s="3">
        <v>45068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3.9840000000000004</v>
      </c>
      <c r="S492" s="1">
        <v>1</v>
      </c>
      <c r="T492" s="1">
        <v>0.2</v>
      </c>
      <c r="U492" s="1">
        <v>1.4442000000000004</v>
      </c>
      <c r="V492">
        <f>YEAR(Table1[[#This Row],[Order Date]])</f>
        <v>2023</v>
      </c>
      <c r="W492" t="str">
        <f>TEXT(Table1[[#This Row],[Order Date]],"mmm")</f>
        <v>May</v>
      </c>
      <c r="X492">
        <f t="shared" si="21"/>
        <v>1.4442000000000004</v>
      </c>
      <c r="Y492" t="str">
        <f t="shared" si="22"/>
        <v>Profit</v>
      </c>
      <c r="Z492" t="str">
        <f t="shared" si="23"/>
        <v>Low</v>
      </c>
    </row>
    <row r="493" spans="1:26" x14ac:dyDescent="0.35">
      <c r="A493" s="1">
        <v>492</v>
      </c>
      <c r="B493" s="2" t="s">
        <v>1699</v>
      </c>
      <c r="C493" s="3">
        <v>45064</v>
      </c>
      <c r="D493" s="3">
        <v>45070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779.79600000000005</v>
      </c>
      <c r="S493" s="1">
        <v>2</v>
      </c>
      <c r="T493" s="1">
        <v>0.4</v>
      </c>
      <c r="U493" s="1">
        <v>-168.95579999999995</v>
      </c>
      <c r="V493">
        <f>YEAR(Table1[[#This Row],[Order Date]])</f>
        <v>2023</v>
      </c>
      <c r="W493" t="str">
        <f>TEXT(Table1[[#This Row],[Order Date]],"mmm")</f>
        <v>May</v>
      </c>
      <c r="X493">
        <f t="shared" si="21"/>
        <v>-84.477899999999977</v>
      </c>
      <c r="Y493" t="str">
        <f t="shared" si="22"/>
        <v>Loss</v>
      </c>
      <c r="Z493" t="str">
        <f t="shared" si="23"/>
        <v>Medium</v>
      </c>
    </row>
    <row r="494" spans="1:26" x14ac:dyDescent="0.35">
      <c r="A494" s="1">
        <v>493</v>
      </c>
      <c r="B494" s="2" t="s">
        <v>1705</v>
      </c>
      <c r="C494" s="3">
        <v>45065</v>
      </c>
      <c r="D494" s="3">
        <v>45069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</v>
      </c>
      <c r="T494" s="1">
        <v>0</v>
      </c>
      <c r="U494" s="1">
        <v>26.413199999999996</v>
      </c>
      <c r="V494">
        <f>YEAR(Table1[[#This Row],[Order Date]])</f>
        <v>2023</v>
      </c>
      <c r="W494" t="str">
        <f>TEXT(Table1[[#This Row],[Order Date]],"mmm")</f>
        <v>May</v>
      </c>
      <c r="X494">
        <f t="shared" si="21"/>
        <v>2.9347999999999996</v>
      </c>
      <c r="Y494" t="str">
        <f t="shared" si="22"/>
        <v>Profit</v>
      </c>
      <c r="Z494" t="str">
        <f t="shared" si="23"/>
        <v>No Discount</v>
      </c>
    </row>
    <row r="495" spans="1:26" x14ac:dyDescent="0.35">
      <c r="A495" s="1">
        <v>494</v>
      </c>
      <c r="B495" s="2" t="s">
        <v>1711</v>
      </c>
      <c r="C495" s="3">
        <v>45065</v>
      </c>
      <c r="D495" s="3">
        <v>45068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34.200000000000003</v>
      </c>
      <c r="S495" s="1">
        <v>5</v>
      </c>
      <c r="T495" s="1">
        <v>0</v>
      </c>
      <c r="U495" s="1">
        <v>9.234</v>
      </c>
      <c r="V495">
        <f>YEAR(Table1[[#This Row],[Order Date]])</f>
        <v>2023</v>
      </c>
      <c r="W495" t="str">
        <f>TEXT(Table1[[#This Row],[Order Date]],"mmm")</f>
        <v>May</v>
      </c>
      <c r="X495">
        <f t="shared" si="21"/>
        <v>1.8468</v>
      </c>
      <c r="Y495" t="str">
        <f t="shared" si="22"/>
        <v>Profit</v>
      </c>
      <c r="Z495" t="str">
        <f t="shared" si="23"/>
        <v>No Discount</v>
      </c>
    </row>
    <row r="496" spans="1:26" x14ac:dyDescent="0.35">
      <c r="A496" s="1">
        <v>495</v>
      </c>
      <c r="B496" s="2" t="s">
        <v>1714</v>
      </c>
      <c r="C496" s="3">
        <v>45066</v>
      </c>
      <c r="D496" s="3">
        <v>45068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139.86000000000001</v>
      </c>
      <c r="S496" s="1">
        <v>7</v>
      </c>
      <c r="T496" s="1">
        <v>0</v>
      </c>
      <c r="U496" s="1">
        <v>60.139800000000015</v>
      </c>
      <c r="V496">
        <f>YEAR(Table1[[#This Row],[Order Date]])</f>
        <v>2023</v>
      </c>
      <c r="W496" t="str">
        <f>TEXT(Table1[[#This Row],[Order Date]],"mmm")</f>
        <v>May</v>
      </c>
      <c r="X496">
        <f t="shared" si="21"/>
        <v>8.5914000000000019</v>
      </c>
      <c r="Y496" t="str">
        <f t="shared" si="22"/>
        <v>Profit</v>
      </c>
      <c r="Z496" t="str">
        <f t="shared" si="23"/>
        <v>No Discount</v>
      </c>
    </row>
    <row r="497" spans="1:26" x14ac:dyDescent="0.35">
      <c r="A497" s="1">
        <v>496</v>
      </c>
      <c r="B497" s="2" t="s">
        <v>1720</v>
      </c>
      <c r="C497" s="3">
        <v>45066</v>
      </c>
      <c r="D497" s="3">
        <v>45068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10.332000000000001</v>
      </c>
      <c r="S497" s="1">
        <v>3</v>
      </c>
      <c r="T497" s="1">
        <v>0.6</v>
      </c>
      <c r="U497" s="1">
        <v>-5.9408999999999992</v>
      </c>
      <c r="V497">
        <f>YEAR(Table1[[#This Row],[Order Date]])</f>
        <v>2023</v>
      </c>
      <c r="W497" t="str">
        <f>TEXT(Table1[[#This Row],[Order Date]],"mmm")</f>
        <v>May</v>
      </c>
      <c r="X497">
        <f t="shared" si="21"/>
        <v>-1.9802999999999997</v>
      </c>
      <c r="Y497" t="str">
        <f t="shared" si="22"/>
        <v>Loss</v>
      </c>
      <c r="Z497" t="str">
        <f t="shared" si="23"/>
        <v>High</v>
      </c>
    </row>
    <row r="498" spans="1:26" x14ac:dyDescent="0.35">
      <c r="A498" s="1">
        <v>497</v>
      </c>
      <c r="B498" s="2" t="s">
        <v>1714</v>
      </c>
      <c r="C498" s="3">
        <v>45066</v>
      </c>
      <c r="D498" s="3">
        <v>45068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</v>
      </c>
      <c r="T498" s="1">
        <v>0</v>
      </c>
      <c r="U498" s="1">
        <v>9.3184000000000005</v>
      </c>
      <c r="V498">
        <f>YEAR(Table1[[#This Row],[Order Date]])</f>
        <v>2023</v>
      </c>
      <c r="W498" t="str">
        <f>TEXT(Table1[[#This Row],[Order Date]],"mmm")</f>
        <v>May</v>
      </c>
      <c r="X498">
        <f t="shared" si="21"/>
        <v>2.3296000000000001</v>
      </c>
      <c r="Y498" t="str">
        <f t="shared" si="22"/>
        <v>Profit</v>
      </c>
      <c r="Z498" t="str">
        <f t="shared" si="23"/>
        <v>No Discount</v>
      </c>
    </row>
    <row r="499" spans="1:26" x14ac:dyDescent="0.35">
      <c r="A499" s="1">
        <v>498</v>
      </c>
      <c r="B499" s="2" t="s">
        <v>1714</v>
      </c>
      <c r="C499" s="3">
        <v>45066</v>
      </c>
      <c r="D499" s="3">
        <v>45068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38.520000000000003</v>
      </c>
      <c r="S499" s="1">
        <v>9</v>
      </c>
      <c r="T499" s="1">
        <v>0</v>
      </c>
      <c r="U499" s="1">
        <v>11.9412</v>
      </c>
      <c r="V499">
        <f>YEAR(Table1[[#This Row],[Order Date]])</f>
        <v>2023</v>
      </c>
      <c r="W499" t="str">
        <f>TEXT(Table1[[#This Row],[Order Date]],"mmm")</f>
        <v>May</v>
      </c>
      <c r="X499">
        <f t="shared" si="21"/>
        <v>1.3268</v>
      </c>
      <c r="Y499" t="str">
        <f t="shared" si="22"/>
        <v>Profit</v>
      </c>
      <c r="Z499" t="str">
        <f t="shared" si="23"/>
        <v>No Discount</v>
      </c>
    </row>
    <row r="500" spans="1:26" x14ac:dyDescent="0.35">
      <c r="A500" s="1">
        <v>499</v>
      </c>
      <c r="B500" s="2" t="s">
        <v>1720</v>
      </c>
      <c r="C500" s="3">
        <v>45066</v>
      </c>
      <c r="D500" s="3">
        <v>45068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10.368000000000002</v>
      </c>
      <c r="S500" s="1">
        <v>2</v>
      </c>
      <c r="T500" s="1">
        <v>0.2</v>
      </c>
      <c r="U500" s="1">
        <v>3.6288</v>
      </c>
      <c r="V500">
        <f>YEAR(Table1[[#This Row],[Order Date]])</f>
        <v>2023</v>
      </c>
      <c r="W500" t="str">
        <f>TEXT(Table1[[#This Row],[Order Date]],"mmm")</f>
        <v>May</v>
      </c>
      <c r="X500">
        <f t="shared" si="21"/>
        <v>1.8144</v>
      </c>
      <c r="Y500" t="str">
        <f t="shared" si="22"/>
        <v>Profit</v>
      </c>
      <c r="Z500" t="str">
        <f t="shared" si="23"/>
        <v>Low</v>
      </c>
    </row>
    <row r="501" spans="1:26" x14ac:dyDescent="0.35">
      <c r="A501" s="1">
        <v>500</v>
      </c>
      <c r="B501" s="2" t="s">
        <v>1720</v>
      </c>
      <c r="C501" s="3">
        <v>45066</v>
      </c>
      <c r="D501" s="3">
        <v>45068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66.959999999999994</v>
      </c>
      <c r="S501" s="1">
        <v>5</v>
      </c>
      <c r="T501" s="1">
        <v>0.2</v>
      </c>
      <c r="U501" s="1">
        <v>-13.392000000000003</v>
      </c>
      <c r="V501">
        <f>YEAR(Table1[[#This Row],[Order Date]])</f>
        <v>2023</v>
      </c>
      <c r="W501" t="str">
        <f>TEXT(Table1[[#This Row],[Order Date]],"mmm")</f>
        <v>May</v>
      </c>
      <c r="X501">
        <f t="shared" si="21"/>
        <v>-2.6784000000000008</v>
      </c>
      <c r="Y501" t="str">
        <f t="shared" si="22"/>
        <v>Loss</v>
      </c>
      <c r="Z501" t="str">
        <f t="shared" si="23"/>
        <v>Low</v>
      </c>
    </row>
    <row r="502" spans="1:26" x14ac:dyDescent="0.35">
      <c r="A502" s="1">
        <v>501</v>
      </c>
      <c r="B502" s="2" t="s">
        <v>1720</v>
      </c>
      <c r="C502" s="3">
        <v>45066</v>
      </c>
      <c r="D502" s="3">
        <v>45068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20.784000000000002</v>
      </c>
      <c r="S502" s="1">
        <v>2</v>
      </c>
      <c r="T502" s="1">
        <v>0.2</v>
      </c>
      <c r="U502" s="1">
        <v>-3.6372000000000027</v>
      </c>
      <c r="V502">
        <f>YEAR(Table1[[#This Row],[Order Date]])</f>
        <v>2023</v>
      </c>
      <c r="W502" t="str">
        <f>TEXT(Table1[[#This Row],[Order Date]],"mmm")</f>
        <v>May</v>
      </c>
      <c r="X502">
        <f t="shared" si="21"/>
        <v>-1.8186000000000013</v>
      </c>
      <c r="Y502" t="str">
        <f t="shared" si="22"/>
        <v>Loss</v>
      </c>
      <c r="Z502" t="str">
        <f t="shared" si="23"/>
        <v>Low</v>
      </c>
    </row>
    <row r="503" spans="1:26" x14ac:dyDescent="0.35">
      <c r="A503" s="1">
        <v>502</v>
      </c>
      <c r="B503" s="2" t="s">
        <v>1732</v>
      </c>
      <c r="C503" s="3">
        <v>45066</v>
      </c>
      <c r="D503" s="3">
        <v>45070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>
        <v>518.27</v>
      </c>
      <c r="S503" s="4">
        <v>8</v>
      </c>
      <c r="T503" s="4">
        <v>0.2</v>
      </c>
      <c r="U503" s="4">
        <v>-97.18</v>
      </c>
      <c r="V503">
        <f>YEAR(Table1[[#This Row],[Order Date]])</f>
        <v>2023</v>
      </c>
      <c r="W503" t="str">
        <f>TEXT(Table1[[#This Row],[Order Date]],"mmm")</f>
        <v>May</v>
      </c>
      <c r="X503">
        <f t="shared" si="21"/>
        <v>-12.147500000000001</v>
      </c>
      <c r="Y503" t="str">
        <f t="shared" si="22"/>
        <v>Loss</v>
      </c>
      <c r="Z503" t="str">
        <f t="shared" si="23"/>
        <v>Low</v>
      </c>
    </row>
    <row r="504" spans="1:26" x14ac:dyDescent="0.35">
      <c r="A504" s="1">
        <v>503</v>
      </c>
      <c r="B504" s="2" t="s">
        <v>1732</v>
      </c>
      <c r="C504" s="3">
        <v>45066</v>
      </c>
      <c r="D504" s="3">
        <v>45070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>
        <v>6.98</v>
      </c>
      <c r="S504" s="4">
        <v>1</v>
      </c>
      <c r="T504" s="4">
        <v>0</v>
      </c>
      <c r="U504" s="4">
        <v>3.35</v>
      </c>
      <c r="V504">
        <f>YEAR(Table1[[#This Row],[Order Date]])</f>
        <v>2023</v>
      </c>
      <c r="W504" t="str">
        <f>TEXT(Table1[[#This Row],[Order Date]],"mmm")</f>
        <v>May</v>
      </c>
      <c r="X504">
        <f t="shared" si="21"/>
        <v>3.35</v>
      </c>
      <c r="Y504" t="str">
        <f t="shared" si="22"/>
        <v>Profit</v>
      </c>
      <c r="Z504" t="str">
        <f t="shared" si="23"/>
        <v>No Discount</v>
      </c>
    </row>
    <row r="505" spans="1:26" x14ac:dyDescent="0.35">
      <c r="A505" s="1">
        <v>504</v>
      </c>
      <c r="B505" s="2" t="s">
        <v>1732</v>
      </c>
      <c r="C505" s="3">
        <v>45066</v>
      </c>
      <c r="D505" s="3">
        <v>45070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>
        <v>343.2</v>
      </c>
      <c r="S505" s="4">
        <v>1</v>
      </c>
      <c r="T505" s="4">
        <v>0.2</v>
      </c>
      <c r="U505" s="4">
        <v>38.61</v>
      </c>
      <c r="V505">
        <f>YEAR(Table1[[#This Row],[Order Date]])</f>
        <v>2023</v>
      </c>
      <c r="W505" t="str">
        <f>TEXT(Table1[[#This Row],[Order Date]],"mmm")</f>
        <v>May</v>
      </c>
      <c r="X505">
        <f t="shared" si="21"/>
        <v>38.61</v>
      </c>
      <c r="Y505" t="str">
        <f t="shared" si="22"/>
        <v>Profit</v>
      </c>
      <c r="Z505" t="str">
        <f t="shared" si="23"/>
        <v>Low</v>
      </c>
    </row>
    <row r="506" spans="1:26" x14ac:dyDescent="0.35">
      <c r="A506" s="1">
        <v>505</v>
      </c>
      <c r="B506" s="2" t="s">
        <v>1740</v>
      </c>
      <c r="C506" s="3">
        <v>45067</v>
      </c>
      <c r="D506" s="3">
        <v>45069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107.77200000000001</v>
      </c>
      <c r="S506" s="1">
        <v>2</v>
      </c>
      <c r="T506" s="1">
        <v>0.3</v>
      </c>
      <c r="U506" s="1">
        <v>-29.252400000000009</v>
      </c>
      <c r="V506">
        <f>YEAR(Table1[[#This Row],[Order Date]])</f>
        <v>2023</v>
      </c>
      <c r="W506" t="str">
        <f>TEXT(Table1[[#This Row],[Order Date]],"mmm")</f>
        <v>May</v>
      </c>
      <c r="X506">
        <f t="shared" si="21"/>
        <v>-14.626200000000004</v>
      </c>
      <c r="Y506" t="str">
        <f t="shared" si="22"/>
        <v>Loss</v>
      </c>
      <c r="Z506" t="str">
        <f t="shared" si="23"/>
        <v>Medium</v>
      </c>
    </row>
    <row r="507" spans="1:26" x14ac:dyDescent="0.35">
      <c r="A507" s="1">
        <v>506</v>
      </c>
      <c r="B507" s="2" t="s">
        <v>1743</v>
      </c>
      <c r="C507" s="3">
        <v>45067</v>
      </c>
      <c r="D507" s="3">
        <v>45072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</v>
      </c>
      <c r="T507" s="1">
        <v>0</v>
      </c>
      <c r="U507" s="1">
        <v>68.846399999999988</v>
      </c>
      <c r="V507">
        <f>YEAR(Table1[[#This Row],[Order Date]])</f>
        <v>2023</v>
      </c>
      <c r="W507" t="str">
        <f>TEXT(Table1[[#This Row],[Order Date]],"mmm")</f>
        <v>May</v>
      </c>
      <c r="X507">
        <f t="shared" si="21"/>
        <v>11.474399999999997</v>
      </c>
      <c r="Y507" t="str">
        <f t="shared" si="22"/>
        <v>Profit</v>
      </c>
      <c r="Z507" t="str">
        <f t="shared" si="23"/>
        <v>No Discount</v>
      </c>
    </row>
    <row r="508" spans="1:26" x14ac:dyDescent="0.35">
      <c r="A508" s="1">
        <v>507</v>
      </c>
      <c r="B508" s="2" t="s">
        <v>1746</v>
      </c>
      <c r="C508" s="3">
        <v>45067</v>
      </c>
      <c r="D508" s="3">
        <v>45071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</v>
      </c>
      <c r="T508" s="1">
        <v>0</v>
      </c>
      <c r="U508" s="1">
        <v>10.507199999999997</v>
      </c>
      <c r="V508">
        <f>YEAR(Table1[[#This Row],[Order Date]])</f>
        <v>2023</v>
      </c>
      <c r="W508" t="str">
        <f>TEXT(Table1[[#This Row],[Order Date]],"mmm")</f>
        <v>May</v>
      </c>
      <c r="X508">
        <f t="shared" si="21"/>
        <v>1.3133999999999997</v>
      </c>
      <c r="Y508" t="str">
        <f t="shared" si="22"/>
        <v>Profit</v>
      </c>
      <c r="Z508" t="str">
        <f t="shared" si="23"/>
        <v>No Discount</v>
      </c>
    </row>
    <row r="509" spans="1:26" x14ac:dyDescent="0.35">
      <c r="A509" s="1">
        <v>508</v>
      </c>
      <c r="B509" s="2" t="s">
        <v>1740</v>
      </c>
      <c r="C509" s="3">
        <v>45067</v>
      </c>
      <c r="D509" s="3">
        <v>45069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18.239999999999995</v>
      </c>
      <c r="S509" s="1">
        <v>3</v>
      </c>
      <c r="T509" s="1">
        <v>0.8</v>
      </c>
      <c r="U509" s="1">
        <v>-31.00800000000001</v>
      </c>
      <c r="V509">
        <f>YEAR(Table1[[#This Row],[Order Date]])</f>
        <v>2023</v>
      </c>
      <c r="W509" t="str">
        <f>TEXT(Table1[[#This Row],[Order Date]],"mmm")</f>
        <v>May</v>
      </c>
      <c r="X509">
        <f t="shared" si="21"/>
        <v>-10.336000000000004</v>
      </c>
      <c r="Y509" t="str">
        <f t="shared" si="22"/>
        <v>Loss</v>
      </c>
      <c r="Z509" t="str">
        <f t="shared" si="23"/>
        <v>High</v>
      </c>
    </row>
    <row r="510" spans="1:26" x14ac:dyDescent="0.35">
      <c r="A510" s="1">
        <v>509</v>
      </c>
      <c r="B510" s="2" t="s">
        <v>1743</v>
      </c>
      <c r="C510" s="3">
        <v>45067</v>
      </c>
      <c r="D510" s="3">
        <v>45072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447.85999999999996</v>
      </c>
      <c r="S510" s="1">
        <v>7</v>
      </c>
      <c r="T510" s="1">
        <v>0</v>
      </c>
      <c r="U510" s="1">
        <v>219.45140000000001</v>
      </c>
      <c r="V510">
        <f>YEAR(Table1[[#This Row],[Order Date]])</f>
        <v>2023</v>
      </c>
      <c r="W510" t="str">
        <f>TEXT(Table1[[#This Row],[Order Date]],"mmm")</f>
        <v>May</v>
      </c>
      <c r="X510">
        <f t="shared" si="21"/>
        <v>31.350200000000001</v>
      </c>
      <c r="Y510" t="str">
        <f t="shared" si="22"/>
        <v>Profit</v>
      </c>
      <c r="Z510" t="str">
        <f t="shared" si="23"/>
        <v>No Discount</v>
      </c>
    </row>
    <row r="511" spans="1:26" x14ac:dyDescent="0.35">
      <c r="A511" s="1">
        <v>510</v>
      </c>
      <c r="B511" s="2" t="s">
        <v>1753</v>
      </c>
      <c r="C511" s="3">
        <v>45067</v>
      </c>
      <c r="D511" s="3">
        <v>45071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2715.9300000000003</v>
      </c>
      <c r="S511" s="1">
        <v>7</v>
      </c>
      <c r="T511" s="1">
        <v>0</v>
      </c>
      <c r="U511" s="1">
        <v>1276.4871000000001</v>
      </c>
      <c r="V511">
        <f>YEAR(Table1[[#This Row],[Order Date]])</f>
        <v>2023</v>
      </c>
      <c r="W511" t="str">
        <f>TEXT(Table1[[#This Row],[Order Date]],"mmm")</f>
        <v>May</v>
      </c>
      <c r="X511">
        <f t="shared" si="21"/>
        <v>182.3553</v>
      </c>
      <c r="Y511" t="str">
        <f t="shared" si="22"/>
        <v>Profit</v>
      </c>
      <c r="Z511" t="str">
        <f t="shared" si="23"/>
        <v>No Discount</v>
      </c>
    </row>
    <row r="512" spans="1:26" x14ac:dyDescent="0.35">
      <c r="A512" s="1">
        <v>511</v>
      </c>
      <c r="B512" s="2" t="s">
        <v>1740</v>
      </c>
      <c r="C512" s="3">
        <v>45067</v>
      </c>
      <c r="D512" s="3">
        <v>45069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56.063999999999993</v>
      </c>
      <c r="S512" s="1">
        <v>6</v>
      </c>
      <c r="T512" s="1">
        <v>0.2</v>
      </c>
      <c r="U512" s="1">
        <v>21.024000000000001</v>
      </c>
      <c r="V512">
        <f>YEAR(Table1[[#This Row],[Order Date]])</f>
        <v>2023</v>
      </c>
      <c r="W512" t="str">
        <f>TEXT(Table1[[#This Row],[Order Date]],"mmm")</f>
        <v>May</v>
      </c>
      <c r="X512">
        <f t="shared" si="21"/>
        <v>3.504</v>
      </c>
      <c r="Y512" t="str">
        <f t="shared" si="22"/>
        <v>Profit</v>
      </c>
      <c r="Z512" t="str">
        <f t="shared" si="23"/>
        <v>Low</v>
      </c>
    </row>
    <row r="513" spans="1:26" x14ac:dyDescent="0.35">
      <c r="A513" s="1">
        <v>512</v>
      </c>
      <c r="B513" s="2" t="s">
        <v>1740</v>
      </c>
      <c r="C513" s="3">
        <v>45067</v>
      </c>
      <c r="D513" s="3">
        <v>45069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4.8320000000000007</v>
      </c>
      <c r="S513" s="1">
        <v>1</v>
      </c>
      <c r="T513" s="1">
        <v>0.2</v>
      </c>
      <c r="U513" s="1">
        <v>1.6307999999999998</v>
      </c>
      <c r="V513">
        <f>YEAR(Table1[[#This Row],[Order Date]])</f>
        <v>2023</v>
      </c>
      <c r="W513" t="str">
        <f>TEXT(Table1[[#This Row],[Order Date]],"mmm")</f>
        <v>May</v>
      </c>
      <c r="X513">
        <f t="shared" si="21"/>
        <v>1.6307999999999998</v>
      </c>
      <c r="Y513" t="str">
        <f t="shared" si="22"/>
        <v>Profit</v>
      </c>
      <c r="Z513" t="str">
        <f t="shared" si="23"/>
        <v>Low</v>
      </c>
    </row>
    <row r="514" spans="1:26" x14ac:dyDescent="0.35">
      <c r="A514" s="1">
        <v>513</v>
      </c>
      <c r="B514" s="2" t="s">
        <v>1743</v>
      </c>
      <c r="C514" s="3">
        <v>45067</v>
      </c>
      <c r="D514" s="3">
        <v>45072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17.940000000000001</v>
      </c>
      <c r="S514" s="1">
        <v>3</v>
      </c>
      <c r="T514" s="1">
        <v>0</v>
      </c>
      <c r="U514" s="1">
        <v>8.7906000000000013</v>
      </c>
      <c r="V514">
        <f>YEAR(Table1[[#This Row],[Order Date]])</f>
        <v>2023</v>
      </c>
      <c r="W514" t="str">
        <f>TEXT(Table1[[#This Row],[Order Date]],"mmm")</f>
        <v>May</v>
      </c>
      <c r="X514">
        <f t="shared" ref="X514:X577" si="24">IFERROR(U514/S514,0)</f>
        <v>2.9302000000000006</v>
      </c>
      <c r="Y514" t="str">
        <f t="shared" ref="Y514:Y577" si="25">IF(U514&gt;0,"Profit",IF(U514&lt;0,"Loss","Break-even"))</f>
        <v>Profit</v>
      </c>
      <c r="Z514" t="str">
        <f t="shared" ref="Z514:Z577" si="26">IF(T514=0,"No Discount",IF(T514&lt;=0.2,"Low",IF(T514&lt;=0.4,"Medium","High")))</f>
        <v>No Discount</v>
      </c>
    </row>
    <row r="515" spans="1:26" x14ac:dyDescent="0.35">
      <c r="A515" s="1">
        <v>514</v>
      </c>
      <c r="B515" s="2" t="s">
        <v>1753</v>
      </c>
      <c r="C515" s="3">
        <v>45067</v>
      </c>
      <c r="D515" s="3">
        <v>45071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</v>
      </c>
      <c r="T515" s="1">
        <v>0</v>
      </c>
      <c r="U515" s="1">
        <v>173.0316</v>
      </c>
      <c r="V515">
        <f>YEAR(Table1[[#This Row],[Order Date]])</f>
        <v>2023</v>
      </c>
      <c r="W515" t="str">
        <f>TEXT(Table1[[#This Row],[Order Date]],"mmm")</f>
        <v>May</v>
      </c>
      <c r="X515">
        <f t="shared" si="24"/>
        <v>57.677199999999999</v>
      </c>
      <c r="Y515" t="str">
        <f t="shared" si="25"/>
        <v>Profit</v>
      </c>
      <c r="Z515" t="str">
        <f t="shared" si="26"/>
        <v>No Discount</v>
      </c>
    </row>
    <row r="516" spans="1:26" x14ac:dyDescent="0.35">
      <c r="A516" s="1">
        <v>515</v>
      </c>
      <c r="B516" s="2" t="s">
        <v>1765</v>
      </c>
      <c r="C516" s="3">
        <v>45067</v>
      </c>
      <c r="D516" s="3">
        <v>45072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6">
        <v>245.88</v>
      </c>
      <c r="S516" s="6">
        <v>6</v>
      </c>
      <c r="T516" s="6">
        <v>0</v>
      </c>
      <c r="U516" s="6">
        <v>68.846399999999988</v>
      </c>
      <c r="V516">
        <f>YEAR(Table1[[#This Row],[Order Date]])</f>
        <v>2023</v>
      </c>
      <c r="W516" t="str">
        <f>TEXT(Table1[[#This Row],[Order Date]],"mmm")</f>
        <v>May</v>
      </c>
      <c r="X516">
        <f t="shared" si="24"/>
        <v>11.474399999999997</v>
      </c>
      <c r="Y516" t="str">
        <f t="shared" si="25"/>
        <v>Profit</v>
      </c>
      <c r="Z516" t="str">
        <f t="shared" si="26"/>
        <v>No Discount</v>
      </c>
    </row>
    <row r="517" spans="1:26" x14ac:dyDescent="0.35">
      <c r="A517" s="1">
        <v>516</v>
      </c>
      <c r="B517" s="2" t="s">
        <v>1765</v>
      </c>
      <c r="C517" s="3">
        <v>45067</v>
      </c>
      <c r="D517" s="3">
        <v>45072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6">
        <v>447.85999999999996</v>
      </c>
      <c r="S517" s="6">
        <v>7</v>
      </c>
      <c r="T517" s="6">
        <v>0</v>
      </c>
      <c r="U517" s="6">
        <v>219.45140000000001</v>
      </c>
      <c r="V517">
        <f>YEAR(Table1[[#This Row],[Order Date]])</f>
        <v>2023</v>
      </c>
      <c r="W517" t="str">
        <f>TEXT(Table1[[#This Row],[Order Date]],"mmm")</f>
        <v>May</v>
      </c>
      <c r="X517">
        <f t="shared" si="24"/>
        <v>31.350200000000001</v>
      </c>
      <c r="Y517" t="str">
        <f t="shared" si="25"/>
        <v>Profit</v>
      </c>
      <c r="Z517" t="str">
        <f t="shared" si="26"/>
        <v>No Discount</v>
      </c>
    </row>
    <row r="518" spans="1:26" x14ac:dyDescent="0.35">
      <c r="A518" s="1">
        <v>517</v>
      </c>
      <c r="B518" s="2" t="s">
        <v>1765</v>
      </c>
      <c r="C518" s="3">
        <v>45067</v>
      </c>
      <c r="D518" s="3">
        <v>45072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6">
        <v>17.940000000000001</v>
      </c>
      <c r="S518" s="6">
        <v>3</v>
      </c>
      <c r="T518" s="6">
        <v>0</v>
      </c>
      <c r="U518" s="6">
        <v>8.7906000000000013</v>
      </c>
      <c r="V518">
        <f>YEAR(Table1[[#This Row],[Order Date]])</f>
        <v>2023</v>
      </c>
      <c r="W518" t="str">
        <f>TEXT(Table1[[#This Row],[Order Date]],"mmm")</f>
        <v>May</v>
      </c>
      <c r="X518">
        <f t="shared" si="24"/>
        <v>2.9302000000000006</v>
      </c>
      <c r="Y518" t="str">
        <f t="shared" si="25"/>
        <v>Profit</v>
      </c>
      <c r="Z518" t="str">
        <f t="shared" si="26"/>
        <v>No Discount</v>
      </c>
    </row>
    <row r="519" spans="1:26" x14ac:dyDescent="0.35">
      <c r="A519" s="1">
        <v>518</v>
      </c>
      <c r="B519" s="2" t="s">
        <v>1769</v>
      </c>
      <c r="C519" s="3">
        <v>45068</v>
      </c>
      <c r="D519" s="3">
        <v>45075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135.97999999999999</v>
      </c>
      <c r="S519" s="1">
        <v>2</v>
      </c>
      <c r="T519" s="1">
        <v>0</v>
      </c>
      <c r="U519" s="1">
        <v>33.995000000000005</v>
      </c>
      <c r="V519">
        <f>YEAR(Table1[[#This Row],[Order Date]])</f>
        <v>2023</v>
      </c>
      <c r="W519" t="str">
        <f>TEXT(Table1[[#This Row],[Order Date]],"mmm")</f>
        <v>May</v>
      </c>
      <c r="X519">
        <f t="shared" si="24"/>
        <v>16.997500000000002</v>
      </c>
      <c r="Y519" t="str">
        <f t="shared" si="25"/>
        <v>Profit</v>
      </c>
      <c r="Z519" t="str">
        <f t="shared" si="26"/>
        <v>No Discount</v>
      </c>
    </row>
    <row r="520" spans="1:26" x14ac:dyDescent="0.35">
      <c r="A520" s="1">
        <v>519</v>
      </c>
      <c r="B520" s="2" t="s">
        <v>1769</v>
      </c>
      <c r="C520" s="3">
        <v>45068</v>
      </c>
      <c r="D520" s="3">
        <v>45075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</v>
      </c>
      <c r="T520" s="1">
        <v>0</v>
      </c>
      <c r="U520" s="1">
        <v>12.585999999999999</v>
      </c>
      <c r="V520">
        <f>YEAR(Table1[[#This Row],[Order Date]])</f>
        <v>2023</v>
      </c>
      <c r="W520" t="str">
        <f>TEXT(Table1[[#This Row],[Order Date]],"mmm")</f>
        <v>May</v>
      </c>
      <c r="X520">
        <f t="shared" si="24"/>
        <v>12.585999999999999</v>
      </c>
      <c r="Y520" t="str">
        <f t="shared" si="25"/>
        <v>Profit</v>
      </c>
      <c r="Z520" t="str">
        <f t="shared" si="26"/>
        <v>No Discount</v>
      </c>
    </row>
    <row r="521" spans="1:26" x14ac:dyDescent="0.35">
      <c r="A521" s="1">
        <v>520</v>
      </c>
      <c r="B521" s="2" t="s">
        <v>1776</v>
      </c>
      <c r="C521" s="3">
        <v>45069</v>
      </c>
      <c r="D521" s="3">
        <v>45073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</v>
      </c>
      <c r="T521" s="1">
        <v>0</v>
      </c>
      <c r="U521" s="1">
        <v>56.20320000000001</v>
      </c>
      <c r="V521">
        <f>YEAR(Table1[[#This Row],[Order Date]])</f>
        <v>2023</v>
      </c>
      <c r="W521" t="str">
        <f>TEXT(Table1[[#This Row],[Order Date]],"mmm")</f>
        <v>May</v>
      </c>
      <c r="X521">
        <f t="shared" si="24"/>
        <v>56.20320000000001</v>
      </c>
      <c r="Y521" t="str">
        <f t="shared" si="25"/>
        <v>Profit</v>
      </c>
      <c r="Z521" t="str">
        <f t="shared" si="26"/>
        <v>No Discount</v>
      </c>
    </row>
    <row r="522" spans="1:26" x14ac:dyDescent="0.35">
      <c r="A522" s="1">
        <v>521</v>
      </c>
      <c r="B522" s="2" t="s">
        <v>1781</v>
      </c>
      <c r="C522" s="3">
        <v>45069</v>
      </c>
      <c r="D522" s="3">
        <v>45073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21.167999999999999</v>
      </c>
      <c r="S522" s="1">
        <v>9</v>
      </c>
      <c r="T522" s="1">
        <v>0.2</v>
      </c>
      <c r="U522" s="1">
        <v>2.3813999999999984</v>
      </c>
      <c r="V522">
        <f>YEAR(Table1[[#This Row],[Order Date]])</f>
        <v>2023</v>
      </c>
      <c r="W522" t="str">
        <f>TEXT(Table1[[#This Row],[Order Date]],"mmm")</f>
        <v>May</v>
      </c>
      <c r="X522">
        <f t="shared" si="24"/>
        <v>0.26459999999999984</v>
      </c>
      <c r="Y522" t="str">
        <f t="shared" si="25"/>
        <v>Profit</v>
      </c>
      <c r="Z522" t="str">
        <f t="shared" si="26"/>
        <v>Low</v>
      </c>
    </row>
    <row r="523" spans="1:26" x14ac:dyDescent="0.35">
      <c r="A523" s="1">
        <v>522</v>
      </c>
      <c r="B523" s="2" t="s">
        <v>1776</v>
      </c>
      <c r="C523" s="3">
        <v>45069</v>
      </c>
      <c r="D523" s="3">
        <v>45073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</v>
      </c>
      <c r="T523" s="1">
        <v>0.2</v>
      </c>
      <c r="U523" s="1">
        <v>5.8369999999999997</v>
      </c>
      <c r="V523">
        <f>YEAR(Table1[[#This Row],[Order Date]])</f>
        <v>2023</v>
      </c>
      <c r="W523" t="str">
        <f>TEXT(Table1[[#This Row],[Order Date]],"mmm")</f>
        <v>May</v>
      </c>
      <c r="X523">
        <f t="shared" si="24"/>
        <v>1.1674</v>
      </c>
      <c r="Y523" t="str">
        <f t="shared" si="25"/>
        <v>Profit</v>
      </c>
      <c r="Z523" t="str">
        <f t="shared" si="26"/>
        <v>Low</v>
      </c>
    </row>
    <row r="524" spans="1:26" x14ac:dyDescent="0.35">
      <c r="A524" s="1">
        <v>523</v>
      </c>
      <c r="B524" s="2" t="s">
        <v>1781</v>
      </c>
      <c r="C524" s="3">
        <v>45069</v>
      </c>
      <c r="D524" s="3">
        <v>45073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3.2820000000000005</v>
      </c>
      <c r="S524" s="1">
        <v>2</v>
      </c>
      <c r="T524" s="1">
        <v>0.7</v>
      </c>
      <c r="U524" s="1">
        <v>-2.6256000000000004</v>
      </c>
      <c r="V524">
        <f>YEAR(Table1[[#This Row],[Order Date]])</f>
        <v>2023</v>
      </c>
      <c r="W524" t="str">
        <f>TEXT(Table1[[#This Row],[Order Date]],"mmm")</f>
        <v>May</v>
      </c>
      <c r="X524">
        <f t="shared" si="24"/>
        <v>-1.3128000000000002</v>
      </c>
      <c r="Y524" t="str">
        <f t="shared" si="25"/>
        <v>Loss</v>
      </c>
      <c r="Z524" t="str">
        <f t="shared" si="26"/>
        <v>High</v>
      </c>
    </row>
    <row r="525" spans="1:26" x14ac:dyDescent="0.35">
      <c r="A525" s="1">
        <v>524</v>
      </c>
      <c r="B525" s="2" t="s">
        <v>1787</v>
      </c>
      <c r="C525" s="3">
        <v>45069</v>
      </c>
      <c r="D525" s="3">
        <v>45073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</v>
      </c>
      <c r="T525" s="1">
        <v>0</v>
      </c>
      <c r="U525" s="1">
        <v>6.2208000000000006</v>
      </c>
      <c r="V525">
        <f>YEAR(Table1[[#This Row],[Order Date]])</f>
        <v>2023</v>
      </c>
      <c r="W525" t="str">
        <f>TEXT(Table1[[#This Row],[Order Date]],"mmm")</f>
        <v>May</v>
      </c>
      <c r="X525">
        <f t="shared" si="24"/>
        <v>3.1104000000000003</v>
      </c>
      <c r="Y525" t="str">
        <f t="shared" si="25"/>
        <v>Profit</v>
      </c>
      <c r="Z525" t="str">
        <f t="shared" si="26"/>
        <v>No Discount</v>
      </c>
    </row>
    <row r="526" spans="1:26" x14ac:dyDescent="0.35">
      <c r="A526" s="1">
        <v>525</v>
      </c>
      <c r="B526" s="2" t="s">
        <v>1776</v>
      </c>
      <c r="C526" s="3">
        <v>45069</v>
      </c>
      <c r="D526" s="3">
        <v>45073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</v>
      </c>
      <c r="T526" s="1">
        <v>0</v>
      </c>
      <c r="U526" s="1">
        <v>0.15120000000000022</v>
      </c>
      <c r="V526">
        <f>YEAR(Table1[[#This Row],[Order Date]])</f>
        <v>2023</v>
      </c>
      <c r="W526" t="str">
        <f>TEXT(Table1[[#This Row],[Order Date]],"mmm")</f>
        <v>May</v>
      </c>
      <c r="X526">
        <f t="shared" si="24"/>
        <v>7.5600000000000112E-2</v>
      </c>
      <c r="Y526" t="str">
        <f t="shared" si="25"/>
        <v>Profit</v>
      </c>
      <c r="Z526" t="str">
        <f t="shared" si="26"/>
        <v>No Discount</v>
      </c>
    </row>
    <row r="527" spans="1:26" x14ac:dyDescent="0.35">
      <c r="A527" s="1">
        <v>526</v>
      </c>
      <c r="B527" s="2" t="s">
        <v>1781</v>
      </c>
      <c r="C527" s="3">
        <v>45069</v>
      </c>
      <c r="D527" s="3">
        <v>45073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55.188000000000002</v>
      </c>
      <c r="S527" s="1">
        <v>2</v>
      </c>
      <c r="T527" s="1">
        <v>0.4</v>
      </c>
      <c r="U527" s="1">
        <v>-10.117800000000003</v>
      </c>
      <c r="V527">
        <f>YEAR(Table1[[#This Row],[Order Date]])</f>
        <v>2023</v>
      </c>
      <c r="W527" t="str">
        <f>TEXT(Table1[[#This Row],[Order Date]],"mmm")</f>
        <v>May</v>
      </c>
      <c r="X527">
        <f t="shared" si="24"/>
        <v>-5.0589000000000013</v>
      </c>
      <c r="Y527" t="str">
        <f t="shared" si="25"/>
        <v>Loss</v>
      </c>
      <c r="Z527" t="str">
        <f t="shared" si="26"/>
        <v>Medium</v>
      </c>
    </row>
    <row r="528" spans="1:26" x14ac:dyDescent="0.35">
      <c r="A528" s="1">
        <v>527</v>
      </c>
      <c r="B528" s="2" t="s">
        <v>1795</v>
      </c>
      <c r="C528" s="3">
        <v>45070</v>
      </c>
      <c r="D528" s="3">
        <v>45076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</v>
      </c>
      <c r="T528" s="1">
        <v>0</v>
      </c>
      <c r="U528" s="1">
        <v>56.977199999999996</v>
      </c>
      <c r="V528">
        <f>YEAR(Table1[[#This Row],[Order Date]])</f>
        <v>2023</v>
      </c>
      <c r="W528" t="str">
        <f>TEXT(Table1[[#This Row],[Order Date]],"mmm")</f>
        <v>May</v>
      </c>
      <c r="X528">
        <f t="shared" si="24"/>
        <v>18.9924</v>
      </c>
      <c r="Y528" t="str">
        <f t="shared" si="25"/>
        <v>Profit</v>
      </c>
      <c r="Z528" t="str">
        <f t="shared" si="26"/>
        <v>No Discount</v>
      </c>
    </row>
    <row r="529" spans="1:26" x14ac:dyDescent="0.35">
      <c r="A529" s="1">
        <v>528</v>
      </c>
      <c r="B529" s="2" t="s">
        <v>1800</v>
      </c>
      <c r="C529" s="3">
        <v>45071</v>
      </c>
      <c r="D529" s="3">
        <v>45075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</v>
      </c>
      <c r="T529" s="1">
        <v>0.6</v>
      </c>
      <c r="U529" s="1">
        <v>-24.188999999999993</v>
      </c>
      <c r="V529">
        <f>YEAR(Table1[[#This Row],[Order Date]])</f>
        <v>2023</v>
      </c>
      <c r="W529" t="str">
        <f>TEXT(Table1[[#This Row],[Order Date]],"mmm")</f>
        <v>May</v>
      </c>
      <c r="X529">
        <f t="shared" si="24"/>
        <v>-12.094499999999996</v>
      </c>
      <c r="Y529" t="str">
        <f t="shared" si="25"/>
        <v>Loss</v>
      </c>
      <c r="Z529" t="str">
        <f t="shared" si="26"/>
        <v>High</v>
      </c>
    </row>
    <row r="530" spans="1:26" x14ac:dyDescent="0.35">
      <c r="A530" s="1">
        <v>529</v>
      </c>
      <c r="B530" s="2" t="s">
        <v>1800</v>
      </c>
      <c r="C530" s="3">
        <v>45071</v>
      </c>
      <c r="D530" s="3">
        <v>45075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75.59999999999998</v>
      </c>
      <c r="S530" s="1">
        <v>2</v>
      </c>
      <c r="T530" s="1">
        <v>0.8</v>
      </c>
      <c r="U530" s="1">
        <v>-166.32000000000005</v>
      </c>
      <c r="V530">
        <f>YEAR(Table1[[#This Row],[Order Date]])</f>
        <v>2023</v>
      </c>
      <c r="W530" t="str">
        <f>TEXT(Table1[[#This Row],[Order Date]],"mmm")</f>
        <v>May</v>
      </c>
      <c r="X530">
        <f t="shared" si="24"/>
        <v>-83.160000000000025</v>
      </c>
      <c r="Y530" t="str">
        <f t="shared" si="25"/>
        <v>Loss</v>
      </c>
      <c r="Z530" t="str">
        <f t="shared" si="26"/>
        <v>High</v>
      </c>
    </row>
    <row r="531" spans="1:26" x14ac:dyDescent="0.35">
      <c r="A531" s="1">
        <v>530</v>
      </c>
      <c r="B531" s="2" t="s">
        <v>1807</v>
      </c>
      <c r="C531" s="3">
        <v>45071</v>
      </c>
      <c r="D531" s="3">
        <v>45075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</v>
      </c>
      <c r="T531" s="1">
        <v>0</v>
      </c>
      <c r="U531" s="1">
        <v>6.7251999999999992</v>
      </c>
      <c r="V531">
        <f>YEAR(Table1[[#This Row],[Order Date]])</f>
        <v>2023</v>
      </c>
      <c r="W531" t="str">
        <f>TEXT(Table1[[#This Row],[Order Date]],"mmm")</f>
        <v>May</v>
      </c>
      <c r="X531">
        <f t="shared" si="24"/>
        <v>3.3625999999999996</v>
      </c>
      <c r="Y531" t="str">
        <f t="shared" si="25"/>
        <v>Profit</v>
      </c>
      <c r="Z531" t="str">
        <f t="shared" si="26"/>
        <v>No Discount</v>
      </c>
    </row>
    <row r="532" spans="1:26" x14ac:dyDescent="0.35">
      <c r="A532" s="1">
        <v>531</v>
      </c>
      <c r="B532" s="2" t="s">
        <v>1812</v>
      </c>
      <c r="C532" s="3">
        <v>45072</v>
      </c>
      <c r="D532" s="3">
        <v>45076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</v>
      </c>
      <c r="T532" s="1">
        <v>0.15</v>
      </c>
      <c r="U532" s="1">
        <v>27.356800000000007</v>
      </c>
      <c r="V532">
        <f>YEAR(Table1[[#This Row],[Order Date]])</f>
        <v>2023</v>
      </c>
      <c r="W532" t="str">
        <f>TEXT(Table1[[#This Row],[Order Date]],"mmm")</f>
        <v>May</v>
      </c>
      <c r="X532">
        <f t="shared" si="24"/>
        <v>13.678400000000003</v>
      </c>
      <c r="Y532" t="str">
        <f t="shared" si="25"/>
        <v>Profit</v>
      </c>
      <c r="Z532" t="str">
        <f t="shared" si="26"/>
        <v>Low</v>
      </c>
    </row>
    <row r="533" spans="1:26" x14ac:dyDescent="0.35">
      <c r="A533" s="1">
        <v>532</v>
      </c>
      <c r="B533" s="2" t="s">
        <v>1815</v>
      </c>
      <c r="C533" s="3">
        <v>45072</v>
      </c>
      <c r="D533" s="3">
        <v>45076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225.29600000000002</v>
      </c>
      <c r="S533" s="1">
        <v>2</v>
      </c>
      <c r="T533" s="1">
        <v>0.2</v>
      </c>
      <c r="U533" s="1">
        <v>22.529599999999995</v>
      </c>
      <c r="V533">
        <f>YEAR(Table1[[#This Row],[Order Date]])</f>
        <v>2023</v>
      </c>
      <c r="W533" t="str">
        <f>TEXT(Table1[[#This Row],[Order Date]],"mmm")</f>
        <v>May</v>
      </c>
      <c r="X533">
        <f t="shared" si="24"/>
        <v>11.264799999999997</v>
      </c>
      <c r="Y533" t="str">
        <f t="shared" si="25"/>
        <v>Profit</v>
      </c>
      <c r="Z533" t="str">
        <f t="shared" si="26"/>
        <v>Low</v>
      </c>
    </row>
    <row r="534" spans="1:26" x14ac:dyDescent="0.35">
      <c r="A534" s="1">
        <v>533</v>
      </c>
      <c r="B534" s="2" t="s">
        <v>1820</v>
      </c>
      <c r="C534" s="3">
        <v>45072</v>
      </c>
      <c r="D534" s="3">
        <v>45077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359.77199999999999</v>
      </c>
      <c r="S534" s="1">
        <v>2</v>
      </c>
      <c r="T534" s="1">
        <v>0.3</v>
      </c>
      <c r="U534" s="1">
        <v>-5.1396000000000583</v>
      </c>
      <c r="V534">
        <f>YEAR(Table1[[#This Row],[Order Date]])</f>
        <v>2023</v>
      </c>
      <c r="W534" t="str">
        <f>TEXT(Table1[[#This Row],[Order Date]],"mmm")</f>
        <v>May</v>
      </c>
      <c r="X534">
        <f t="shared" si="24"/>
        <v>-2.5698000000000292</v>
      </c>
      <c r="Y534" t="str">
        <f t="shared" si="25"/>
        <v>Loss</v>
      </c>
      <c r="Z534" t="str">
        <f t="shared" si="26"/>
        <v>Medium</v>
      </c>
    </row>
    <row r="535" spans="1:26" x14ac:dyDescent="0.35">
      <c r="A535" s="1">
        <v>534</v>
      </c>
      <c r="B535" s="2" t="s">
        <v>1820</v>
      </c>
      <c r="C535" s="3">
        <v>45072</v>
      </c>
      <c r="D535" s="3">
        <v>45077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13.392000000000001</v>
      </c>
      <c r="S535" s="1">
        <v>3</v>
      </c>
      <c r="T535" s="1">
        <v>0.2</v>
      </c>
      <c r="U535" s="1">
        <v>3.1806000000000005</v>
      </c>
      <c r="V535">
        <f>YEAR(Table1[[#This Row],[Order Date]])</f>
        <v>2023</v>
      </c>
      <c r="W535" t="str">
        <f>TEXT(Table1[[#This Row],[Order Date]],"mmm")</f>
        <v>May</v>
      </c>
      <c r="X535">
        <f t="shared" si="24"/>
        <v>1.0602000000000003</v>
      </c>
      <c r="Y535" t="str">
        <f t="shared" si="25"/>
        <v>Profit</v>
      </c>
      <c r="Z535" t="str">
        <f t="shared" si="26"/>
        <v>Low</v>
      </c>
    </row>
    <row r="536" spans="1:26" x14ac:dyDescent="0.35">
      <c r="A536" s="1">
        <v>535</v>
      </c>
      <c r="B536" s="2" t="s">
        <v>1823</v>
      </c>
      <c r="C536" s="3">
        <v>45072</v>
      </c>
      <c r="D536" s="3">
        <v>45075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</v>
      </c>
      <c r="T536" s="1">
        <v>0</v>
      </c>
      <c r="U536" s="1">
        <v>23.231999999999999</v>
      </c>
      <c r="V536">
        <f>YEAR(Table1[[#This Row],[Order Date]])</f>
        <v>2023</v>
      </c>
      <c r="W536" t="str">
        <f>TEXT(Table1[[#This Row],[Order Date]],"mmm")</f>
        <v>May</v>
      </c>
      <c r="X536">
        <f t="shared" si="24"/>
        <v>4.6463999999999999</v>
      </c>
      <c r="Y536" t="str">
        <f t="shared" si="25"/>
        <v>Profit</v>
      </c>
      <c r="Z536" t="str">
        <f t="shared" si="26"/>
        <v>No Discount</v>
      </c>
    </row>
    <row r="537" spans="1:26" x14ac:dyDescent="0.35">
      <c r="A537" s="1">
        <v>536</v>
      </c>
      <c r="B537" s="2" t="s">
        <v>1820</v>
      </c>
      <c r="C537" s="3">
        <v>45072</v>
      </c>
      <c r="D537" s="3">
        <v>45077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</v>
      </c>
      <c r="T537" s="1">
        <v>0.2</v>
      </c>
      <c r="U537" s="1">
        <v>7.6968000000000032</v>
      </c>
      <c r="V537">
        <f>YEAR(Table1[[#This Row],[Order Date]])</f>
        <v>2023</v>
      </c>
      <c r="W537" t="str">
        <f>TEXT(Table1[[#This Row],[Order Date]],"mmm")</f>
        <v>May</v>
      </c>
      <c r="X537">
        <f t="shared" si="24"/>
        <v>2.5656000000000012</v>
      </c>
      <c r="Y537" t="str">
        <f t="shared" si="25"/>
        <v>Profit</v>
      </c>
      <c r="Z537" t="str">
        <f t="shared" si="26"/>
        <v>Low</v>
      </c>
    </row>
    <row r="538" spans="1:26" x14ac:dyDescent="0.35">
      <c r="A538" s="1">
        <v>537</v>
      </c>
      <c r="B538" s="2" t="s">
        <v>1812</v>
      </c>
      <c r="C538" s="3">
        <v>45072</v>
      </c>
      <c r="D538" s="3">
        <v>45076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</v>
      </c>
      <c r="T538" s="1">
        <v>0.2</v>
      </c>
      <c r="U538" s="1">
        <v>20.158400000000015</v>
      </c>
      <c r="V538">
        <f>YEAR(Table1[[#This Row],[Order Date]])</f>
        <v>2023</v>
      </c>
      <c r="W538" t="str">
        <f>TEXT(Table1[[#This Row],[Order Date]],"mmm")</f>
        <v>May</v>
      </c>
      <c r="X538">
        <f t="shared" si="24"/>
        <v>10.079200000000007</v>
      </c>
      <c r="Y538" t="str">
        <f t="shared" si="25"/>
        <v>Profit</v>
      </c>
      <c r="Z538" t="str">
        <f t="shared" si="26"/>
        <v>Low</v>
      </c>
    </row>
    <row r="539" spans="1:26" x14ac:dyDescent="0.35">
      <c r="A539" s="1">
        <v>538</v>
      </c>
      <c r="B539" s="2" t="s">
        <v>1812</v>
      </c>
      <c r="C539" s="3">
        <v>45072</v>
      </c>
      <c r="D539" s="3">
        <v>45076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83.984000000000009</v>
      </c>
      <c r="S539" s="1">
        <v>2</v>
      </c>
      <c r="T539" s="1">
        <v>0.2</v>
      </c>
      <c r="U539" s="1">
        <v>31.494</v>
      </c>
      <c r="V539">
        <f>YEAR(Table1[[#This Row],[Order Date]])</f>
        <v>2023</v>
      </c>
      <c r="W539" t="str">
        <f>TEXT(Table1[[#This Row],[Order Date]],"mmm")</f>
        <v>May</v>
      </c>
      <c r="X539">
        <f t="shared" si="24"/>
        <v>15.747</v>
      </c>
      <c r="Y539" t="str">
        <f t="shared" si="25"/>
        <v>Profit</v>
      </c>
      <c r="Z539" t="str">
        <f t="shared" si="26"/>
        <v>Low</v>
      </c>
    </row>
    <row r="540" spans="1:26" x14ac:dyDescent="0.35">
      <c r="A540" s="1">
        <v>539</v>
      </c>
      <c r="B540" s="2" t="s">
        <v>1833</v>
      </c>
      <c r="C540" s="3">
        <v>45073</v>
      </c>
      <c r="D540" s="3">
        <v>45073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</v>
      </c>
      <c r="T540" s="1">
        <v>0.2</v>
      </c>
      <c r="U540" s="1">
        <v>-28.355999999999952</v>
      </c>
      <c r="V540">
        <f>YEAR(Table1[[#This Row],[Order Date]])</f>
        <v>2023</v>
      </c>
      <c r="W540" t="str">
        <f>TEXT(Table1[[#This Row],[Order Date]],"mmm")</f>
        <v>May</v>
      </c>
      <c r="X540">
        <f t="shared" si="24"/>
        <v>-2.835599999999995</v>
      </c>
      <c r="Y540" t="str">
        <f t="shared" si="25"/>
        <v>Loss</v>
      </c>
      <c r="Z540" t="str">
        <f t="shared" si="26"/>
        <v>Low</v>
      </c>
    </row>
    <row r="541" spans="1:26" x14ac:dyDescent="0.35">
      <c r="A541" s="1">
        <v>540</v>
      </c>
      <c r="B541" s="2" t="s">
        <v>1838</v>
      </c>
      <c r="C541" s="3">
        <v>45073</v>
      </c>
      <c r="D541" s="3">
        <v>45076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17.459999999999997</v>
      </c>
      <c r="S541" s="1">
        <v>6</v>
      </c>
      <c r="T541" s="1">
        <v>0.8</v>
      </c>
      <c r="U541" s="1">
        <v>-30.555000000000007</v>
      </c>
      <c r="V541">
        <f>YEAR(Table1[[#This Row],[Order Date]])</f>
        <v>2023</v>
      </c>
      <c r="W541" t="str">
        <f>TEXT(Table1[[#This Row],[Order Date]],"mmm")</f>
        <v>May</v>
      </c>
      <c r="X541">
        <f t="shared" si="24"/>
        <v>-5.0925000000000011</v>
      </c>
      <c r="Y541" t="str">
        <f t="shared" si="25"/>
        <v>Loss</v>
      </c>
      <c r="Z541" t="str">
        <f t="shared" si="26"/>
        <v>High</v>
      </c>
    </row>
    <row r="542" spans="1:26" x14ac:dyDescent="0.35">
      <c r="A542" s="1">
        <v>541</v>
      </c>
      <c r="B542" s="2" t="s">
        <v>1833</v>
      </c>
      <c r="C542" s="3">
        <v>45073</v>
      </c>
      <c r="D542" s="3">
        <v>45073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</v>
      </c>
      <c r="T542" s="1">
        <v>0</v>
      </c>
      <c r="U542" s="1">
        <v>7.1863999999999919</v>
      </c>
      <c r="V542">
        <f>YEAR(Table1[[#This Row],[Order Date]])</f>
        <v>2023</v>
      </c>
      <c r="W542" t="str">
        <f>TEXT(Table1[[#This Row],[Order Date]],"mmm")</f>
        <v>May</v>
      </c>
      <c r="X542">
        <f t="shared" si="24"/>
        <v>1.796599999999998</v>
      </c>
      <c r="Y542" t="str">
        <f t="shared" si="25"/>
        <v>Profit</v>
      </c>
      <c r="Z542" t="str">
        <f t="shared" si="26"/>
        <v>No Discount</v>
      </c>
    </row>
    <row r="543" spans="1:26" x14ac:dyDescent="0.35">
      <c r="A543" s="1">
        <v>542</v>
      </c>
      <c r="B543" s="2" t="s">
        <v>1845</v>
      </c>
      <c r="C543" s="3">
        <v>45073</v>
      </c>
      <c r="D543" s="3">
        <v>45078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</v>
      </c>
      <c r="T543" s="1">
        <v>0</v>
      </c>
      <c r="U543" s="1">
        <v>37.996200000000002</v>
      </c>
      <c r="V543">
        <f>YEAR(Table1[[#This Row],[Order Date]])</f>
        <v>2023</v>
      </c>
      <c r="W543" t="str">
        <f>TEXT(Table1[[#This Row],[Order Date]],"mmm")</f>
        <v>May</v>
      </c>
      <c r="X543">
        <f t="shared" si="24"/>
        <v>37.996200000000002</v>
      </c>
      <c r="Y543" t="str">
        <f t="shared" si="25"/>
        <v>Profit</v>
      </c>
      <c r="Z543" t="str">
        <f t="shared" si="26"/>
        <v>No Discount</v>
      </c>
    </row>
    <row r="544" spans="1:26" x14ac:dyDescent="0.35">
      <c r="A544" s="1">
        <v>543</v>
      </c>
      <c r="B544" s="2" t="s">
        <v>1845</v>
      </c>
      <c r="C544" s="3">
        <v>45073</v>
      </c>
      <c r="D544" s="3">
        <v>45078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1113.5039999999999</v>
      </c>
      <c r="S544" s="1">
        <v>12</v>
      </c>
      <c r="T544" s="1">
        <v>0.2</v>
      </c>
      <c r="U544" s="1">
        <v>125.2691999999999</v>
      </c>
      <c r="V544">
        <f>YEAR(Table1[[#This Row],[Order Date]])</f>
        <v>2023</v>
      </c>
      <c r="W544" t="str">
        <f>TEXT(Table1[[#This Row],[Order Date]],"mmm")</f>
        <v>May</v>
      </c>
      <c r="X544">
        <f t="shared" si="24"/>
        <v>10.439099999999991</v>
      </c>
      <c r="Y544" t="str">
        <f t="shared" si="25"/>
        <v>Profit</v>
      </c>
      <c r="Z544" t="str">
        <f t="shared" si="26"/>
        <v>Low</v>
      </c>
    </row>
    <row r="545" spans="1:26" x14ac:dyDescent="0.35">
      <c r="A545" s="1">
        <v>544</v>
      </c>
      <c r="B545" s="2" t="s">
        <v>1850</v>
      </c>
      <c r="C545" s="3">
        <v>45074</v>
      </c>
      <c r="D545" s="3">
        <v>45078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</v>
      </c>
      <c r="T545" s="1">
        <v>0.2</v>
      </c>
      <c r="U545" s="1">
        <v>51.359999999999992</v>
      </c>
      <c r="V545">
        <f>YEAR(Table1[[#This Row],[Order Date]])</f>
        <v>2023</v>
      </c>
      <c r="W545" t="str">
        <f>TEXT(Table1[[#This Row],[Order Date]],"mmm")</f>
        <v>May</v>
      </c>
      <c r="X545">
        <f t="shared" si="24"/>
        <v>12.839999999999998</v>
      </c>
      <c r="Y545" t="str">
        <f t="shared" si="25"/>
        <v>Profit</v>
      </c>
      <c r="Z545" t="str">
        <f t="shared" si="26"/>
        <v>Low</v>
      </c>
    </row>
    <row r="546" spans="1:26" x14ac:dyDescent="0.35">
      <c r="A546" s="1">
        <v>545</v>
      </c>
      <c r="B546" s="2" t="s">
        <v>1855</v>
      </c>
      <c r="C546" s="3">
        <v>45074</v>
      </c>
      <c r="D546" s="3">
        <v>45079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</v>
      </c>
      <c r="T546" s="1">
        <v>0</v>
      </c>
      <c r="U546" s="1">
        <v>2.2079999999999984</v>
      </c>
      <c r="V546">
        <f>YEAR(Table1[[#This Row],[Order Date]])</f>
        <v>2023</v>
      </c>
      <c r="W546" t="str">
        <f>TEXT(Table1[[#This Row],[Order Date]],"mmm")</f>
        <v>May</v>
      </c>
      <c r="X546">
        <f t="shared" si="24"/>
        <v>0.5519999999999996</v>
      </c>
      <c r="Y546" t="str">
        <f t="shared" si="25"/>
        <v>Profit</v>
      </c>
      <c r="Z546" t="str">
        <f t="shared" si="26"/>
        <v>No Discount</v>
      </c>
    </row>
    <row r="547" spans="1:26" x14ac:dyDescent="0.35">
      <c r="A547" s="1">
        <v>546</v>
      </c>
      <c r="B547" s="2" t="s">
        <v>1855</v>
      </c>
      <c r="C547" s="3">
        <v>45074</v>
      </c>
      <c r="D547" s="3">
        <v>45079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57.408000000000008</v>
      </c>
      <c r="S547" s="1">
        <v>6</v>
      </c>
      <c r="T547" s="1">
        <v>0.2</v>
      </c>
      <c r="U547" s="1">
        <v>5.7408000000000019</v>
      </c>
      <c r="V547">
        <f>YEAR(Table1[[#This Row],[Order Date]])</f>
        <v>2023</v>
      </c>
      <c r="W547" t="str">
        <f>TEXT(Table1[[#This Row],[Order Date]],"mmm")</f>
        <v>May</v>
      </c>
      <c r="X547">
        <f t="shared" si="24"/>
        <v>0.95680000000000032</v>
      </c>
      <c r="Y547" t="str">
        <f t="shared" si="25"/>
        <v>Profit</v>
      </c>
      <c r="Z547" t="str">
        <f t="shared" si="26"/>
        <v>Low</v>
      </c>
    </row>
    <row r="548" spans="1:26" x14ac:dyDescent="0.35">
      <c r="A548" s="1">
        <v>547</v>
      </c>
      <c r="B548" s="2" t="s">
        <v>1860</v>
      </c>
      <c r="C548" s="3">
        <v>45076</v>
      </c>
      <c r="D548" s="3">
        <v>45082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355.45499999999998</v>
      </c>
      <c r="S548" s="1">
        <v>3</v>
      </c>
      <c r="T548" s="1">
        <v>0.5</v>
      </c>
      <c r="U548" s="1">
        <v>-184.83660000000003</v>
      </c>
      <c r="V548">
        <f>YEAR(Table1[[#This Row],[Order Date]])</f>
        <v>2023</v>
      </c>
      <c r="W548" t="str">
        <f>TEXT(Table1[[#This Row],[Order Date]],"mmm")</f>
        <v>May</v>
      </c>
      <c r="X548">
        <f t="shared" si="24"/>
        <v>-61.612200000000009</v>
      </c>
      <c r="Y548" t="str">
        <f t="shared" si="25"/>
        <v>Loss</v>
      </c>
      <c r="Z548" t="str">
        <f t="shared" si="26"/>
        <v>High</v>
      </c>
    </row>
    <row r="549" spans="1:26" x14ac:dyDescent="0.35">
      <c r="A549" s="1">
        <v>548</v>
      </c>
      <c r="B549" s="2" t="s">
        <v>1866</v>
      </c>
      <c r="C549" s="3">
        <v>45076</v>
      </c>
      <c r="D549" s="3">
        <v>45078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235.95000000000002</v>
      </c>
      <c r="S549" s="1">
        <v>3</v>
      </c>
      <c r="T549" s="1">
        <v>0</v>
      </c>
      <c r="U549" s="1">
        <v>77.863499999999988</v>
      </c>
      <c r="V549">
        <f>YEAR(Table1[[#This Row],[Order Date]])</f>
        <v>2023</v>
      </c>
      <c r="W549" t="str">
        <f>TEXT(Table1[[#This Row],[Order Date]],"mmm")</f>
        <v>May</v>
      </c>
      <c r="X549">
        <f t="shared" si="24"/>
        <v>25.954499999999996</v>
      </c>
      <c r="Y549" t="str">
        <f t="shared" si="25"/>
        <v>Profit</v>
      </c>
      <c r="Z549" t="str">
        <f t="shared" si="26"/>
        <v>No Discount</v>
      </c>
    </row>
    <row r="550" spans="1:26" x14ac:dyDescent="0.35">
      <c r="A550" s="1">
        <v>549</v>
      </c>
      <c r="B550" s="2" t="s">
        <v>1871</v>
      </c>
      <c r="C550" s="3">
        <v>45076</v>
      </c>
      <c r="D550" s="3">
        <v>45083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70.367999999999995</v>
      </c>
      <c r="S550" s="1">
        <v>4</v>
      </c>
      <c r="T550" s="1">
        <v>0.2</v>
      </c>
      <c r="U550" s="1">
        <v>26.387999999999998</v>
      </c>
      <c r="V550">
        <f>YEAR(Table1[[#This Row],[Order Date]])</f>
        <v>2023</v>
      </c>
      <c r="W550" t="str">
        <f>TEXT(Table1[[#This Row],[Order Date]],"mmm")</f>
        <v>May</v>
      </c>
      <c r="X550">
        <f t="shared" si="24"/>
        <v>6.5969999999999995</v>
      </c>
      <c r="Y550" t="str">
        <f t="shared" si="25"/>
        <v>Profit</v>
      </c>
      <c r="Z550" t="str">
        <f t="shared" si="26"/>
        <v>Low</v>
      </c>
    </row>
    <row r="551" spans="1:26" x14ac:dyDescent="0.35">
      <c r="A551" s="1">
        <v>550</v>
      </c>
      <c r="B551" s="2" t="s">
        <v>1866</v>
      </c>
      <c r="C551" s="3">
        <v>45076</v>
      </c>
      <c r="D551" s="3">
        <v>45078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25.584000000000003</v>
      </c>
      <c r="S551" s="1">
        <v>2</v>
      </c>
      <c r="T551" s="1">
        <v>0.2</v>
      </c>
      <c r="U551" s="1">
        <v>8.9543999999999997</v>
      </c>
      <c r="V551">
        <f>YEAR(Table1[[#This Row],[Order Date]])</f>
        <v>2023</v>
      </c>
      <c r="W551" t="str">
        <f>TEXT(Table1[[#This Row],[Order Date]],"mmm")</f>
        <v>May</v>
      </c>
      <c r="X551">
        <f t="shared" si="24"/>
        <v>4.4771999999999998</v>
      </c>
      <c r="Y551" t="str">
        <f t="shared" si="25"/>
        <v>Profit</v>
      </c>
      <c r="Z551" t="str">
        <f t="shared" si="26"/>
        <v>Low</v>
      </c>
    </row>
    <row r="552" spans="1:26" x14ac:dyDescent="0.35">
      <c r="A552" s="1">
        <v>551</v>
      </c>
      <c r="B552" s="2" t="s">
        <v>1876</v>
      </c>
      <c r="C552" s="3">
        <v>45076</v>
      </c>
      <c r="D552" s="3">
        <v>45082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13.620000000000001</v>
      </c>
      <c r="S552" s="1">
        <v>3</v>
      </c>
      <c r="T552" s="1">
        <v>0</v>
      </c>
      <c r="U552" s="1">
        <v>6.1289999999999996</v>
      </c>
      <c r="V552">
        <f>YEAR(Table1[[#This Row],[Order Date]])</f>
        <v>2023</v>
      </c>
      <c r="W552" t="str">
        <f>TEXT(Table1[[#This Row],[Order Date]],"mmm")</f>
        <v>May</v>
      </c>
      <c r="X552">
        <f t="shared" si="24"/>
        <v>2.0429999999999997</v>
      </c>
      <c r="Y552" t="str">
        <f t="shared" si="25"/>
        <v>Profit</v>
      </c>
      <c r="Z552" t="str">
        <f t="shared" si="26"/>
        <v>No Discount</v>
      </c>
    </row>
    <row r="553" spans="1:26" x14ac:dyDescent="0.35">
      <c r="A553" s="1">
        <v>552</v>
      </c>
      <c r="B553" s="2" t="s">
        <v>1866</v>
      </c>
      <c r="C553" s="3">
        <v>45076</v>
      </c>
      <c r="D553" s="3">
        <v>45078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</v>
      </c>
      <c r="T553" s="1">
        <v>0</v>
      </c>
      <c r="U553" s="1">
        <v>17.981999999999999</v>
      </c>
      <c r="V553">
        <f>YEAR(Table1[[#This Row],[Order Date]])</f>
        <v>2023</v>
      </c>
      <c r="W553" t="str">
        <f>TEXT(Table1[[#This Row],[Order Date]],"mmm")</f>
        <v>May</v>
      </c>
      <c r="X553">
        <f t="shared" si="24"/>
        <v>4.4954999999999998</v>
      </c>
      <c r="Y553" t="str">
        <f t="shared" si="25"/>
        <v>Profit</v>
      </c>
      <c r="Z553" t="str">
        <f t="shared" si="26"/>
        <v>No Discount</v>
      </c>
    </row>
    <row r="554" spans="1:26" x14ac:dyDescent="0.35">
      <c r="A554" s="1">
        <v>553</v>
      </c>
      <c r="B554" s="2" t="s">
        <v>1883</v>
      </c>
      <c r="C554" s="3">
        <v>45076</v>
      </c>
      <c r="D554" s="3">
        <v>45080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719.97600000000011</v>
      </c>
      <c r="S554" s="1">
        <v>3</v>
      </c>
      <c r="T554" s="1">
        <v>0.2</v>
      </c>
      <c r="U554" s="1">
        <v>134.99549999999999</v>
      </c>
      <c r="V554">
        <f>YEAR(Table1[[#This Row],[Order Date]])</f>
        <v>2023</v>
      </c>
      <c r="W554" t="str">
        <f>TEXT(Table1[[#This Row],[Order Date]],"mmm")</f>
        <v>May</v>
      </c>
      <c r="X554">
        <f t="shared" si="24"/>
        <v>44.9985</v>
      </c>
      <c r="Y554" t="str">
        <f t="shared" si="25"/>
        <v>Profit</v>
      </c>
      <c r="Z554" t="str">
        <f t="shared" si="26"/>
        <v>Low</v>
      </c>
    </row>
    <row r="555" spans="1:26" x14ac:dyDescent="0.35">
      <c r="A555" s="1">
        <v>554</v>
      </c>
      <c r="B555" s="2" t="s">
        <v>1866</v>
      </c>
      <c r="C555" s="3">
        <v>45076</v>
      </c>
      <c r="D555" s="3">
        <v>45078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</v>
      </c>
      <c r="S555" s="1">
        <v>5</v>
      </c>
      <c r="T555" s="1">
        <v>0</v>
      </c>
      <c r="U555" s="1">
        <v>134.55999999999995</v>
      </c>
      <c r="V555">
        <f>YEAR(Table1[[#This Row],[Order Date]])</f>
        <v>2023</v>
      </c>
      <c r="W555" t="str">
        <f>TEXT(Table1[[#This Row],[Order Date]],"mmm")</f>
        <v>May</v>
      </c>
      <c r="X555">
        <f t="shared" si="24"/>
        <v>26.911999999999988</v>
      </c>
      <c r="Y555" t="str">
        <f t="shared" si="25"/>
        <v>Profit</v>
      </c>
      <c r="Z555" t="str">
        <f t="shared" si="26"/>
        <v>No Discount</v>
      </c>
    </row>
    <row r="556" spans="1:26" x14ac:dyDescent="0.35">
      <c r="A556" s="1">
        <v>555</v>
      </c>
      <c r="B556" s="2" t="s">
        <v>1888</v>
      </c>
      <c r="C556" s="3">
        <v>45077</v>
      </c>
      <c r="D556" s="3">
        <v>45082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113.72999999999999</v>
      </c>
      <c r="S556" s="1">
        <v>3</v>
      </c>
      <c r="T556" s="1">
        <v>0</v>
      </c>
      <c r="U556" s="1">
        <v>32.981699999999989</v>
      </c>
      <c r="V556">
        <f>YEAR(Table1[[#This Row],[Order Date]])</f>
        <v>2023</v>
      </c>
      <c r="W556" t="str">
        <f>TEXT(Table1[[#This Row],[Order Date]],"mmm")</f>
        <v>May</v>
      </c>
      <c r="X556">
        <f t="shared" si="24"/>
        <v>10.993899999999996</v>
      </c>
      <c r="Y556" t="str">
        <f t="shared" si="25"/>
        <v>Profit</v>
      </c>
      <c r="Z556" t="str">
        <f t="shared" si="26"/>
        <v>No Discount</v>
      </c>
    </row>
    <row r="557" spans="1:26" x14ac:dyDescent="0.35">
      <c r="A557" s="1">
        <v>556</v>
      </c>
      <c r="B557" s="2" t="s">
        <v>1888</v>
      </c>
      <c r="C557" s="3">
        <v>45077</v>
      </c>
      <c r="D557" s="3">
        <v>45082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</v>
      </c>
      <c r="T557" s="1">
        <v>0</v>
      </c>
      <c r="U557" s="1">
        <v>197.99099999999996</v>
      </c>
      <c r="V557">
        <f>YEAR(Table1[[#This Row],[Order Date]])</f>
        <v>2023</v>
      </c>
      <c r="W557" t="str">
        <f>TEXT(Table1[[#This Row],[Order Date]],"mmm")</f>
        <v>May</v>
      </c>
      <c r="X557">
        <f t="shared" si="24"/>
        <v>65.996999999999986</v>
      </c>
      <c r="Y557" t="str">
        <f t="shared" si="25"/>
        <v>Profit</v>
      </c>
      <c r="Z557" t="str">
        <f t="shared" si="26"/>
        <v>No Discount</v>
      </c>
    </row>
    <row r="558" spans="1:26" x14ac:dyDescent="0.35">
      <c r="A558" s="1">
        <v>557</v>
      </c>
      <c r="B558" s="2" t="s">
        <v>1895</v>
      </c>
      <c r="C558" s="3">
        <v>45078</v>
      </c>
      <c r="D558" s="3">
        <v>45083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2001.8600000000001</v>
      </c>
      <c r="S558" s="1">
        <v>7</v>
      </c>
      <c r="T558" s="1">
        <v>0</v>
      </c>
      <c r="U558" s="1">
        <v>580.53939999999989</v>
      </c>
      <c r="V558">
        <f>YEAR(Table1[[#This Row],[Order Date]])</f>
        <v>2023</v>
      </c>
      <c r="W558" t="str">
        <f>TEXT(Table1[[#This Row],[Order Date]],"mmm")</f>
        <v>Jun</v>
      </c>
      <c r="X558">
        <f t="shared" si="24"/>
        <v>82.93419999999999</v>
      </c>
      <c r="Y558" t="str">
        <f t="shared" si="25"/>
        <v>Profit</v>
      </c>
      <c r="Z558" t="str">
        <f t="shared" si="26"/>
        <v>No Discount</v>
      </c>
    </row>
    <row r="559" spans="1:26" x14ac:dyDescent="0.35">
      <c r="A559" s="1">
        <v>558</v>
      </c>
      <c r="B559" s="2" t="s">
        <v>1898</v>
      </c>
      <c r="C559" s="3">
        <v>45078</v>
      </c>
      <c r="D559" s="3">
        <v>45083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22.200000000000003</v>
      </c>
      <c r="S559" s="1">
        <v>6</v>
      </c>
      <c r="T559" s="1">
        <v>0</v>
      </c>
      <c r="U559" s="1">
        <v>9.1020000000000021</v>
      </c>
      <c r="V559">
        <f>YEAR(Table1[[#This Row],[Order Date]])</f>
        <v>2023</v>
      </c>
      <c r="W559" t="str">
        <f>TEXT(Table1[[#This Row],[Order Date]],"mmm")</f>
        <v>Jun</v>
      </c>
      <c r="X559">
        <f t="shared" si="24"/>
        <v>1.5170000000000003</v>
      </c>
      <c r="Y559" t="str">
        <f t="shared" si="25"/>
        <v>Profit</v>
      </c>
      <c r="Z559" t="str">
        <f t="shared" si="26"/>
        <v>No Discount</v>
      </c>
    </row>
    <row r="560" spans="1:26" x14ac:dyDescent="0.35">
      <c r="A560" s="1">
        <v>559</v>
      </c>
      <c r="B560" s="2" t="s">
        <v>1895</v>
      </c>
      <c r="C560" s="3">
        <v>45078</v>
      </c>
      <c r="D560" s="3">
        <v>45083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</v>
      </c>
      <c r="T560" s="1">
        <v>0</v>
      </c>
      <c r="U560" s="1">
        <v>496.07249999999993</v>
      </c>
      <c r="V560">
        <f>YEAR(Table1[[#This Row],[Order Date]])</f>
        <v>2023</v>
      </c>
      <c r="W560" t="str">
        <f>TEXT(Table1[[#This Row],[Order Date]],"mmm")</f>
        <v>Jun</v>
      </c>
      <c r="X560">
        <f t="shared" si="24"/>
        <v>99.214499999999987</v>
      </c>
      <c r="Y560" t="str">
        <f t="shared" si="25"/>
        <v>Profit</v>
      </c>
      <c r="Z560" t="str">
        <f t="shared" si="26"/>
        <v>No Discount</v>
      </c>
    </row>
    <row r="561" spans="1:26" x14ac:dyDescent="0.35">
      <c r="A561" s="1">
        <v>560</v>
      </c>
      <c r="B561" s="2" t="s">
        <v>1906</v>
      </c>
      <c r="C561" s="3">
        <v>45078</v>
      </c>
      <c r="D561" s="3">
        <v>45083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65.52000000000001</v>
      </c>
      <c r="S561" s="1">
        <v>5</v>
      </c>
      <c r="T561" s="1">
        <v>0.1</v>
      </c>
      <c r="U561" s="1">
        <v>12.376000000000001</v>
      </c>
      <c r="V561">
        <f>YEAR(Table1[[#This Row],[Order Date]])</f>
        <v>2023</v>
      </c>
      <c r="W561" t="str">
        <f>TEXT(Table1[[#This Row],[Order Date]],"mmm")</f>
        <v>Jun</v>
      </c>
      <c r="X561">
        <f t="shared" si="24"/>
        <v>2.4752000000000001</v>
      </c>
      <c r="Y561" t="str">
        <f t="shared" si="25"/>
        <v>Profit</v>
      </c>
      <c r="Z561" t="str">
        <f t="shared" si="26"/>
        <v>Low</v>
      </c>
    </row>
    <row r="562" spans="1:26" x14ac:dyDescent="0.35">
      <c r="A562" s="1">
        <v>561</v>
      </c>
      <c r="B562" s="2" t="s">
        <v>1909</v>
      </c>
      <c r="C562" s="3">
        <v>45078</v>
      </c>
      <c r="D562" s="3">
        <v>45083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289.20000000000005</v>
      </c>
      <c r="S562" s="1">
        <v>6</v>
      </c>
      <c r="T562" s="1">
        <v>0</v>
      </c>
      <c r="U562" s="1">
        <v>83.867999999999967</v>
      </c>
      <c r="V562">
        <f>YEAR(Table1[[#This Row],[Order Date]])</f>
        <v>2023</v>
      </c>
      <c r="W562" t="str">
        <f>TEXT(Table1[[#This Row],[Order Date]],"mmm")</f>
        <v>Jun</v>
      </c>
      <c r="X562">
        <f t="shared" si="24"/>
        <v>13.977999999999994</v>
      </c>
      <c r="Y562" t="str">
        <f t="shared" si="25"/>
        <v>Profit</v>
      </c>
      <c r="Z562" t="str">
        <f t="shared" si="26"/>
        <v>No Discount</v>
      </c>
    </row>
    <row r="563" spans="1:26" x14ac:dyDescent="0.35">
      <c r="A563" s="1">
        <v>562</v>
      </c>
      <c r="B563" s="2" t="s">
        <v>1909</v>
      </c>
      <c r="C563" s="3">
        <v>45078</v>
      </c>
      <c r="D563" s="3">
        <v>45083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45.480000000000004</v>
      </c>
      <c r="S563" s="1">
        <v>3</v>
      </c>
      <c r="T563" s="1">
        <v>0</v>
      </c>
      <c r="U563" s="1">
        <v>20.9208</v>
      </c>
      <c r="V563">
        <f>YEAR(Table1[[#This Row],[Order Date]])</f>
        <v>2023</v>
      </c>
      <c r="W563" t="str">
        <f>TEXT(Table1[[#This Row],[Order Date]],"mmm")</f>
        <v>Jun</v>
      </c>
      <c r="X563">
        <f t="shared" si="24"/>
        <v>6.9736000000000002</v>
      </c>
      <c r="Y563" t="str">
        <f t="shared" si="25"/>
        <v>Profit</v>
      </c>
      <c r="Z563" t="str">
        <f t="shared" si="26"/>
        <v>No Discount</v>
      </c>
    </row>
    <row r="564" spans="1:26" x14ac:dyDescent="0.35">
      <c r="A564" s="1">
        <v>563</v>
      </c>
      <c r="B564" s="2" t="s">
        <v>1906</v>
      </c>
      <c r="C564" s="3">
        <v>45078</v>
      </c>
      <c r="D564" s="3">
        <v>45083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</v>
      </c>
      <c r="T564" s="1">
        <v>0</v>
      </c>
      <c r="U564" s="1">
        <v>66.508799999999994</v>
      </c>
      <c r="V564">
        <f>YEAR(Table1[[#This Row],[Order Date]])</f>
        <v>2023</v>
      </c>
      <c r="W564" t="str">
        <f>TEXT(Table1[[#This Row],[Order Date]],"mmm")</f>
        <v>Jun</v>
      </c>
      <c r="X564">
        <f t="shared" si="24"/>
        <v>16.627199999999998</v>
      </c>
      <c r="Y564" t="str">
        <f t="shared" si="25"/>
        <v>Profit</v>
      </c>
      <c r="Z564" t="str">
        <f t="shared" si="26"/>
        <v>No Discount</v>
      </c>
    </row>
    <row r="565" spans="1:26" x14ac:dyDescent="0.35">
      <c r="A565" s="1">
        <v>564</v>
      </c>
      <c r="B565" s="2" t="s">
        <v>1895</v>
      </c>
      <c r="C565" s="3">
        <v>45078</v>
      </c>
      <c r="D565" s="3">
        <v>45083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</v>
      </c>
      <c r="T565" s="1">
        <v>0</v>
      </c>
      <c r="U565" s="1">
        <v>12.441600000000001</v>
      </c>
      <c r="V565">
        <f>YEAR(Table1[[#This Row],[Order Date]])</f>
        <v>2023</v>
      </c>
      <c r="W565" t="str">
        <f>TEXT(Table1[[#This Row],[Order Date]],"mmm")</f>
        <v>Jun</v>
      </c>
      <c r="X565">
        <f t="shared" si="24"/>
        <v>3.1104000000000003</v>
      </c>
      <c r="Y565" t="str">
        <f t="shared" si="25"/>
        <v>Profit</v>
      </c>
      <c r="Z565" t="str">
        <f t="shared" si="26"/>
        <v>No Discount</v>
      </c>
    </row>
    <row r="566" spans="1:26" x14ac:dyDescent="0.35">
      <c r="A566" s="1">
        <v>565</v>
      </c>
      <c r="B566" s="2" t="s">
        <v>1895</v>
      </c>
      <c r="C566" s="3">
        <v>45078</v>
      </c>
      <c r="D566" s="3">
        <v>45083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</v>
      </c>
      <c r="T566" s="1">
        <v>0</v>
      </c>
      <c r="U566" s="1">
        <v>23.94</v>
      </c>
      <c r="V566">
        <f>YEAR(Table1[[#This Row],[Order Date]])</f>
        <v>2023</v>
      </c>
      <c r="W566" t="str">
        <f>TEXT(Table1[[#This Row],[Order Date]],"mmm")</f>
        <v>Jun</v>
      </c>
      <c r="X566">
        <f t="shared" si="24"/>
        <v>3.99</v>
      </c>
      <c r="Y566" t="str">
        <f t="shared" si="25"/>
        <v>Profit</v>
      </c>
      <c r="Z566" t="str">
        <f t="shared" si="26"/>
        <v>No Discount</v>
      </c>
    </row>
    <row r="567" spans="1:26" x14ac:dyDescent="0.35">
      <c r="A567" s="1">
        <v>566</v>
      </c>
      <c r="B567" s="2" t="s">
        <v>1895</v>
      </c>
      <c r="C567" s="3">
        <v>45078</v>
      </c>
      <c r="D567" s="3">
        <v>45083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</v>
      </c>
      <c r="T567" s="1">
        <v>0</v>
      </c>
      <c r="U567" s="1">
        <v>41.680000000000007</v>
      </c>
      <c r="V567">
        <f>YEAR(Table1[[#This Row],[Order Date]])</f>
        <v>2023</v>
      </c>
      <c r="W567" t="str">
        <f>TEXT(Table1[[#This Row],[Order Date]],"mmm")</f>
        <v>Jun</v>
      </c>
      <c r="X567">
        <f t="shared" si="24"/>
        <v>20.840000000000003</v>
      </c>
      <c r="Y567" t="str">
        <f t="shared" si="25"/>
        <v>Profit</v>
      </c>
      <c r="Z567" t="str">
        <f t="shared" si="26"/>
        <v>No Discount</v>
      </c>
    </row>
    <row r="568" spans="1:26" x14ac:dyDescent="0.35">
      <c r="A568" s="1">
        <v>567</v>
      </c>
      <c r="B568" s="2" t="s">
        <v>1898</v>
      </c>
      <c r="C568" s="3">
        <v>45078</v>
      </c>
      <c r="D568" s="3">
        <v>45083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</v>
      </c>
      <c r="T568" s="1">
        <v>0</v>
      </c>
      <c r="U568" s="1">
        <v>229.30180000000001</v>
      </c>
      <c r="V568">
        <f>YEAR(Table1[[#This Row],[Order Date]])</f>
        <v>2023</v>
      </c>
      <c r="W568" t="str">
        <f>TEXT(Table1[[#This Row],[Order Date]],"mmm")</f>
        <v>Jun</v>
      </c>
      <c r="X568">
        <f t="shared" si="24"/>
        <v>32.757400000000004</v>
      </c>
      <c r="Y568" t="str">
        <f t="shared" si="25"/>
        <v>Profit</v>
      </c>
      <c r="Z568" t="str">
        <f t="shared" si="26"/>
        <v>No Discount</v>
      </c>
    </row>
    <row r="569" spans="1:26" x14ac:dyDescent="0.35">
      <c r="A569" s="1">
        <v>568</v>
      </c>
      <c r="B569" s="2" t="s">
        <v>1927</v>
      </c>
      <c r="C569" s="3">
        <v>45079</v>
      </c>
      <c r="D569" s="3">
        <v>45084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73.320000000000007</v>
      </c>
      <c r="S569" s="1">
        <v>6</v>
      </c>
      <c r="T569" s="1">
        <v>0</v>
      </c>
      <c r="U569" s="1">
        <v>21.995999999999992</v>
      </c>
      <c r="V569">
        <f>YEAR(Table1[[#This Row],[Order Date]])</f>
        <v>2023</v>
      </c>
      <c r="W569" t="str">
        <f>TEXT(Table1[[#This Row],[Order Date]],"mmm")</f>
        <v>Jun</v>
      </c>
      <c r="X569">
        <f t="shared" si="24"/>
        <v>3.6659999999999986</v>
      </c>
      <c r="Y569" t="str">
        <f t="shared" si="25"/>
        <v>Profit</v>
      </c>
      <c r="Z569" t="str">
        <f t="shared" si="26"/>
        <v>No Discount</v>
      </c>
    </row>
    <row r="570" spans="1:26" x14ac:dyDescent="0.35">
      <c r="A570" s="1">
        <v>569</v>
      </c>
      <c r="B570" s="2" t="s">
        <v>1931</v>
      </c>
      <c r="C570" s="3">
        <v>45079</v>
      </c>
      <c r="D570" s="3">
        <v>45083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</v>
      </c>
      <c r="T570" s="1">
        <v>0</v>
      </c>
      <c r="U570" s="1">
        <v>2.6536</v>
      </c>
      <c r="V570">
        <f>YEAR(Table1[[#This Row],[Order Date]])</f>
        <v>2023</v>
      </c>
      <c r="W570" t="str">
        <f>TEXT(Table1[[#This Row],[Order Date]],"mmm")</f>
        <v>Jun</v>
      </c>
      <c r="X570">
        <f t="shared" si="24"/>
        <v>1.3268</v>
      </c>
      <c r="Y570" t="str">
        <f t="shared" si="25"/>
        <v>Profit</v>
      </c>
      <c r="Z570" t="str">
        <f t="shared" si="26"/>
        <v>No Discount</v>
      </c>
    </row>
    <row r="571" spans="1:26" x14ac:dyDescent="0.35">
      <c r="A571" s="1">
        <v>570</v>
      </c>
      <c r="B571" s="2" t="s">
        <v>1927</v>
      </c>
      <c r="C571" s="3">
        <v>45079</v>
      </c>
      <c r="D571" s="3">
        <v>45084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59.808000000000007</v>
      </c>
      <c r="S571" s="1">
        <v>3</v>
      </c>
      <c r="T571" s="1">
        <v>0.2</v>
      </c>
      <c r="U571" s="1">
        <v>19.4376</v>
      </c>
      <c r="V571">
        <f>YEAR(Table1[[#This Row],[Order Date]])</f>
        <v>2023</v>
      </c>
      <c r="W571" t="str">
        <f>TEXT(Table1[[#This Row],[Order Date]],"mmm")</f>
        <v>Jun</v>
      </c>
      <c r="X571">
        <f t="shared" si="24"/>
        <v>6.4791999999999996</v>
      </c>
      <c r="Y571" t="str">
        <f t="shared" si="25"/>
        <v>Profit</v>
      </c>
      <c r="Z571" t="str">
        <f t="shared" si="26"/>
        <v>Low</v>
      </c>
    </row>
    <row r="572" spans="1:26" x14ac:dyDescent="0.35">
      <c r="A572" s="1">
        <v>571</v>
      </c>
      <c r="B572" s="2" t="s">
        <v>1931</v>
      </c>
      <c r="C572" s="3">
        <v>45079</v>
      </c>
      <c r="D572" s="3">
        <v>45083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</v>
      </c>
      <c r="T572" s="1">
        <v>0</v>
      </c>
      <c r="U572" s="1">
        <v>107.08199999999997</v>
      </c>
      <c r="V572">
        <f>YEAR(Table1[[#This Row],[Order Date]])</f>
        <v>2023</v>
      </c>
      <c r="W572" t="str">
        <f>TEXT(Table1[[#This Row],[Order Date]],"mmm")</f>
        <v>Jun</v>
      </c>
      <c r="X572">
        <f t="shared" si="24"/>
        <v>53.540999999999983</v>
      </c>
      <c r="Y572" t="str">
        <f t="shared" si="25"/>
        <v>Profit</v>
      </c>
      <c r="Z572" t="str">
        <f t="shared" si="26"/>
        <v>No Discount</v>
      </c>
    </row>
    <row r="573" spans="1:26" x14ac:dyDescent="0.35">
      <c r="A573" s="1">
        <v>572</v>
      </c>
      <c r="B573" s="2" t="s">
        <v>1931</v>
      </c>
      <c r="C573" s="3">
        <v>45079</v>
      </c>
      <c r="D573" s="3">
        <v>45083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239.96999999999997</v>
      </c>
      <c r="S573" s="1">
        <v>3</v>
      </c>
      <c r="T573" s="1">
        <v>0</v>
      </c>
      <c r="U573" s="1">
        <v>67.191599999999994</v>
      </c>
      <c r="V573">
        <f>YEAR(Table1[[#This Row],[Order Date]])</f>
        <v>2023</v>
      </c>
      <c r="W573" t="str">
        <f>TEXT(Table1[[#This Row],[Order Date]],"mmm")</f>
        <v>Jun</v>
      </c>
      <c r="X573">
        <f t="shared" si="24"/>
        <v>22.397199999999998</v>
      </c>
      <c r="Y573" t="str">
        <f t="shared" si="25"/>
        <v>Profit</v>
      </c>
      <c r="Z573" t="str">
        <f t="shared" si="26"/>
        <v>No Discount</v>
      </c>
    </row>
    <row r="574" spans="1:26" x14ac:dyDescent="0.35">
      <c r="A574" s="1">
        <v>573</v>
      </c>
      <c r="B574" s="2" t="s">
        <v>1936</v>
      </c>
      <c r="C574" s="3">
        <v>45080</v>
      </c>
      <c r="D574" s="3">
        <v>45083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>
        <f>YEAR(Table1[[#This Row],[Order Date]])</f>
        <v>2023</v>
      </c>
      <c r="W574" t="str">
        <f>TEXT(Table1[[#This Row],[Order Date]],"mmm")</f>
        <v>Jun</v>
      </c>
      <c r="X574">
        <f t="shared" si="24"/>
        <v>-5.7147999999999994</v>
      </c>
      <c r="Y574" t="str">
        <f t="shared" si="25"/>
        <v>Loss</v>
      </c>
      <c r="Z574" t="str">
        <f t="shared" si="26"/>
        <v>High</v>
      </c>
    </row>
    <row r="575" spans="1:26" x14ac:dyDescent="0.35">
      <c r="A575" s="1">
        <v>574</v>
      </c>
      <c r="B575" s="2" t="s">
        <v>1941</v>
      </c>
      <c r="C575" s="3">
        <v>45080</v>
      </c>
      <c r="D575" s="3">
        <v>45084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</v>
      </c>
      <c r="T575" s="1">
        <v>0</v>
      </c>
      <c r="U575" s="1">
        <v>113.49359999999999</v>
      </c>
      <c r="V575">
        <f>YEAR(Table1[[#This Row],[Order Date]])</f>
        <v>2023</v>
      </c>
      <c r="W575" t="str">
        <f>TEXT(Table1[[#This Row],[Order Date]],"mmm")</f>
        <v>Jun</v>
      </c>
      <c r="X575">
        <f t="shared" si="24"/>
        <v>18.915599999999998</v>
      </c>
      <c r="Y575" t="str">
        <f t="shared" si="25"/>
        <v>Profit</v>
      </c>
      <c r="Z575" t="str">
        <f t="shared" si="26"/>
        <v>No Discount</v>
      </c>
    </row>
    <row r="576" spans="1:26" x14ac:dyDescent="0.35">
      <c r="A576" s="1">
        <v>575</v>
      </c>
      <c r="B576" s="2" t="s">
        <v>1945</v>
      </c>
      <c r="C576" s="3">
        <v>45080</v>
      </c>
      <c r="D576" s="3">
        <v>45084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</v>
      </c>
      <c r="T576" s="1">
        <v>0</v>
      </c>
      <c r="U576" s="1">
        <v>7.4871999999999996</v>
      </c>
      <c r="V576">
        <f>YEAR(Table1[[#This Row],[Order Date]])</f>
        <v>2023</v>
      </c>
      <c r="W576" t="str">
        <f>TEXT(Table1[[#This Row],[Order Date]],"mmm")</f>
        <v>Jun</v>
      </c>
      <c r="X576">
        <f t="shared" si="24"/>
        <v>3.7435999999999998</v>
      </c>
      <c r="Y576" t="str">
        <f t="shared" si="25"/>
        <v>Profit</v>
      </c>
      <c r="Z576" t="str">
        <f t="shared" si="26"/>
        <v>No Discount</v>
      </c>
    </row>
    <row r="577" spans="1:26" x14ac:dyDescent="0.35">
      <c r="A577" s="1">
        <v>576</v>
      </c>
      <c r="B577" s="2" t="s">
        <v>1936</v>
      </c>
      <c r="C577" s="3">
        <v>45080</v>
      </c>
      <c r="D577" s="3">
        <v>45083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15.936000000000002</v>
      </c>
      <c r="S577" s="1">
        <v>4</v>
      </c>
      <c r="T577" s="1">
        <v>0.2</v>
      </c>
      <c r="U577" s="1">
        <v>5.1791999999999998</v>
      </c>
      <c r="V577">
        <f>YEAR(Table1[[#This Row],[Order Date]])</f>
        <v>2023</v>
      </c>
      <c r="W577" t="str">
        <f>TEXT(Table1[[#This Row],[Order Date]],"mmm")</f>
        <v>Jun</v>
      </c>
      <c r="X577">
        <f t="shared" si="24"/>
        <v>1.2948</v>
      </c>
      <c r="Y577" t="str">
        <f t="shared" si="25"/>
        <v>Profit</v>
      </c>
      <c r="Z577" t="str">
        <f t="shared" si="26"/>
        <v>Low</v>
      </c>
    </row>
    <row r="578" spans="1:26" x14ac:dyDescent="0.35">
      <c r="A578" s="1">
        <v>577</v>
      </c>
      <c r="B578" s="2" t="s">
        <v>1936</v>
      </c>
      <c r="C578" s="3">
        <v>45080</v>
      </c>
      <c r="D578" s="3">
        <v>45083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</v>
      </c>
      <c r="T578" s="1">
        <v>0.2</v>
      </c>
      <c r="U578" s="1">
        <v>9.9521999999999977</v>
      </c>
      <c r="V578">
        <f>YEAR(Table1[[#This Row],[Order Date]])</f>
        <v>2023</v>
      </c>
      <c r="W578" t="str">
        <f>TEXT(Table1[[#This Row],[Order Date]],"mmm")</f>
        <v>Jun</v>
      </c>
      <c r="X578">
        <f t="shared" ref="X578:X641" si="27">IFERROR(U578/S578,0)</f>
        <v>3.3173999999999992</v>
      </c>
      <c r="Y578" t="str">
        <f t="shared" ref="Y578:Y641" si="28">IF(U578&gt;0,"Profit",IF(U578&lt;0,"Loss","Break-even"))</f>
        <v>Profit</v>
      </c>
      <c r="Z578" t="str">
        <f t="shared" ref="Z578:Z641" si="29">IF(T578=0,"No Discount",IF(T578&lt;=0.2,"Low",IF(T578&lt;=0.4,"Medium","High")))</f>
        <v>Low</v>
      </c>
    </row>
    <row r="579" spans="1:26" x14ac:dyDescent="0.35">
      <c r="A579" s="1">
        <v>578</v>
      </c>
      <c r="B579" s="2" t="s">
        <v>1952</v>
      </c>
      <c r="C579" s="3">
        <v>45081</v>
      </c>
      <c r="D579" s="3">
        <v>45086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  <c r="V579">
        <f>YEAR(Table1[[#This Row],[Order Date]])</f>
        <v>2023</v>
      </c>
      <c r="W579" t="str">
        <f>TEXT(Table1[[#This Row],[Order Date]],"mmm")</f>
        <v>Jun</v>
      </c>
      <c r="X579">
        <f t="shared" si="27"/>
        <v>-22.098000000000013</v>
      </c>
      <c r="Y579" t="str">
        <f t="shared" si="28"/>
        <v>Loss</v>
      </c>
      <c r="Z579" t="str">
        <f t="shared" si="29"/>
        <v>Low</v>
      </c>
    </row>
    <row r="580" spans="1:26" x14ac:dyDescent="0.35">
      <c r="A580" s="1">
        <v>579</v>
      </c>
      <c r="B580" s="2" t="s">
        <v>1952</v>
      </c>
      <c r="C580" s="3">
        <v>45081</v>
      </c>
      <c r="D580" s="3">
        <v>45086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</v>
      </c>
      <c r="T580" s="1">
        <v>0</v>
      </c>
      <c r="U580" s="1">
        <v>6.7008000000000001</v>
      </c>
      <c r="V580">
        <f>YEAR(Table1[[#This Row],[Order Date]])</f>
        <v>2023</v>
      </c>
      <c r="W580" t="str">
        <f>TEXT(Table1[[#This Row],[Order Date]],"mmm")</f>
        <v>Jun</v>
      </c>
      <c r="X580">
        <f t="shared" si="27"/>
        <v>3.3504</v>
      </c>
      <c r="Y580" t="str">
        <f t="shared" si="28"/>
        <v>Profit</v>
      </c>
      <c r="Z580" t="str">
        <f t="shared" si="29"/>
        <v>No Discount</v>
      </c>
    </row>
    <row r="581" spans="1:26" x14ac:dyDescent="0.35">
      <c r="A581" s="1">
        <v>580</v>
      </c>
      <c r="B581" s="2" t="s">
        <v>1952</v>
      </c>
      <c r="C581" s="3">
        <v>45081</v>
      </c>
      <c r="D581" s="3">
        <v>45086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</v>
      </c>
      <c r="T581" s="1">
        <v>0</v>
      </c>
      <c r="U581" s="1">
        <v>21.075200000000002</v>
      </c>
      <c r="V581">
        <f>YEAR(Table1[[#This Row],[Order Date]])</f>
        <v>2023</v>
      </c>
      <c r="W581" t="str">
        <f>TEXT(Table1[[#This Row],[Order Date]],"mmm")</f>
        <v>Jun</v>
      </c>
      <c r="X581">
        <f t="shared" si="27"/>
        <v>10.537600000000001</v>
      </c>
      <c r="Y581" t="str">
        <f t="shared" si="28"/>
        <v>Profit</v>
      </c>
      <c r="Z581" t="str">
        <f t="shared" si="29"/>
        <v>No Discount</v>
      </c>
    </row>
    <row r="582" spans="1:26" x14ac:dyDescent="0.35">
      <c r="A582" s="1">
        <v>581</v>
      </c>
      <c r="B582" s="2" t="s">
        <v>1952</v>
      </c>
      <c r="C582" s="3">
        <v>45081</v>
      </c>
      <c r="D582" s="3">
        <v>45086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</v>
      </c>
      <c r="T582" s="1">
        <v>0</v>
      </c>
      <c r="U582" s="1">
        <v>4.0456000000000003</v>
      </c>
      <c r="V582">
        <f>YEAR(Table1[[#This Row],[Order Date]])</f>
        <v>2023</v>
      </c>
      <c r="W582" t="str">
        <f>TEXT(Table1[[#This Row],[Order Date]],"mmm")</f>
        <v>Jun</v>
      </c>
      <c r="X582">
        <f t="shared" si="27"/>
        <v>1.0114000000000001</v>
      </c>
      <c r="Y582" t="str">
        <f t="shared" si="28"/>
        <v>Profit</v>
      </c>
      <c r="Z582" t="str">
        <f t="shared" si="29"/>
        <v>No Discount</v>
      </c>
    </row>
    <row r="583" spans="1:26" x14ac:dyDescent="0.35">
      <c r="A583" s="1">
        <v>582</v>
      </c>
      <c r="B583" s="2" t="s">
        <v>1961</v>
      </c>
      <c r="C583" s="3">
        <v>45081</v>
      </c>
      <c r="D583" s="3">
        <v>45086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</v>
      </c>
      <c r="T583" s="1">
        <v>0.2</v>
      </c>
      <c r="U583" s="1">
        <v>5.8812000000000006</v>
      </c>
      <c r="V583">
        <f>YEAR(Table1[[#This Row],[Order Date]])</f>
        <v>2023</v>
      </c>
      <c r="W583" t="str">
        <f>TEXT(Table1[[#This Row],[Order Date]],"mmm")</f>
        <v>Jun</v>
      </c>
      <c r="X583">
        <f t="shared" si="27"/>
        <v>2.9406000000000003</v>
      </c>
      <c r="Y583" t="str">
        <f t="shared" si="28"/>
        <v>Profit</v>
      </c>
      <c r="Z583" t="str">
        <f t="shared" si="29"/>
        <v>Low</v>
      </c>
    </row>
    <row r="584" spans="1:26" x14ac:dyDescent="0.35">
      <c r="A584" s="1">
        <v>583</v>
      </c>
      <c r="B584" s="2" t="s">
        <v>1963</v>
      </c>
      <c r="C584" s="3">
        <v>45083</v>
      </c>
      <c r="D584" s="3">
        <v>45088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991.76400000000012</v>
      </c>
      <c r="S584" s="1">
        <v>3</v>
      </c>
      <c r="T584" s="1">
        <v>0.4</v>
      </c>
      <c r="U584" s="1">
        <v>-347.11740000000009</v>
      </c>
      <c r="V584">
        <f>YEAR(Table1[[#This Row],[Order Date]])</f>
        <v>2023</v>
      </c>
      <c r="W584" t="str">
        <f>TEXT(Table1[[#This Row],[Order Date]],"mmm")</f>
        <v>Jun</v>
      </c>
      <c r="X584">
        <f t="shared" si="27"/>
        <v>-115.70580000000002</v>
      </c>
      <c r="Y584" t="str">
        <f t="shared" si="28"/>
        <v>Loss</v>
      </c>
      <c r="Z584" t="str">
        <f t="shared" si="29"/>
        <v>Medium</v>
      </c>
    </row>
    <row r="585" spans="1:26" x14ac:dyDescent="0.35">
      <c r="A585" s="1">
        <v>584</v>
      </c>
      <c r="B585" s="2" t="s">
        <v>1968</v>
      </c>
      <c r="C585" s="3">
        <v>45083</v>
      </c>
      <c r="D585" s="3">
        <v>45086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</v>
      </c>
      <c r="T585" s="1">
        <v>0</v>
      </c>
      <c r="U585" s="1">
        <v>4.9431999999999992</v>
      </c>
      <c r="V585">
        <f>YEAR(Table1[[#This Row],[Order Date]])</f>
        <v>2023</v>
      </c>
      <c r="W585" t="str">
        <f>TEXT(Table1[[#This Row],[Order Date]],"mmm")</f>
        <v>Jun</v>
      </c>
      <c r="X585">
        <f t="shared" si="27"/>
        <v>2.4715999999999996</v>
      </c>
      <c r="Y585" t="str">
        <f t="shared" si="28"/>
        <v>Profit</v>
      </c>
      <c r="Z585" t="str">
        <f t="shared" si="29"/>
        <v>No Discount</v>
      </c>
    </row>
    <row r="586" spans="1:26" x14ac:dyDescent="0.35">
      <c r="A586" s="1">
        <v>585</v>
      </c>
      <c r="B586" s="2" t="s">
        <v>1973</v>
      </c>
      <c r="C586" s="3">
        <v>45083</v>
      </c>
      <c r="D586" s="3">
        <v>45089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1.3650000000000002</v>
      </c>
      <c r="S586" s="1">
        <v>1</v>
      </c>
      <c r="T586" s="1">
        <v>0.7</v>
      </c>
      <c r="U586" s="1">
        <v>-0.9099999999999997</v>
      </c>
      <c r="V586">
        <f>YEAR(Table1[[#This Row],[Order Date]])</f>
        <v>2023</v>
      </c>
      <c r="W586" t="str">
        <f>TEXT(Table1[[#This Row],[Order Date]],"mmm")</f>
        <v>Jun</v>
      </c>
      <c r="X586">
        <f t="shared" si="27"/>
        <v>-0.9099999999999997</v>
      </c>
      <c r="Y586" t="str">
        <f t="shared" si="28"/>
        <v>Loss</v>
      </c>
      <c r="Z586" t="str">
        <f t="shared" si="29"/>
        <v>High</v>
      </c>
    </row>
    <row r="587" spans="1:26" x14ac:dyDescent="0.35">
      <c r="A587" s="1">
        <v>586</v>
      </c>
      <c r="B587" s="2" t="s">
        <v>1976</v>
      </c>
      <c r="C587" s="3">
        <v>45083</v>
      </c>
      <c r="D587" s="3">
        <v>45089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24.587999999999994</v>
      </c>
      <c r="S587" s="1">
        <v>3</v>
      </c>
      <c r="T587" s="1">
        <v>0.8</v>
      </c>
      <c r="U587" s="1">
        <v>-38.11140000000001</v>
      </c>
      <c r="V587">
        <f>YEAR(Table1[[#This Row],[Order Date]])</f>
        <v>2023</v>
      </c>
      <c r="W587" t="str">
        <f>TEXT(Table1[[#This Row],[Order Date]],"mmm")</f>
        <v>Jun</v>
      </c>
      <c r="X587">
        <f t="shared" si="27"/>
        <v>-12.703800000000003</v>
      </c>
      <c r="Y587" t="str">
        <f t="shared" si="28"/>
        <v>Loss</v>
      </c>
      <c r="Z587" t="str">
        <f t="shared" si="29"/>
        <v>High</v>
      </c>
    </row>
    <row r="588" spans="1:26" x14ac:dyDescent="0.35">
      <c r="A588" s="1">
        <v>587</v>
      </c>
      <c r="B588" s="2" t="s">
        <v>1963</v>
      </c>
      <c r="C588" s="3">
        <v>45083</v>
      </c>
      <c r="D588" s="3">
        <v>45088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149.54399999999998</v>
      </c>
      <c r="S588" s="1">
        <v>9</v>
      </c>
      <c r="T588" s="1">
        <v>0.2</v>
      </c>
      <c r="U588" s="1">
        <v>50.471099999999993</v>
      </c>
      <c r="V588">
        <f>YEAR(Table1[[#This Row],[Order Date]])</f>
        <v>2023</v>
      </c>
      <c r="W588" t="str">
        <f>TEXT(Table1[[#This Row],[Order Date]],"mmm")</f>
        <v>Jun</v>
      </c>
      <c r="X588">
        <f t="shared" si="27"/>
        <v>5.607899999999999</v>
      </c>
      <c r="Y588" t="str">
        <f t="shared" si="28"/>
        <v>Profit</v>
      </c>
      <c r="Z588" t="str">
        <f t="shared" si="29"/>
        <v>Low</v>
      </c>
    </row>
    <row r="589" spans="1:26" x14ac:dyDescent="0.35">
      <c r="A589" s="1">
        <v>588</v>
      </c>
      <c r="B589" s="2" t="s">
        <v>1976</v>
      </c>
      <c r="C589" s="3">
        <v>45083</v>
      </c>
      <c r="D589" s="3">
        <v>45089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13.984000000000002</v>
      </c>
      <c r="S589" s="1">
        <v>2</v>
      </c>
      <c r="T589" s="1">
        <v>0.2</v>
      </c>
      <c r="U589" s="1">
        <v>4.7195999999999998</v>
      </c>
      <c r="V589">
        <f>YEAR(Table1[[#This Row],[Order Date]])</f>
        <v>2023</v>
      </c>
      <c r="W589" t="str">
        <f>TEXT(Table1[[#This Row],[Order Date]],"mmm")</f>
        <v>Jun</v>
      </c>
      <c r="X589">
        <f t="shared" si="27"/>
        <v>2.3597999999999999</v>
      </c>
      <c r="Y589" t="str">
        <f t="shared" si="28"/>
        <v>Profit</v>
      </c>
      <c r="Z589" t="str">
        <f t="shared" si="29"/>
        <v>Low</v>
      </c>
    </row>
    <row r="590" spans="1:26" x14ac:dyDescent="0.35">
      <c r="A590" s="1">
        <v>589</v>
      </c>
      <c r="B590" s="2" t="s">
        <v>1983</v>
      </c>
      <c r="C590" s="3">
        <v>45083</v>
      </c>
      <c r="D590" s="3">
        <v>45087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100.24000000000001</v>
      </c>
      <c r="S590" s="1">
        <v>10</v>
      </c>
      <c r="T590" s="1">
        <v>0.2</v>
      </c>
      <c r="U590" s="1">
        <v>33.830999999999989</v>
      </c>
      <c r="V590">
        <f>YEAR(Table1[[#This Row],[Order Date]])</f>
        <v>2023</v>
      </c>
      <c r="W590" t="str">
        <f>TEXT(Table1[[#This Row],[Order Date]],"mmm")</f>
        <v>Jun</v>
      </c>
      <c r="X590">
        <f t="shared" si="27"/>
        <v>3.3830999999999989</v>
      </c>
      <c r="Y590" t="str">
        <f t="shared" si="28"/>
        <v>Profit</v>
      </c>
      <c r="Z590" t="str">
        <f t="shared" si="29"/>
        <v>Low</v>
      </c>
    </row>
    <row r="591" spans="1:26" x14ac:dyDescent="0.35">
      <c r="A591" s="1">
        <v>590</v>
      </c>
      <c r="B591" s="2" t="s">
        <v>1973</v>
      </c>
      <c r="C591" s="3">
        <v>45083</v>
      </c>
      <c r="D591" s="3">
        <v>45089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62.015999999999998</v>
      </c>
      <c r="S591" s="1">
        <v>2</v>
      </c>
      <c r="T591" s="1">
        <v>0.2</v>
      </c>
      <c r="U591" s="1">
        <v>22.480800000000002</v>
      </c>
      <c r="V591">
        <f>YEAR(Table1[[#This Row],[Order Date]])</f>
        <v>2023</v>
      </c>
      <c r="W591" t="str">
        <f>TEXT(Table1[[#This Row],[Order Date]],"mmm")</f>
        <v>Jun</v>
      </c>
      <c r="X591">
        <f t="shared" si="27"/>
        <v>11.240400000000001</v>
      </c>
      <c r="Y591" t="str">
        <f t="shared" si="28"/>
        <v>Profit</v>
      </c>
      <c r="Z591" t="str">
        <f t="shared" si="29"/>
        <v>Low</v>
      </c>
    </row>
    <row r="592" spans="1:26" x14ac:dyDescent="0.35">
      <c r="A592" s="1">
        <v>591</v>
      </c>
      <c r="B592" s="2" t="s">
        <v>1963</v>
      </c>
      <c r="C592" s="3">
        <v>45083</v>
      </c>
      <c r="D592" s="3">
        <v>45088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</v>
      </c>
      <c r="T592" s="1">
        <v>0</v>
      </c>
      <c r="U592" s="1">
        <v>4.4564000000000004</v>
      </c>
      <c r="V592">
        <f>YEAR(Table1[[#This Row],[Order Date]])</f>
        <v>2023</v>
      </c>
      <c r="W592" t="str">
        <f>TEXT(Table1[[#This Row],[Order Date]],"mmm")</f>
        <v>Jun</v>
      </c>
      <c r="X592">
        <f t="shared" si="27"/>
        <v>2.2282000000000002</v>
      </c>
      <c r="Y592" t="str">
        <f t="shared" si="28"/>
        <v>Profit</v>
      </c>
      <c r="Z592" t="str">
        <f t="shared" si="29"/>
        <v>No Discount</v>
      </c>
    </row>
    <row r="593" spans="1:26" x14ac:dyDescent="0.35">
      <c r="A593" s="1">
        <v>592</v>
      </c>
      <c r="B593" s="2" t="s">
        <v>1988</v>
      </c>
      <c r="C593" s="3">
        <v>45084</v>
      </c>
      <c r="D593" s="3">
        <v>45088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  <c r="V593">
        <f>YEAR(Table1[[#This Row],[Order Date]])</f>
        <v>2023</v>
      </c>
      <c r="W593" t="str">
        <f>TEXT(Table1[[#This Row],[Order Date]],"mmm")</f>
        <v>Jun</v>
      </c>
      <c r="X593">
        <f t="shared" si="27"/>
        <v>-69.923099999999991</v>
      </c>
      <c r="Y593" t="str">
        <f t="shared" si="28"/>
        <v>Loss</v>
      </c>
      <c r="Z593" t="str">
        <f t="shared" si="29"/>
        <v>High</v>
      </c>
    </row>
    <row r="594" spans="1:26" x14ac:dyDescent="0.35">
      <c r="A594" s="1">
        <v>593</v>
      </c>
      <c r="B594" s="2" t="s">
        <v>1994</v>
      </c>
      <c r="C594" s="3">
        <v>45084</v>
      </c>
      <c r="D594" s="3">
        <v>45087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12.461999999999996</v>
      </c>
      <c r="S594" s="1">
        <v>3</v>
      </c>
      <c r="T594" s="1">
        <v>0.8</v>
      </c>
      <c r="U594" s="1">
        <v>-20.5623</v>
      </c>
      <c r="V594">
        <f>YEAR(Table1[[#This Row],[Order Date]])</f>
        <v>2023</v>
      </c>
      <c r="W594" t="str">
        <f>TEXT(Table1[[#This Row],[Order Date]],"mmm")</f>
        <v>Jun</v>
      </c>
      <c r="X594">
        <f t="shared" si="27"/>
        <v>-6.8540999999999999</v>
      </c>
      <c r="Y594" t="str">
        <f t="shared" si="28"/>
        <v>Loss</v>
      </c>
      <c r="Z594" t="str">
        <f t="shared" si="29"/>
        <v>High</v>
      </c>
    </row>
    <row r="595" spans="1:26" x14ac:dyDescent="0.35">
      <c r="A595" s="1">
        <v>594</v>
      </c>
      <c r="B595" s="2" t="s">
        <v>1998</v>
      </c>
      <c r="C595" s="3">
        <v>45085</v>
      </c>
      <c r="D595" s="3">
        <v>45089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170.35200000000003</v>
      </c>
      <c r="S595" s="1">
        <v>3</v>
      </c>
      <c r="T595" s="1">
        <v>0.2</v>
      </c>
      <c r="U595" s="1">
        <v>10.647000000000006</v>
      </c>
      <c r="V595">
        <f>YEAR(Table1[[#This Row],[Order Date]])</f>
        <v>2023</v>
      </c>
      <c r="W595" t="str">
        <f>TEXT(Table1[[#This Row],[Order Date]],"mmm")</f>
        <v>Jun</v>
      </c>
      <c r="X595">
        <f t="shared" si="27"/>
        <v>3.5490000000000017</v>
      </c>
      <c r="Y595" t="str">
        <f t="shared" si="28"/>
        <v>Profit</v>
      </c>
      <c r="Z595" t="str">
        <f t="shared" si="29"/>
        <v>Low</v>
      </c>
    </row>
    <row r="596" spans="1:26" x14ac:dyDescent="0.35">
      <c r="A596" s="1">
        <v>595</v>
      </c>
      <c r="B596" s="2" t="s">
        <v>2002</v>
      </c>
      <c r="C596" s="3">
        <v>45085</v>
      </c>
      <c r="D596" s="3">
        <v>45091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585.55200000000002</v>
      </c>
      <c r="S596" s="1">
        <v>3</v>
      </c>
      <c r="T596" s="1">
        <v>0.2</v>
      </c>
      <c r="U596" s="1">
        <v>73.19399999999996</v>
      </c>
      <c r="V596">
        <f>YEAR(Table1[[#This Row],[Order Date]])</f>
        <v>2023</v>
      </c>
      <c r="W596" t="str">
        <f>TEXT(Table1[[#This Row],[Order Date]],"mmm")</f>
        <v>Jun</v>
      </c>
      <c r="X596">
        <f t="shared" si="27"/>
        <v>24.397999999999985</v>
      </c>
      <c r="Y596" t="str">
        <f t="shared" si="28"/>
        <v>Profit</v>
      </c>
      <c r="Z596" t="str">
        <f t="shared" si="29"/>
        <v>Low</v>
      </c>
    </row>
    <row r="597" spans="1:26" x14ac:dyDescent="0.35">
      <c r="A597" s="1">
        <v>596</v>
      </c>
      <c r="B597" s="2" t="s">
        <v>2007</v>
      </c>
      <c r="C597" s="3">
        <v>45085</v>
      </c>
      <c r="D597" s="3">
        <v>45090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</v>
      </c>
      <c r="T597" s="1">
        <v>0.2</v>
      </c>
      <c r="U597" s="1">
        <v>25.679999999999996</v>
      </c>
      <c r="V597">
        <f>YEAR(Table1[[#This Row],[Order Date]])</f>
        <v>2023</v>
      </c>
      <c r="W597" t="str">
        <f>TEXT(Table1[[#This Row],[Order Date]],"mmm")</f>
        <v>Jun</v>
      </c>
      <c r="X597">
        <f t="shared" si="27"/>
        <v>12.839999999999998</v>
      </c>
      <c r="Y597" t="str">
        <f t="shared" si="28"/>
        <v>Profit</v>
      </c>
      <c r="Z597" t="str">
        <f t="shared" si="29"/>
        <v>Low</v>
      </c>
    </row>
    <row r="598" spans="1:26" x14ac:dyDescent="0.35">
      <c r="A598" s="1">
        <v>597</v>
      </c>
      <c r="B598" s="2" t="s">
        <v>2007</v>
      </c>
      <c r="C598" s="3">
        <v>45085</v>
      </c>
      <c r="D598" s="3">
        <v>45090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</v>
      </c>
      <c r="T598" s="1">
        <v>0</v>
      </c>
      <c r="U598" s="1">
        <v>83.843999999999937</v>
      </c>
      <c r="V598">
        <f>YEAR(Table1[[#This Row],[Order Date]])</f>
        <v>2023</v>
      </c>
      <c r="W598" t="str">
        <f>TEXT(Table1[[#This Row],[Order Date]],"mmm")</f>
        <v>Jun</v>
      </c>
      <c r="X598">
        <f t="shared" si="27"/>
        <v>13.97399999999999</v>
      </c>
      <c r="Y598" t="str">
        <f t="shared" si="28"/>
        <v>Profit</v>
      </c>
      <c r="Z598" t="str">
        <f t="shared" si="29"/>
        <v>No Discount</v>
      </c>
    </row>
    <row r="599" spans="1:26" x14ac:dyDescent="0.35">
      <c r="A599" s="1">
        <v>598</v>
      </c>
      <c r="B599" s="2" t="s">
        <v>2012</v>
      </c>
      <c r="C599" s="3">
        <v>45086</v>
      </c>
      <c r="D599" s="3">
        <v>45091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</v>
      </c>
      <c r="T599" s="1">
        <v>0</v>
      </c>
      <c r="U599" s="1">
        <v>14.169399999999996</v>
      </c>
      <c r="V599">
        <f>YEAR(Table1[[#This Row],[Order Date]])</f>
        <v>2023</v>
      </c>
      <c r="W599" t="str">
        <f>TEXT(Table1[[#This Row],[Order Date]],"mmm")</f>
        <v>Jun</v>
      </c>
      <c r="X599">
        <f t="shared" si="27"/>
        <v>2.0241999999999996</v>
      </c>
      <c r="Y599" t="str">
        <f t="shared" si="28"/>
        <v>Profit</v>
      </c>
      <c r="Z599" t="str">
        <f t="shared" si="29"/>
        <v>No Discount</v>
      </c>
    </row>
    <row r="600" spans="1:26" x14ac:dyDescent="0.35">
      <c r="A600" s="1">
        <v>599</v>
      </c>
      <c r="B600" s="2" t="s">
        <v>2017</v>
      </c>
      <c r="C600" s="3">
        <v>45086</v>
      </c>
      <c r="D600" s="3">
        <v>45090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</v>
      </c>
      <c r="T600" s="1">
        <v>0</v>
      </c>
      <c r="U600" s="1">
        <v>14.212</v>
      </c>
      <c r="V600">
        <f>YEAR(Table1[[#This Row],[Order Date]])</f>
        <v>2023</v>
      </c>
      <c r="W600" t="str">
        <f>TEXT(Table1[[#This Row],[Order Date]],"mmm")</f>
        <v>Jun</v>
      </c>
      <c r="X600">
        <f t="shared" si="27"/>
        <v>7.1059999999999999</v>
      </c>
      <c r="Y600" t="str">
        <f t="shared" si="28"/>
        <v>Profit</v>
      </c>
      <c r="Z600" t="str">
        <f t="shared" si="29"/>
        <v>No Discount</v>
      </c>
    </row>
    <row r="601" spans="1:26" x14ac:dyDescent="0.35">
      <c r="A601" s="1">
        <v>600</v>
      </c>
      <c r="B601" s="2" t="s">
        <v>2012</v>
      </c>
      <c r="C601" s="3">
        <v>45086</v>
      </c>
      <c r="D601" s="3">
        <v>45091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1706.1840000000002</v>
      </c>
      <c r="S601" s="1">
        <v>9</v>
      </c>
      <c r="T601" s="1">
        <v>0.2</v>
      </c>
      <c r="U601" s="1">
        <v>85.309199999999805</v>
      </c>
      <c r="V601">
        <f>YEAR(Table1[[#This Row],[Order Date]])</f>
        <v>2023</v>
      </c>
      <c r="W601" t="str">
        <f>TEXT(Table1[[#This Row],[Order Date]],"mmm")</f>
        <v>Jun</v>
      </c>
      <c r="X601">
        <f t="shared" si="27"/>
        <v>9.4787999999999784</v>
      </c>
      <c r="Y601" t="str">
        <f t="shared" si="28"/>
        <v>Profit</v>
      </c>
      <c r="Z601" t="str">
        <f t="shared" si="29"/>
        <v>Low</v>
      </c>
    </row>
    <row r="602" spans="1:26" x14ac:dyDescent="0.35">
      <c r="A602" s="1">
        <v>601</v>
      </c>
      <c r="B602" s="2" t="s">
        <v>2020</v>
      </c>
      <c r="C602" s="3">
        <v>45086</v>
      </c>
      <c r="D602" s="3">
        <v>45088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</v>
      </c>
      <c r="T602" s="1">
        <v>0</v>
      </c>
      <c r="U602" s="1">
        <v>245.0209999999999</v>
      </c>
      <c r="V602">
        <f>YEAR(Table1[[#This Row],[Order Date]])</f>
        <v>2023</v>
      </c>
      <c r="W602" t="str">
        <f>TEXT(Table1[[#This Row],[Order Date]],"mmm")</f>
        <v>Jun</v>
      </c>
      <c r="X602">
        <f t="shared" si="27"/>
        <v>35.002999999999986</v>
      </c>
      <c r="Y602" t="str">
        <f t="shared" si="28"/>
        <v>Profit</v>
      </c>
      <c r="Z602" t="str">
        <f t="shared" si="29"/>
        <v>No Discount</v>
      </c>
    </row>
    <row r="603" spans="1:26" x14ac:dyDescent="0.35">
      <c r="A603" s="1">
        <v>602</v>
      </c>
      <c r="B603" s="2" t="s">
        <v>2012</v>
      </c>
      <c r="C603" s="3">
        <v>45086</v>
      </c>
      <c r="D603" s="3">
        <v>45091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</v>
      </c>
      <c r="T603" s="1">
        <v>0</v>
      </c>
      <c r="U603" s="1">
        <v>34.469999999999992</v>
      </c>
      <c r="V603">
        <f>YEAR(Table1[[#This Row],[Order Date]])</f>
        <v>2023</v>
      </c>
      <c r="W603" t="str">
        <f>TEXT(Table1[[#This Row],[Order Date]],"mmm")</f>
        <v>Jun</v>
      </c>
      <c r="X603">
        <f t="shared" si="27"/>
        <v>6.8939999999999984</v>
      </c>
      <c r="Y603" t="str">
        <f t="shared" si="28"/>
        <v>Profit</v>
      </c>
      <c r="Z603" t="str">
        <f t="shared" si="29"/>
        <v>No Discount</v>
      </c>
    </row>
    <row r="604" spans="1:26" x14ac:dyDescent="0.35">
      <c r="A604" s="1">
        <v>603</v>
      </c>
      <c r="B604" s="2" t="s">
        <v>2028</v>
      </c>
      <c r="C604" s="3">
        <v>45086</v>
      </c>
      <c r="D604" s="3">
        <v>45090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70.367999999999995</v>
      </c>
      <c r="S604" s="1">
        <v>2</v>
      </c>
      <c r="T604" s="1">
        <v>0.2</v>
      </c>
      <c r="U604" s="1">
        <v>6.1572000000000031</v>
      </c>
      <c r="V604">
        <f>YEAR(Table1[[#This Row],[Order Date]])</f>
        <v>2023</v>
      </c>
      <c r="W604" t="str">
        <f>TEXT(Table1[[#This Row],[Order Date]],"mmm")</f>
        <v>Jun</v>
      </c>
      <c r="X604">
        <f t="shared" si="27"/>
        <v>3.0786000000000016</v>
      </c>
      <c r="Y604" t="str">
        <f t="shared" si="28"/>
        <v>Profit</v>
      </c>
      <c r="Z604" t="str">
        <f t="shared" si="29"/>
        <v>Low</v>
      </c>
    </row>
    <row r="605" spans="1:26" x14ac:dyDescent="0.35">
      <c r="A605" s="1">
        <v>604</v>
      </c>
      <c r="B605" s="2" t="s">
        <v>2017</v>
      </c>
      <c r="C605" s="3">
        <v>45086</v>
      </c>
      <c r="D605" s="3">
        <v>45090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18.060000000000002</v>
      </c>
      <c r="S605" s="1">
        <v>7</v>
      </c>
      <c r="T605" s="1">
        <v>0</v>
      </c>
      <c r="U605" s="1">
        <v>4.6956000000000007</v>
      </c>
      <c r="V605">
        <f>YEAR(Table1[[#This Row],[Order Date]])</f>
        <v>2023</v>
      </c>
      <c r="W605" t="str">
        <f>TEXT(Table1[[#This Row],[Order Date]],"mmm")</f>
        <v>Jun</v>
      </c>
      <c r="X605">
        <f t="shared" si="27"/>
        <v>0.67080000000000006</v>
      </c>
      <c r="Y605" t="str">
        <f t="shared" si="28"/>
        <v>Profit</v>
      </c>
      <c r="Z605" t="str">
        <f t="shared" si="29"/>
        <v>No Discount</v>
      </c>
    </row>
    <row r="606" spans="1:26" x14ac:dyDescent="0.35">
      <c r="A606" s="1">
        <v>605</v>
      </c>
      <c r="B606" s="2" t="s">
        <v>2012</v>
      </c>
      <c r="C606" s="3">
        <v>45086</v>
      </c>
      <c r="D606" s="3">
        <v>45091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</v>
      </c>
      <c r="T606" s="1">
        <v>0</v>
      </c>
      <c r="U606" s="1">
        <v>1.9656000000000002</v>
      </c>
      <c r="V606">
        <f>YEAR(Table1[[#This Row],[Order Date]])</f>
        <v>2023</v>
      </c>
      <c r="W606" t="str">
        <f>TEXT(Table1[[#This Row],[Order Date]],"mmm")</f>
        <v>Jun</v>
      </c>
      <c r="X606">
        <f t="shared" si="27"/>
        <v>0.49140000000000006</v>
      </c>
      <c r="Y606" t="str">
        <f t="shared" si="28"/>
        <v>Profit</v>
      </c>
      <c r="Z606" t="str">
        <f t="shared" si="29"/>
        <v>No Discount</v>
      </c>
    </row>
    <row r="607" spans="1:26" x14ac:dyDescent="0.35">
      <c r="A607" s="1">
        <v>606</v>
      </c>
      <c r="B607" s="2" t="s">
        <v>2037</v>
      </c>
      <c r="C607" s="3">
        <v>45086</v>
      </c>
      <c r="D607" s="3">
        <v>45093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</v>
      </c>
      <c r="T607" s="1">
        <v>0</v>
      </c>
      <c r="U607" s="1">
        <v>10.625999999999999</v>
      </c>
      <c r="V607">
        <f>YEAR(Table1[[#This Row],[Order Date]])</f>
        <v>2023</v>
      </c>
      <c r="W607" t="str">
        <f>TEXT(Table1[[#This Row],[Order Date]],"mmm")</f>
        <v>Jun</v>
      </c>
      <c r="X607">
        <f t="shared" si="27"/>
        <v>5.3129999999999997</v>
      </c>
      <c r="Y607" t="str">
        <f t="shared" si="28"/>
        <v>Profit</v>
      </c>
      <c r="Z607" t="str">
        <f t="shared" si="29"/>
        <v>No Discount</v>
      </c>
    </row>
    <row r="608" spans="1:26" x14ac:dyDescent="0.35">
      <c r="A608" s="1">
        <v>607</v>
      </c>
      <c r="B608" s="2" t="s">
        <v>2012</v>
      </c>
      <c r="C608" s="3">
        <v>45086</v>
      </c>
      <c r="D608" s="3">
        <v>45091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>
        <f>YEAR(Table1[[#This Row],[Order Date]])</f>
        <v>2023</v>
      </c>
      <c r="W608" t="str">
        <f>TEXT(Table1[[#This Row],[Order Date]],"mmm")</f>
        <v>Jun</v>
      </c>
      <c r="X608">
        <f t="shared" si="27"/>
        <v>1.9275</v>
      </c>
      <c r="Y608" t="str">
        <f t="shared" si="28"/>
        <v>Profit</v>
      </c>
      <c r="Z608" t="str">
        <f t="shared" si="29"/>
        <v>Low</v>
      </c>
    </row>
    <row r="609" spans="1:26" x14ac:dyDescent="0.35">
      <c r="A609" s="1">
        <v>608</v>
      </c>
      <c r="B609" s="2" t="s">
        <v>2017</v>
      </c>
      <c r="C609" s="3">
        <v>45086</v>
      </c>
      <c r="D609" s="3">
        <v>45090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</v>
      </c>
      <c r="T609" s="1">
        <v>0</v>
      </c>
      <c r="U609" s="1">
        <v>36.404399999999995</v>
      </c>
      <c r="V609">
        <f>YEAR(Table1[[#This Row],[Order Date]])</f>
        <v>2023</v>
      </c>
      <c r="W609" t="str">
        <f>TEXT(Table1[[#This Row],[Order Date]],"mmm")</f>
        <v>Jun</v>
      </c>
      <c r="X609">
        <f t="shared" si="27"/>
        <v>12.134799999999998</v>
      </c>
      <c r="Y609" t="str">
        <f t="shared" si="28"/>
        <v>Profit</v>
      </c>
      <c r="Z609" t="str">
        <f t="shared" si="29"/>
        <v>No Discount</v>
      </c>
    </row>
    <row r="610" spans="1:26" x14ac:dyDescent="0.35">
      <c r="A610" s="1">
        <v>609</v>
      </c>
      <c r="B610" s="2" t="s">
        <v>2037</v>
      </c>
      <c r="C610" s="3">
        <v>45086</v>
      </c>
      <c r="D610" s="3">
        <v>45093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</v>
      </c>
      <c r="T610" s="1">
        <v>0</v>
      </c>
      <c r="U610" s="1">
        <v>0.14719999999999978</v>
      </c>
      <c r="V610">
        <f>YEAR(Table1[[#This Row],[Order Date]])</f>
        <v>2023</v>
      </c>
      <c r="W610" t="str">
        <f>TEXT(Table1[[#This Row],[Order Date]],"mmm")</f>
        <v>Jun</v>
      </c>
      <c r="X610">
        <f t="shared" si="27"/>
        <v>7.3599999999999888E-2</v>
      </c>
      <c r="Y610" t="str">
        <f t="shared" si="28"/>
        <v>Profit</v>
      </c>
      <c r="Z610" t="str">
        <f t="shared" si="29"/>
        <v>No Discount</v>
      </c>
    </row>
    <row r="611" spans="1:26" x14ac:dyDescent="0.35">
      <c r="A611" s="1">
        <v>610</v>
      </c>
      <c r="B611" s="2" t="s">
        <v>2028</v>
      </c>
      <c r="C611" s="3">
        <v>45086</v>
      </c>
      <c r="D611" s="3">
        <v>45090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63.984000000000009</v>
      </c>
      <c r="S611" s="1">
        <v>2</v>
      </c>
      <c r="T611" s="1">
        <v>0.2</v>
      </c>
      <c r="U611" s="1">
        <v>10.397399999999998</v>
      </c>
      <c r="V611">
        <f>YEAR(Table1[[#This Row],[Order Date]])</f>
        <v>2023</v>
      </c>
      <c r="W611" t="str">
        <f>TEXT(Table1[[#This Row],[Order Date]],"mmm")</f>
        <v>Jun</v>
      </c>
      <c r="X611">
        <f t="shared" si="27"/>
        <v>5.1986999999999988</v>
      </c>
      <c r="Y611" t="str">
        <f t="shared" si="28"/>
        <v>Profit</v>
      </c>
      <c r="Z611" t="str">
        <f t="shared" si="29"/>
        <v>Low</v>
      </c>
    </row>
    <row r="612" spans="1:26" x14ac:dyDescent="0.35">
      <c r="A612" s="1">
        <v>611</v>
      </c>
      <c r="B612" s="2" t="s">
        <v>2028</v>
      </c>
      <c r="C612" s="3">
        <v>45086</v>
      </c>
      <c r="D612" s="3">
        <v>45090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7.9920000000000009</v>
      </c>
      <c r="S612" s="1">
        <v>1</v>
      </c>
      <c r="T612" s="1">
        <v>0.2</v>
      </c>
      <c r="U612" s="1">
        <v>0.59940000000000015</v>
      </c>
      <c r="V612">
        <f>YEAR(Table1[[#This Row],[Order Date]])</f>
        <v>2023</v>
      </c>
      <c r="W612" t="str">
        <f>TEXT(Table1[[#This Row],[Order Date]],"mmm")</f>
        <v>Jun</v>
      </c>
      <c r="X612">
        <f t="shared" si="27"/>
        <v>0.59940000000000015</v>
      </c>
      <c r="Y612" t="str">
        <f t="shared" si="28"/>
        <v>Profit</v>
      </c>
      <c r="Z612" t="str">
        <f t="shared" si="29"/>
        <v>Low</v>
      </c>
    </row>
    <row r="613" spans="1:26" x14ac:dyDescent="0.35">
      <c r="A613" s="1">
        <v>612</v>
      </c>
      <c r="B613" s="2" t="s">
        <v>2012</v>
      </c>
      <c r="C613" s="3">
        <v>45086</v>
      </c>
      <c r="D613" s="3">
        <v>45091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911.42399999999998</v>
      </c>
      <c r="S613" s="1">
        <v>4</v>
      </c>
      <c r="T613" s="1">
        <v>0.2</v>
      </c>
      <c r="U613" s="1">
        <v>68.356800000000021</v>
      </c>
      <c r="V613">
        <f>YEAR(Table1[[#This Row],[Order Date]])</f>
        <v>2023</v>
      </c>
      <c r="W613" t="str">
        <f>TEXT(Table1[[#This Row],[Order Date]],"mmm")</f>
        <v>Jun</v>
      </c>
      <c r="X613">
        <f t="shared" si="27"/>
        <v>17.089200000000005</v>
      </c>
      <c r="Y613" t="str">
        <f t="shared" si="28"/>
        <v>Profit</v>
      </c>
      <c r="Z613" t="str">
        <f t="shared" si="29"/>
        <v>Low</v>
      </c>
    </row>
    <row r="614" spans="1:26" x14ac:dyDescent="0.35">
      <c r="A614" s="1">
        <v>613</v>
      </c>
      <c r="B614" s="2" t="s">
        <v>2012</v>
      </c>
      <c r="C614" s="3">
        <v>45086</v>
      </c>
      <c r="D614" s="3">
        <v>45091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907.15200000000004</v>
      </c>
      <c r="S614" s="1">
        <v>6</v>
      </c>
      <c r="T614" s="1">
        <v>0.2</v>
      </c>
      <c r="U614" s="1">
        <v>90.715200000000038</v>
      </c>
      <c r="V614">
        <f>YEAR(Table1[[#This Row],[Order Date]])</f>
        <v>2023</v>
      </c>
      <c r="W614" t="str">
        <f>TEXT(Table1[[#This Row],[Order Date]],"mmm")</f>
        <v>Jun</v>
      </c>
      <c r="X614">
        <f t="shared" si="27"/>
        <v>15.119200000000006</v>
      </c>
      <c r="Y614" t="str">
        <f t="shared" si="28"/>
        <v>Profit</v>
      </c>
      <c r="Z614" t="str">
        <f t="shared" si="29"/>
        <v>Low</v>
      </c>
    </row>
    <row r="615" spans="1:26" x14ac:dyDescent="0.35">
      <c r="A615" s="1">
        <v>614</v>
      </c>
      <c r="B615" s="2" t="s">
        <v>2052</v>
      </c>
      <c r="C615" s="3">
        <v>45087</v>
      </c>
      <c r="D615" s="3">
        <v>45092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</v>
      </c>
      <c r="T615" s="1">
        <v>0</v>
      </c>
      <c r="U615" s="1">
        <v>240.8595</v>
      </c>
      <c r="V615">
        <f>YEAR(Table1[[#This Row],[Order Date]])</f>
        <v>2023</v>
      </c>
      <c r="W615" t="str">
        <f>TEXT(Table1[[#This Row],[Order Date]],"mmm")</f>
        <v>Jun</v>
      </c>
      <c r="X615">
        <f t="shared" si="27"/>
        <v>48.171900000000001</v>
      </c>
      <c r="Y615" t="str">
        <f t="shared" si="28"/>
        <v>Profit</v>
      </c>
      <c r="Z615" t="str">
        <f t="shared" si="29"/>
        <v>No Discount</v>
      </c>
    </row>
    <row r="616" spans="1:26" x14ac:dyDescent="0.35">
      <c r="A616" s="1">
        <v>615</v>
      </c>
      <c r="B616" s="2" t="s">
        <v>2057</v>
      </c>
      <c r="C616" s="3">
        <v>45090</v>
      </c>
      <c r="D616" s="3">
        <v>45094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</v>
      </c>
      <c r="T616" s="1">
        <v>0</v>
      </c>
      <c r="U616" s="1">
        <v>4.7915999999999999</v>
      </c>
      <c r="V616">
        <f>YEAR(Table1[[#This Row],[Order Date]])</f>
        <v>2023</v>
      </c>
      <c r="W616" t="str">
        <f>TEXT(Table1[[#This Row],[Order Date]],"mmm")</f>
        <v>Jun</v>
      </c>
      <c r="X616">
        <f t="shared" si="27"/>
        <v>1.5972</v>
      </c>
      <c r="Y616" t="str">
        <f t="shared" si="28"/>
        <v>Profit</v>
      </c>
      <c r="Z616" t="str">
        <f t="shared" si="29"/>
        <v>No Discount</v>
      </c>
    </row>
    <row r="617" spans="1:26" x14ac:dyDescent="0.35">
      <c r="A617" s="1">
        <v>616</v>
      </c>
      <c r="B617" s="2" t="s">
        <v>2058</v>
      </c>
      <c r="C617" s="3">
        <v>45091</v>
      </c>
      <c r="D617" s="3">
        <v>45097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</v>
      </c>
      <c r="T617" s="1">
        <v>0</v>
      </c>
      <c r="U617" s="1">
        <v>57.4938</v>
      </c>
      <c r="V617">
        <f>YEAR(Table1[[#This Row],[Order Date]])</f>
        <v>2023</v>
      </c>
      <c r="W617" t="str">
        <f>TEXT(Table1[[#This Row],[Order Date]],"mmm")</f>
        <v>Jun</v>
      </c>
      <c r="X617">
        <f t="shared" si="27"/>
        <v>19.1646</v>
      </c>
      <c r="Y617" t="str">
        <f t="shared" si="28"/>
        <v>Profit</v>
      </c>
      <c r="Z617" t="str">
        <f t="shared" si="29"/>
        <v>No Discount</v>
      </c>
    </row>
    <row r="618" spans="1:26" x14ac:dyDescent="0.35">
      <c r="A618" s="1">
        <v>617</v>
      </c>
      <c r="B618" s="2" t="s">
        <v>2063</v>
      </c>
      <c r="C618" s="3">
        <v>45092</v>
      </c>
      <c r="D618" s="3">
        <v>45098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797.94399999999996</v>
      </c>
      <c r="S618" s="1">
        <v>4</v>
      </c>
      <c r="T618" s="1">
        <v>0.3</v>
      </c>
      <c r="U618" s="1">
        <v>-56.995999999999981</v>
      </c>
      <c r="V618">
        <f>YEAR(Table1[[#This Row],[Order Date]])</f>
        <v>2023</v>
      </c>
      <c r="W618" t="str">
        <f>TEXT(Table1[[#This Row],[Order Date]],"mmm")</f>
        <v>Jun</v>
      </c>
      <c r="X618">
        <f t="shared" si="27"/>
        <v>-14.248999999999995</v>
      </c>
      <c r="Y618" t="str">
        <f t="shared" si="28"/>
        <v>Loss</v>
      </c>
      <c r="Z618" t="str">
        <f t="shared" si="29"/>
        <v>Medium</v>
      </c>
    </row>
    <row r="619" spans="1:26" x14ac:dyDescent="0.35">
      <c r="A619" s="1">
        <v>618</v>
      </c>
      <c r="B619" s="2" t="s">
        <v>2063</v>
      </c>
      <c r="C619" s="3">
        <v>45092</v>
      </c>
      <c r="D619" s="3">
        <v>45098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99.918000000000006</v>
      </c>
      <c r="S619" s="1">
        <v>2</v>
      </c>
      <c r="T619" s="1">
        <v>0.3</v>
      </c>
      <c r="U619" s="1">
        <v>-18.556200000000018</v>
      </c>
      <c r="V619">
        <f>YEAR(Table1[[#This Row],[Order Date]])</f>
        <v>2023</v>
      </c>
      <c r="W619" t="str">
        <f>TEXT(Table1[[#This Row],[Order Date]],"mmm")</f>
        <v>Jun</v>
      </c>
      <c r="X619">
        <f t="shared" si="27"/>
        <v>-9.2781000000000091</v>
      </c>
      <c r="Y619" t="str">
        <f t="shared" si="28"/>
        <v>Loss</v>
      </c>
      <c r="Z619" t="str">
        <f t="shared" si="29"/>
        <v>Medium</v>
      </c>
    </row>
    <row r="620" spans="1:26" x14ac:dyDescent="0.35">
      <c r="A620" s="1">
        <v>619</v>
      </c>
      <c r="B620" s="2" t="s">
        <v>2063</v>
      </c>
      <c r="C620" s="3">
        <v>45092</v>
      </c>
      <c r="D620" s="3">
        <v>45098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8.5679999999999978</v>
      </c>
      <c r="S620" s="1">
        <v>3</v>
      </c>
      <c r="T620" s="1">
        <v>0.8</v>
      </c>
      <c r="U620" s="1">
        <v>-14.5656</v>
      </c>
      <c r="V620">
        <f>YEAR(Table1[[#This Row],[Order Date]])</f>
        <v>2023</v>
      </c>
      <c r="W620" t="str">
        <f>TEXT(Table1[[#This Row],[Order Date]],"mmm")</f>
        <v>Jun</v>
      </c>
      <c r="X620">
        <f t="shared" si="27"/>
        <v>-4.8552</v>
      </c>
      <c r="Y620" t="str">
        <f t="shared" si="28"/>
        <v>Loss</v>
      </c>
      <c r="Z620" t="str">
        <f t="shared" si="29"/>
        <v>High</v>
      </c>
    </row>
    <row r="621" spans="1:26" x14ac:dyDescent="0.35">
      <c r="A621" s="1">
        <v>620</v>
      </c>
      <c r="B621" s="2" t="s">
        <v>2070</v>
      </c>
      <c r="C621" s="3">
        <v>45092</v>
      </c>
      <c r="D621" s="3">
        <v>45092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36.544000000000004</v>
      </c>
      <c r="S621" s="1">
        <v>2</v>
      </c>
      <c r="T621" s="1">
        <v>0.2</v>
      </c>
      <c r="U621" s="1">
        <v>11.876799999999998</v>
      </c>
      <c r="V621">
        <f>YEAR(Table1[[#This Row],[Order Date]])</f>
        <v>2023</v>
      </c>
      <c r="W621" t="str">
        <f>TEXT(Table1[[#This Row],[Order Date]],"mmm")</f>
        <v>Jun</v>
      </c>
      <c r="X621">
        <f t="shared" si="27"/>
        <v>5.9383999999999988</v>
      </c>
      <c r="Y621" t="str">
        <f t="shared" si="28"/>
        <v>Profit</v>
      </c>
      <c r="Z621" t="str">
        <f t="shared" si="29"/>
        <v>Low</v>
      </c>
    </row>
    <row r="622" spans="1:26" x14ac:dyDescent="0.35">
      <c r="A622" s="1">
        <v>621</v>
      </c>
      <c r="B622" s="2" t="s">
        <v>2075</v>
      </c>
      <c r="C622" s="3">
        <v>45093</v>
      </c>
      <c r="D622" s="3">
        <v>45099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</v>
      </c>
      <c r="T622" s="1">
        <v>0</v>
      </c>
      <c r="U622" s="1">
        <v>32.391999999999939</v>
      </c>
      <c r="V622">
        <f>YEAR(Table1[[#This Row],[Order Date]])</f>
        <v>2023</v>
      </c>
      <c r="W622" t="str">
        <f>TEXT(Table1[[#This Row],[Order Date]],"mmm")</f>
        <v>Jun</v>
      </c>
      <c r="X622">
        <f t="shared" si="27"/>
        <v>4.0489999999999924</v>
      </c>
      <c r="Y622" t="str">
        <f t="shared" si="28"/>
        <v>Profit</v>
      </c>
      <c r="Z622" t="str">
        <f t="shared" si="29"/>
        <v>No Discount</v>
      </c>
    </row>
    <row r="623" spans="1:26" x14ac:dyDescent="0.35">
      <c r="A623" s="1">
        <v>622</v>
      </c>
      <c r="B623" s="2" t="s">
        <v>2079</v>
      </c>
      <c r="C623" s="3">
        <v>45093</v>
      </c>
      <c r="D623" s="3">
        <v>45098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</v>
      </c>
      <c r="S623" s="1">
        <v>4</v>
      </c>
      <c r="T623" s="1">
        <v>0</v>
      </c>
      <c r="U623" s="1">
        <v>10.499999999999996</v>
      </c>
      <c r="V623">
        <f>YEAR(Table1[[#This Row],[Order Date]])</f>
        <v>2023</v>
      </c>
      <c r="W623" t="str">
        <f>TEXT(Table1[[#This Row],[Order Date]],"mmm")</f>
        <v>Jun</v>
      </c>
      <c r="X623">
        <f t="shared" si="27"/>
        <v>2.6249999999999991</v>
      </c>
      <c r="Y623" t="str">
        <f t="shared" si="28"/>
        <v>Profit</v>
      </c>
      <c r="Z623" t="str">
        <f t="shared" si="29"/>
        <v>No Discount</v>
      </c>
    </row>
    <row r="624" spans="1:26" x14ac:dyDescent="0.35">
      <c r="A624" s="1">
        <v>623</v>
      </c>
      <c r="B624" s="2" t="s">
        <v>2079</v>
      </c>
      <c r="C624" s="3">
        <v>45093</v>
      </c>
      <c r="D624" s="3">
        <v>45098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39.552000000000007</v>
      </c>
      <c r="S624" s="1">
        <v>3</v>
      </c>
      <c r="T624" s="1">
        <v>0.2</v>
      </c>
      <c r="U624" s="1">
        <v>14.337599999999998</v>
      </c>
      <c r="V624">
        <f>YEAR(Table1[[#This Row],[Order Date]])</f>
        <v>2023</v>
      </c>
      <c r="W624" t="str">
        <f>TEXT(Table1[[#This Row],[Order Date]],"mmm")</f>
        <v>Jun</v>
      </c>
      <c r="X624">
        <f t="shared" si="27"/>
        <v>4.7791999999999994</v>
      </c>
      <c r="Y624" t="str">
        <f t="shared" si="28"/>
        <v>Profit</v>
      </c>
      <c r="Z624" t="str">
        <f t="shared" si="29"/>
        <v>Low</v>
      </c>
    </row>
    <row r="625" spans="1:26" x14ac:dyDescent="0.35">
      <c r="A625" s="1">
        <v>624</v>
      </c>
      <c r="B625" s="2" t="s">
        <v>2079</v>
      </c>
      <c r="C625" s="3">
        <v>45093</v>
      </c>
      <c r="D625" s="3">
        <v>45098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</v>
      </c>
      <c r="T625" s="1">
        <v>0</v>
      </c>
      <c r="U625" s="1">
        <v>19.457999999999998</v>
      </c>
      <c r="V625">
        <f>YEAR(Table1[[#This Row],[Order Date]])</f>
        <v>2023</v>
      </c>
      <c r="W625" t="str">
        <f>TEXT(Table1[[#This Row],[Order Date]],"mmm")</f>
        <v>Jun</v>
      </c>
      <c r="X625">
        <f t="shared" si="27"/>
        <v>3.8915999999999995</v>
      </c>
      <c r="Y625" t="str">
        <f t="shared" si="28"/>
        <v>Profit</v>
      </c>
      <c r="Z625" t="str">
        <f t="shared" si="29"/>
        <v>No Discount</v>
      </c>
    </row>
    <row r="626" spans="1:26" x14ac:dyDescent="0.35">
      <c r="A626" s="1">
        <v>625</v>
      </c>
      <c r="B626" s="2" t="s">
        <v>2084</v>
      </c>
      <c r="C626" s="3">
        <v>45094</v>
      </c>
      <c r="D626" s="3">
        <v>45098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</v>
      </c>
      <c r="T626" s="1">
        <v>0</v>
      </c>
      <c r="U626" s="1">
        <v>2.6208000000000005</v>
      </c>
      <c r="V626">
        <f>YEAR(Table1[[#This Row],[Order Date]])</f>
        <v>2023</v>
      </c>
      <c r="W626" t="str">
        <f>TEXT(Table1[[#This Row],[Order Date]],"mmm")</f>
        <v>Jun</v>
      </c>
      <c r="X626">
        <f t="shared" si="27"/>
        <v>0.87360000000000015</v>
      </c>
      <c r="Y626" t="str">
        <f t="shared" si="28"/>
        <v>Profit</v>
      </c>
      <c r="Z626" t="str">
        <f t="shared" si="29"/>
        <v>No Discount</v>
      </c>
    </row>
    <row r="627" spans="1:26" x14ac:dyDescent="0.35">
      <c r="A627" s="1">
        <v>626</v>
      </c>
      <c r="B627" s="2" t="s">
        <v>2084</v>
      </c>
      <c r="C627" s="3">
        <v>45094</v>
      </c>
      <c r="D627" s="3">
        <v>45098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3266.3760000000002</v>
      </c>
      <c r="S627" s="1">
        <v>3</v>
      </c>
      <c r="T627" s="1">
        <v>0.2</v>
      </c>
      <c r="U627" s="1">
        <v>1061.5721999999998</v>
      </c>
      <c r="V627">
        <f>YEAR(Table1[[#This Row],[Order Date]])</f>
        <v>2023</v>
      </c>
      <c r="W627" t="str">
        <f>TEXT(Table1[[#This Row],[Order Date]],"mmm")</f>
        <v>Jun</v>
      </c>
      <c r="X627">
        <f t="shared" si="27"/>
        <v>353.85739999999993</v>
      </c>
      <c r="Y627" t="str">
        <f t="shared" si="28"/>
        <v>Profit</v>
      </c>
      <c r="Z627" t="str">
        <f t="shared" si="29"/>
        <v>Low</v>
      </c>
    </row>
    <row r="628" spans="1:26" x14ac:dyDescent="0.35">
      <c r="A628" s="1">
        <v>627</v>
      </c>
      <c r="B628" s="2" t="s">
        <v>2084</v>
      </c>
      <c r="C628" s="3">
        <v>45094</v>
      </c>
      <c r="D628" s="3">
        <v>45098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  <c r="V628">
        <f>YEAR(Table1[[#This Row],[Order Date]])</f>
        <v>2023</v>
      </c>
      <c r="W628" t="str">
        <f>TEXT(Table1[[#This Row],[Order Date]],"mmm")</f>
        <v>Jun</v>
      </c>
      <c r="X628">
        <f t="shared" si="27"/>
        <v>1.7899999999999998</v>
      </c>
      <c r="Y628" t="str">
        <f t="shared" si="28"/>
        <v>Profit</v>
      </c>
      <c r="Z628" t="str">
        <f t="shared" si="29"/>
        <v>No Discount</v>
      </c>
    </row>
    <row r="629" spans="1:26" x14ac:dyDescent="0.35">
      <c r="A629" s="1">
        <v>628</v>
      </c>
      <c r="B629" s="2" t="s">
        <v>2091</v>
      </c>
      <c r="C629" s="3">
        <v>45094</v>
      </c>
      <c r="D629" s="3">
        <v>45097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62.015999999999998</v>
      </c>
      <c r="S629" s="1">
        <v>2</v>
      </c>
      <c r="T629" s="1">
        <v>0.2</v>
      </c>
      <c r="U629" s="1">
        <v>22.480800000000002</v>
      </c>
      <c r="V629">
        <f>YEAR(Table1[[#This Row],[Order Date]])</f>
        <v>2023</v>
      </c>
      <c r="W629" t="str">
        <f>TEXT(Table1[[#This Row],[Order Date]],"mmm")</f>
        <v>Jun</v>
      </c>
      <c r="X629">
        <f t="shared" si="27"/>
        <v>11.240400000000001</v>
      </c>
      <c r="Y629" t="str">
        <f t="shared" si="28"/>
        <v>Profit</v>
      </c>
      <c r="Z629" t="str">
        <f t="shared" si="29"/>
        <v>Low</v>
      </c>
    </row>
    <row r="630" spans="1:26" x14ac:dyDescent="0.35">
      <c r="A630" s="1">
        <v>629</v>
      </c>
      <c r="B630" s="2" t="s">
        <v>2096</v>
      </c>
      <c r="C630" s="3">
        <v>45094</v>
      </c>
      <c r="D630" s="3">
        <v>45100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</v>
      </c>
      <c r="T630" s="1">
        <v>0</v>
      </c>
      <c r="U630" s="1">
        <v>31.005899999999997</v>
      </c>
      <c r="V630">
        <f>YEAR(Table1[[#This Row],[Order Date]])</f>
        <v>2023</v>
      </c>
      <c r="W630" t="str">
        <f>TEXT(Table1[[#This Row],[Order Date]],"mmm")</f>
        <v>Jun</v>
      </c>
      <c r="X630">
        <f t="shared" si="27"/>
        <v>10.335299999999998</v>
      </c>
      <c r="Y630" t="str">
        <f t="shared" si="28"/>
        <v>Profit</v>
      </c>
      <c r="Z630" t="str">
        <f t="shared" si="29"/>
        <v>No Discount</v>
      </c>
    </row>
    <row r="631" spans="1:26" x14ac:dyDescent="0.35">
      <c r="A631" s="1">
        <v>630</v>
      </c>
      <c r="B631" s="2" t="s">
        <v>2101</v>
      </c>
      <c r="C631" s="3">
        <v>45095</v>
      </c>
      <c r="D631" s="3">
        <v>45100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139.80000000000001</v>
      </c>
      <c r="S631" s="1">
        <v>5</v>
      </c>
      <c r="T631" s="1">
        <v>0.2</v>
      </c>
      <c r="U631" s="1">
        <v>12.232500000000009</v>
      </c>
      <c r="V631">
        <f>YEAR(Table1[[#This Row],[Order Date]])</f>
        <v>2023</v>
      </c>
      <c r="W631" t="str">
        <f>TEXT(Table1[[#This Row],[Order Date]],"mmm")</f>
        <v>Jun</v>
      </c>
      <c r="X631">
        <f t="shared" si="27"/>
        <v>2.4465000000000017</v>
      </c>
      <c r="Y631" t="str">
        <f t="shared" si="28"/>
        <v>Profit</v>
      </c>
      <c r="Z631" t="str">
        <f t="shared" si="29"/>
        <v>Low</v>
      </c>
    </row>
    <row r="632" spans="1:26" x14ac:dyDescent="0.35">
      <c r="A632" s="1">
        <v>631</v>
      </c>
      <c r="B632" s="2" t="s">
        <v>2106</v>
      </c>
      <c r="C632" s="3">
        <v>45095</v>
      </c>
      <c r="D632" s="3">
        <v>45097</v>
      </c>
      <c r="E632" s="6" t="s">
        <v>87</v>
      </c>
      <c r="F632" s="6" t="s">
        <v>2107</v>
      </c>
      <c r="G632" s="6" t="s">
        <v>2108</v>
      </c>
      <c r="H632" s="6" t="s">
        <v>37</v>
      </c>
      <c r="I632" s="6" t="s">
        <v>279</v>
      </c>
      <c r="J632" s="6" t="s">
        <v>2109</v>
      </c>
      <c r="K632" s="6" t="s">
        <v>2110</v>
      </c>
      <c r="L632" s="6" t="s">
        <v>2111</v>
      </c>
      <c r="M632" s="6" t="s">
        <v>54</v>
      </c>
      <c r="N632" s="6" t="s">
        <v>2112</v>
      </c>
      <c r="O632" s="6" t="s">
        <v>31</v>
      </c>
      <c r="P632" s="6" t="s">
        <v>32</v>
      </c>
      <c r="Q632" s="6" t="s">
        <v>2113</v>
      </c>
      <c r="R632" s="6">
        <v>74.352000000000004</v>
      </c>
      <c r="S632" s="6">
        <v>3</v>
      </c>
      <c r="T632" s="6">
        <v>0.2</v>
      </c>
      <c r="U632" s="6">
        <v>23.234999999999992</v>
      </c>
      <c r="V632">
        <f>YEAR(Table1[[#This Row],[Order Date]])</f>
        <v>2023</v>
      </c>
      <c r="W632" t="str">
        <f>TEXT(Table1[[#This Row],[Order Date]],"mmm")</f>
        <v>Jun</v>
      </c>
      <c r="X632">
        <f t="shared" si="27"/>
        <v>7.7449999999999974</v>
      </c>
      <c r="Y632" t="str">
        <f t="shared" si="28"/>
        <v>Profit</v>
      </c>
      <c r="Z632" t="str">
        <f t="shared" si="29"/>
        <v>Low</v>
      </c>
    </row>
    <row r="633" spans="1:26" x14ac:dyDescent="0.35">
      <c r="A633" s="1">
        <v>632</v>
      </c>
      <c r="B633" s="2" t="s">
        <v>2114</v>
      </c>
      <c r="C633" s="3">
        <v>45097</v>
      </c>
      <c r="D633" s="3">
        <v>45101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193.06559999999999</v>
      </c>
      <c r="S633" s="1">
        <v>4</v>
      </c>
      <c r="T633" s="1">
        <v>0.32</v>
      </c>
      <c r="U633" s="1">
        <v>-19.874399999999994</v>
      </c>
      <c r="V633">
        <f>YEAR(Table1[[#This Row],[Order Date]])</f>
        <v>2023</v>
      </c>
      <c r="W633" t="str">
        <f>TEXT(Table1[[#This Row],[Order Date]],"mmm")</f>
        <v>Jun</v>
      </c>
      <c r="X633">
        <f t="shared" si="27"/>
        <v>-4.9685999999999986</v>
      </c>
      <c r="Y633" t="str">
        <f t="shared" si="28"/>
        <v>Loss</v>
      </c>
      <c r="Z633" t="str">
        <f t="shared" si="29"/>
        <v>Medium</v>
      </c>
    </row>
    <row r="634" spans="1:26" x14ac:dyDescent="0.35">
      <c r="A634" s="1">
        <v>633</v>
      </c>
      <c r="B634" s="2" t="s">
        <v>2117</v>
      </c>
      <c r="C634" s="3">
        <v>45097</v>
      </c>
      <c r="D634" s="3">
        <v>45104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471.90000000000003</v>
      </c>
      <c r="S634" s="1">
        <v>6</v>
      </c>
      <c r="T634" s="1">
        <v>0</v>
      </c>
      <c r="U634" s="1">
        <v>155.72699999999998</v>
      </c>
      <c r="V634">
        <f>YEAR(Table1[[#This Row],[Order Date]])</f>
        <v>2023</v>
      </c>
      <c r="W634" t="str">
        <f>TEXT(Table1[[#This Row],[Order Date]],"mmm")</f>
        <v>Jun</v>
      </c>
      <c r="X634">
        <f t="shared" si="27"/>
        <v>25.954499999999996</v>
      </c>
      <c r="Y634" t="str">
        <f t="shared" si="28"/>
        <v>Profit</v>
      </c>
      <c r="Z634" t="str">
        <f t="shared" si="29"/>
        <v>No Discount</v>
      </c>
    </row>
    <row r="635" spans="1:26" x14ac:dyDescent="0.35">
      <c r="A635" s="1">
        <v>634</v>
      </c>
      <c r="B635" s="2" t="s">
        <v>2117</v>
      </c>
      <c r="C635" s="3">
        <v>45097</v>
      </c>
      <c r="D635" s="3">
        <v>45104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</v>
      </c>
      <c r="T635" s="1">
        <v>0</v>
      </c>
      <c r="U635" s="1">
        <v>1.6896</v>
      </c>
      <c r="V635">
        <f>YEAR(Table1[[#This Row],[Order Date]])</f>
        <v>2023</v>
      </c>
      <c r="W635" t="str">
        <f>TEXT(Table1[[#This Row],[Order Date]],"mmm")</f>
        <v>Jun</v>
      </c>
      <c r="X635">
        <f t="shared" si="27"/>
        <v>0.8448</v>
      </c>
      <c r="Y635" t="str">
        <f t="shared" si="28"/>
        <v>Profit</v>
      </c>
      <c r="Z635" t="str">
        <f t="shared" si="29"/>
        <v>No Discount</v>
      </c>
    </row>
    <row r="636" spans="1:26" x14ac:dyDescent="0.35">
      <c r="A636" s="1">
        <v>635</v>
      </c>
      <c r="B636" s="2" t="s">
        <v>2114</v>
      </c>
      <c r="C636" s="3">
        <v>45097</v>
      </c>
      <c r="D636" s="3">
        <v>45101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3.3919999999999995</v>
      </c>
      <c r="S636" s="1">
        <v>4</v>
      </c>
      <c r="T636" s="1">
        <v>0.8</v>
      </c>
      <c r="U636" s="1">
        <v>-5.088000000000001</v>
      </c>
      <c r="V636">
        <f>YEAR(Table1[[#This Row],[Order Date]])</f>
        <v>2023</v>
      </c>
      <c r="W636" t="str">
        <f>TEXT(Table1[[#This Row],[Order Date]],"mmm")</f>
        <v>Jun</v>
      </c>
      <c r="X636">
        <f t="shared" si="27"/>
        <v>-1.2720000000000002</v>
      </c>
      <c r="Y636" t="str">
        <f t="shared" si="28"/>
        <v>Loss</v>
      </c>
      <c r="Z636" t="str">
        <f t="shared" si="29"/>
        <v>High</v>
      </c>
    </row>
    <row r="637" spans="1:26" x14ac:dyDescent="0.35">
      <c r="A637" s="1">
        <v>636</v>
      </c>
      <c r="B637" s="2" t="s">
        <v>2114</v>
      </c>
      <c r="C637" s="3">
        <v>45097</v>
      </c>
      <c r="D637" s="3">
        <v>45101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11.648000000000001</v>
      </c>
      <c r="S637" s="1">
        <v>2</v>
      </c>
      <c r="T637" s="1">
        <v>0.2</v>
      </c>
      <c r="U637" s="1">
        <v>4.0768000000000004</v>
      </c>
      <c r="V637">
        <f>YEAR(Table1[[#This Row],[Order Date]])</f>
        <v>2023</v>
      </c>
      <c r="W637" t="str">
        <f>TEXT(Table1[[#This Row],[Order Date]],"mmm")</f>
        <v>Jun</v>
      </c>
      <c r="X637">
        <f t="shared" si="27"/>
        <v>2.0384000000000002</v>
      </c>
      <c r="Y637" t="str">
        <f t="shared" si="28"/>
        <v>Profit</v>
      </c>
      <c r="Z637" t="str">
        <f t="shared" si="29"/>
        <v>Low</v>
      </c>
    </row>
    <row r="638" spans="1:26" x14ac:dyDescent="0.35">
      <c r="A638" s="1">
        <v>637</v>
      </c>
      <c r="B638" s="2" t="s">
        <v>2114</v>
      </c>
      <c r="C638" s="3">
        <v>45097</v>
      </c>
      <c r="D638" s="3">
        <v>45101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15.552000000000003</v>
      </c>
      <c r="S638" s="1">
        <v>3</v>
      </c>
      <c r="T638" s="1">
        <v>0.2</v>
      </c>
      <c r="U638" s="1">
        <v>5.4432</v>
      </c>
      <c r="V638">
        <f>YEAR(Table1[[#This Row],[Order Date]])</f>
        <v>2023</v>
      </c>
      <c r="W638" t="str">
        <f>TEXT(Table1[[#This Row],[Order Date]],"mmm")</f>
        <v>Jun</v>
      </c>
      <c r="X638">
        <f t="shared" si="27"/>
        <v>1.8144</v>
      </c>
      <c r="Y638" t="str">
        <f t="shared" si="28"/>
        <v>Profit</v>
      </c>
      <c r="Z638" t="str">
        <f t="shared" si="29"/>
        <v>Low</v>
      </c>
    </row>
    <row r="639" spans="1:26" x14ac:dyDescent="0.35">
      <c r="A639" s="1">
        <v>638</v>
      </c>
      <c r="B639" s="2" t="s">
        <v>2114</v>
      </c>
      <c r="C639" s="3">
        <v>45097</v>
      </c>
      <c r="D639" s="3">
        <v>45101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509.48800000000006</v>
      </c>
      <c r="S639" s="1">
        <v>7</v>
      </c>
      <c r="T639" s="1">
        <v>0.2</v>
      </c>
      <c r="U639" s="1">
        <v>-127.37200000000001</v>
      </c>
      <c r="V639">
        <f>YEAR(Table1[[#This Row],[Order Date]])</f>
        <v>2023</v>
      </c>
      <c r="W639" t="str">
        <f>TEXT(Table1[[#This Row],[Order Date]],"mmm")</f>
        <v>Jun</v>
      </c>
      <c r="X639">
        <f t="shared" si="27"/>
        <v>-18.196000000000002</v>
      </c>
      <c r="Y639" t="str">
        <f t="shared" si="28"/>
        <v>Loss</v>
      </c>
      <c r="Z639" t="str">
        <f t="shared" si="29"/>
        <v>Low</v>
      </c>
    </row>
    <row r="640" spans="1:26" x14ac:dyDescent="0.35">
      <c r="A640" s="1">
        <v>639</v>
      </c>
      <c r="B640" s="2" t="s">
        <v>2114</v>
      </c>
      <c r="C640" s="3">
        <v>45097</v>
      </c>
      <c r="D640" s="3">
        <v>45101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</v>
      </c>
      <c r="T640" s="1">
        <v>0.4</v>
      </c>
      <c r="U640" s="1">
        <v>-97.71999999999997</v>
      </c>
      <c r="V640">
        <f>YEAR(Table1[[#This Row],[Order Date]])</f>
        <v>2023</v>
      </c>
      <c r="W640" t="str">
        <f>TEXT(Table1[[#This Row],[Order Date]],"mmm")</f>
        <v>Jun</v>
      </c>
      <c r="X640">
        <f t="shared" si="27"/>
        <v>-48.859999999999985</v>
      </c>
      <c r="Y640" t="str">
        <f t="shared" si="28"/>
        <v>Loss</v>
      </c>
      <c r="Z640" t="str">
        <f t="shared" si="29"/>
        <v>Medium</v>
      </c>
    </row>
    <row r="641" spans="1:26" x14ac:dyDescent="0.35">
      <c r="A641" s="1">
        <v>640</v>
      </c>
      <c r="B641" s="2" t="s">
        <v>2114</v>
      </c>
      <c r="C641" s="3">
        <v>45097</v>
      </c>
      <c r="D641" s="3">
        <v>45101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</v>
      </c>
      <c r="T641" s="1">
        <v>0.2</v>
      </c>
      <c r="U641" s="1">
        <v>20.158400000000015</v>
      </c>
      <c r="V641">
        <f>YEAR(Table1[[#This Row],[Order Date]])</f>
        <v>2023</v>
      </c>
      <c r="W641" t="str">
        <f>TEXT(Table1[[#This Row],[Order Date]],"mmm")</f>
        <v>Jun</v>
      </c>
      <c r="X641">
        <f t="shared" si="27"/>
        <v>10.079200000000007</v>
      </c>
      <c r="Y641" t="str">
        <f t="shared" si="28"/>
        <v>Profit</v>
      </c>
      <c r="Z641" t="str">
        <f t="shared" si="29"/>
        <v>Low</v>
      </c>
    </row>
    <row r="642" spans="1:26" x14ac:dyDescent="0.35">
      <c r="A642" s="1">
        <v>641</v>
      </c>
      <c r="B642" s="2" t="s">
        <v>2134</v>
      </c>
      <c r="C642" s="3">
        <v>45098</v>
      </c>
      <c r="D642" s="3">
        <v>45102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3.9840000000000004</v>
      </c>
      <c r="S642" s="1">
        <v>1</v>
      </c>
      <c r="T642" s="1">
        <v>0.2</v>
      </c>
      <c r="U642" s="1">
        <v>0.64739999999999964</v>
      </c>
      <c r="V642">
        <f>YEAR(Table1[[#This Row],[Order Date]])</f>
        <v>2023</v>
      </c>
      <c r="W642" t="str">
        <f>TEXT(Table1[[#This Row],[Order Date]],"mmm")</f>
        <v>Jun</v>
      </c>
      <c r="X642">
        <f t="shared" ref="X642:X705" si="30">IFERROR(U642/S642,0)</f>
        <v>0.64739999999999964</v>
      </c>
      <c r="Y642" t="str">
        <f t="shared" ref="Y642:Y705" si="31">IF(U642&gt;0,"Profit",IF(U642&lt;0,"Loss","Break-even"))</f>
        <v>Profit</v>
      </c>
      <c r="Z642" t="str">
        <f t="shared" ref="Z642:Z705" si="32">IF(T642=0,"No Discount",IF(T642&lt;=0.2,"Low",IF(T642&lt;=0.4,"Medium","High")))</f>
        <v>Low</v>
      </c>
    </row>
    <row r="643" spans="1:26" x14ac:dyDescent="0.35">
      <c r="A643" s="1">
        <v>642</v>
      </c>
      <c r="B643" s="2" t="s">
        <v>2139</v>
      </c>
      <c r="C643" s="3">
        <v>45098</v>
      </c>
      <c r="D643" s="3">
        <v>45100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</v>
      </c>
      <c r="T643" s="1">
        <v>0</v>
      </c>
      <c r="U643" s="1">
        <v>14.561400000000006</v>
      </c>
      <c r="V643">
        <f>YEAR(Table1[[#This Row],[Order Date]])</f>
        <v>2023</v>
      </c>
      <c r="W643" t="str">
        <f>TEXT(Table1[[#This Row],[Order Date]],"mmm")</f>
        <v>Jun</v>
      </c>
      <c r="X643">
        <f t="shared" si="30"/>
        <v>14.561400000000006</v>
      </c>
      <c r="Y643" t="str">
        <f t="shared" si="31"/>
        <v>Profit</v>
      </c>
      <c r="Z643" t="str">
        <f t="shared" si="32"/>
        <v>No Discount</v>
      </c>
    </row>
    <row r="644" spans="1:26" x14ac:dyDescent="0.35">
      <c r="A644" s="1">
        <v>643</v>
      </c>
      <c r="B644" s="2" t="s">
        <v>2143</v>
      </c>
      <c r="C644" s="3">
        <v>45098</v>
      </c>
      <c r="D644" s="3">
        <v>45101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59.699999999999996</v>
      </c>
      <c r="S644" s="1">
        <v>3</v>
      </c>
      <c r="T644" s="1">
        <v>0</v>
      </c>
      <c r="U644" s="1">
        <v>26.864999999999995</v>
      </c>
      <c r="V644">
        <f>YEAR(Table1[[#This Row],[Order Date]])</f>
        <v>2023</v>
      </c>
      <c r="W644" t="str">
        <f>TEXT(Table1[[#This Row],[Order Date]],"mmm")</f>
        <v>Jun</v>
      </c>
      <c r="X644">
        <f t="shared" si="30"/>
        <v>8.9549999999999983</v>
      </c>
      <c r="Y644" t="str">
        <f t="shared" si="31"/>
        <v>Profit</v>
      </c>
      <c r="Z644" t="str">
        <f t="shared" si="32"/>
        <v>No Discount</v>
      </c>
    </row>
    <row r="645" spans="1:26" x14ac:dyDescent="0.35">
      <c r="A645" s="1">
        <v>644</v>
      </c>
      <c r="B645" s="2" t="s">
        <v>2134</v>
      </c>
      <c r="C645" s="3">
        <v>45098</v>
      </c>
      <c r="D645" s="3">
        <v>45102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44.416000000000004</v>
      </c>
      <c r="S645" s="1">
        <v>2</v>
      </c>
      <c r="T645" s="1">
        <v>0.2</v>
      </c>
      <c r="U645" s="1">
        <v>3.8864000000000001</v>
      </c>
      <c r="V645">
        <f>YEAR(Table1[[#This Row],[Order Date]])</f>
        <v>2023</v>
      </c>
      <c r="W645" t="str">
        <f>TEXT(Table1[[#This Row],[Order Date]],"mmm")</f>
        <v>Jun</v>
      </c>
      <c r="X645">
        <f t="shared" si="30"/>
        <v>1.9432</v>
      </c>
      <c r="Y645" t="str">
        <f t="shared" si="31"/>
        <v>Profit</v>
      </c>
      <c r="Z645" t="str">
        <f t="shared" si="32"/>
        <v>Low</v>
      </c>
    </row>
    <row r="646" spans="1:26" x14ac:dyDescent="0.35">
      <c r="A646" s="1">
        <v>645</v>
      </c>
      <c r="B646" s="2" t="s">
        <v>2148</v>
      </c>
      <c r="C646" s="3">
        <v>45098</v>
      </c>
      <c r="D646" s="3">
        <v>45102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</v>
      </c>
      <c r="T646" s="1">
        <v>0</v>
      </c>
      <c r="U646" s="1">
        <v>1.0903999999999998</v>
      </c>
      <c r="V646">
        <f>YEAR(Table1[[#This Row],[Order Date]])</f>
        <v>2023</v>
      </c>
      <c r="W646" t="str">
        <f>TEXT(Table1[[#This Row],[Order Date]],"mmm")</f>
        <v>Jun</v>
      </c>
      <c r="X646">
        <f t="shared" si="30"/>
        <v>0.54519999999999991</v>
      </c>
      <c r="Y646" t="str">
        <f t="shared" si="31"/>
        <v>Profit</v>
      </c>
      <c r="Z646" t="str">
        <f t="shared" si="32"/>
        <v>No Discount</v>
      </c>
    </row>
    <row r="647" spans="1:26" x14ac:dyDescent="0.35">
      <c r="A647" s="1">
        <v>646</v>
      </c>
      <c r="B647" s="2" t="s">
        <v>2151</v>
      </c>
      <c r="C647" s="3">
        <v>45098</v>
      </c>
      <c r="D647" s="3">
        <v>45101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21.400000000000002</v>
      </c>
      <c r="S647" s="1">
        <v>5</v>
      </c>
      <c r="T647" s="1">
        <v>0</v>
      </c>
      <c r="U647" s="1">
        <v>6.2059999999999977</v>
      </c>
      <c r="V647">
        <f>YEAR(Table1[[#This Row],[Order Date]])</f>
        <v>2023</v>
      </c>
      <c r="W647" t="str">
        <f>TEXT(Table1[[#This Row],[Order Date]],"mmm")</f>
        <v>Jun</v>
      </c>
      <c r="X647">
        <f t="shared" si="30"/>
        <v>1.2411999999999996</v>
      </c>
      <c r="Y647" t="str">
        <f t="shared" si="31"/>
        <v>Profit</v>
      </c>
      <c r="Z647" t="str">
        <f t="shared" si="32"/>
        <v>No Discount</v>
      </c>
    </row>
    <row r="648" spans="1:26" x14ac:dyDescent="0.35">
      <c r="A648" s="1">
        <v>647</v>
      </c>
      <c r="B648" s="2" t="s">
        <v>2134</v>
      </c>
      <c r="C648" s="3">
        <v>45098</v>
      </c>
      <c r="D648" s="3">
        <v>45102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9.006000000000002</v>
      </c>
      <c r="S648" s="1">
        <v>2</v>
      </c>
      <c r="T648" s="1">
        <v>0.7</v>
      </c>
      <c r="U648" s="1">
        <v>-7.2048000000000023</v>
      </c>
      <c r="V648">
        <f>YEAR(Table1[[#This Row],[Order Date]])</f>
        <v>2023</v>
      </c>
      <c r="W648" t="str">
        <f>TEXT(Table1[[#This Row],[Order Date]],"mmm")</f>
        <v>Jun</v>
      </c>
      <c r="X648">
        <f t="shared" si="30"/>
        <v>-3.6024000000000012</v>
      </c>
      <c r="Y648" t="str">
        <f t="shared" si="31"/>
        <v>Loss</v>
      </c>
      <c r="Z648" t="str">
        <f t="shared" si="32"/>
        <v>High</v>
      </c>
    </row>
    <row r="649" spans="1:26" x14ac:dyDescent="0.35">
      <c r="A649" s="1">
        <v>648</v>
      </c>
      <c r="B649" s="2" t="s">
        <v>2157</v>
      </c>
      <c r="C649" s="3">
        <v>45098</v>
      </c>
      <c r="D649" s="3">
        <v>45098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11.088000000000003</v>
      </c>
      <c r="S649" s="1">
        <v>7</v>
      </c>
      <c r="T649" s="1">
        <v>0.7</v>
      </c>
      <c r="U649" s="1">
        <v>-8.1311999999999998</v>
      </c>
      <c r="V649">
        <f>YEAR(Table1[[#This Row],[Order Date]])</f>
        <v>2023</v>
      </c>
      <c r="W649" t="str">
        <f>TEXT(Table1[[#This Row],[Order Date]],"mmm")</f>
        <v>Jun</v>
      </c>
      <c r="X649">
        <f t="shared" si="30"/>
        <v>-1.1616</v>
      </c>
      <c r="Y649" t="str">
        <f t="shared" si="31"/>
        <v>Loss</v>
      </c>
      <c r="Z649" t="str">
        <f t="shared" si="32"/>
        <v>High</v>
      </c>
    </row>
    <row r="650" spans="1:26" x14ac:dyDescent="0.35">
      <c r="A650" s="1">
        <v>649</v>
      </c>
      <c r="B650" s="2" t="s">
        <v>2157</v>
      </c>
      <c r="C650" s="3">
        <v>45098</v>
      </c>
      <c r="D650" s="3">
        <v>45098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25.164000000000001</v>
      </c>
      <c r="S650" s="1">
        <v>2</v>
      </c>
      <c r="T650" s="1">
        <v>0.7</v>
      </c>
      <c r="U650" s="1">
        <v>-16.775999999999996</v>
      </c>
      <c r="V650">
        <f>YEAR(Table1[[#This Row],[Order Date]])</f>
        <v>2023</v>
      </c>
      <c r="W650" t="str">
        <f>TEXT(Table1[[#This Row],[Order Date]],"mmm")</f>
        <v>Jun</v>
      </c>
      <c r="X650">
        <f t="shared" si="30"/>
        <v>-8.3879999999999981</v>
      </c>
      <c r="Y650" t="str">
        <f t="shared" si="31"/>
        <v>Loss</v>
      </c>
      <c r="Z650" t="str">
        <f t="shared" si="32"/>
        <v>High</v>
      </c>
    </row>
    <row r="651" spans="1:26" x14ac:dyDescent="0.35">
      <c r="A651" s="1">
        <v>650</v>
      </c>
      <c r="B651" s="2" t="s">
        <v>2134</v>
      </c>
      <c r="C651" s="3">
        <v>45098</v>
      </c>
      <c r="D651" s="3">
        <v>45102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>
        <f>YEAR(Table1[[#This Row],[Order Date]])</f>
        <v>2023</v>
      </c>
      <c r="W651" t="str">
        <f>TEXT(Table1[[#This Row],[Order Date]],"mmm")</f>
        <v>Jun</v>
      </c>
      <c r="X651">
        <f t="shared" si="30"/>
        <v>2.1006</v>
      </c>
      <c r="Y651" t="str">
        <f t="shared" si="31"/>
        <v>Profit</v>
      </c>
      <c r="Z651" t="str">
        <f t="shared" si="32"/>
        <v>Low</v>
      </c>
    </row>
    <row r="652" spans="1:26" x14ac:dyDescent="0.35">
      <c r="A652" s="1">
        <v>651</v>
      </c>
      <c r="B652" s="2" t="s">
        <v>2143</v>
      </c>
      <c r="C652" s="3">
        <v>45098</v>
      </c>
      <c r="D652" s="3">
        <v>45101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  <c r="V652">
        <f>YEAR(Table1[[#This Row],[Order Date]])</f>
        <v>2023</v>
      </c>
      <c r="W652" t="str">
        <f>TEXT(Table1[[#This Row],[Order Date]],"mmm")</f>
        <v>Jun</v>
      </c>
      <c r="X652">
        <f t="shared" si="30"/>
        <v>3.0129999999999999</v>
      </c>
      <c r="Y652" t="str">
        <f t="shared" si="31"/>
        <v>Profit</v>
      </c>
      <c r="Z652" t="str">
        <f t="shared" si="32"/>
        <v>No Discount</v>
      </c>
    </row>
    <row r="653" spans="1:26" x14ac:dyDescent="0.35">
      <c r="A653" s="1">
        <v>652</v>
      </c>
      <c r="B653" s="2" t="s">
        <v>2139</v>
      </c>
      <c r="C653" s="3">
        <v>45098</v>
      </c>
      <c r="D653" s="3">
        <v>45100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36.839999999999996</v>
      </c>
      <c r="S653" s="1">
        <v>3</v>
      </c>
      <c r="T653" s="1">
        <v>0</v>
      </c>
      <c r="U653" s="1">
        <v>10.315199999999999</v>
      </c>
      <c r="V653">
        <f>YEAR(Table1[[#This Row],[Order Date]])</f>
        <v>2023</v>
      </c>
      <c r="W653" t="str">
        <f>TEXT(Table1[[#This Row],[Order Date]],"mmm")</f>
        <v>Jun</v>
      </c>
      <c r="X653">
        <f t="shared" si="30"/>
        <v>3.4383999999999997</v>
      </c>
      <c r="Y653" t="str">
        <f t="shared" si="31"/>
        <v>Profit</v>
      </c>
      <c r="Z653" t="str">
        <f t="shared" si="32"/>
        <v>No Discount</v>
      </c>
    </row>
    <row r="654" spans="1:26" x14ac:dyDescent="0.35">
      <c r="A654" s="1">
        <v>653</v>
      </c>
      <c r="B654" s="2" t="s">
        <v>2134</v>
      </c>
      <c r="C654" s="3">
        <v>45098</v>
      </c>
      <c r="D654" s="3">
        <v>45102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95.968000000000004</v>
      </c>
      <c r="S654" s="1">
        <v>4</v>
      </c>
      <c r="T654" s="1">
        <v>0.2</v>
      </c>
      <c r="U654" s="1">
        <v>28.790400000000009</v>
      </c>
      <c r="V654">
        <f>YEAR(Table1[[#This Row],[Order Date]])</f>
        <v>2023</v>
      </c>
      <c r="W654" t="str">
        <f>TEXT(Table1[[#This Row],[Order Date]],"mmm")</f>
        <v>Jun</v>
      </c>
      <c r="X654">
        <f t="shared" si="30"/>
        <v>7.1976000000000022</v>
      </c>
      <c r="Y654" t="str">
        <f t="shared" si="31"/>
        <v>Profit</v>
      </c>
      <c r="Z654" t="str">
        <f t="shared" si="32"/>
        <v>Low</v>
      </c>
    </row>
    <row r="655" spans="1:26" x14ac:dyDescent="0.35">
      <c r="A655" s="1">
        <v>654</v>
      </c>
      <c r="B655" s="2" t="s">
        <v>2134</v>
      </c>
      <c r="C655" s="3">
        <v>45098</v>
      </c>
      <c r="D655" s="3">
        <v>45102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206.99100000000004</v>
      </c>
      <c r="S655" s="1">
        <v>3</v>
      </c>
      <c r="T655" s="1">
        <v>0.7</v>
      </c>
      <c r="U655" s="1">
        <v>-172.49250000000001</v>
      </c>
      <c r="V655">
        <f>YEAR(Table1[[#This Row],[Order Date]])</f>
        <v>2023</v>
      </c>
      <c r="W655" t="str">
        <f>TEXT(Table1[[#This Row],[Order Date]],"mmm")</f>
        <v>Jun</v>
      </c>
      <c r="X655">
        <f t="shared" si="30"/>
        <v>-57.497500000000002</v>
      </c>
      <c r="Y655" t="str">
        <f t="shared" si="31"/>
        <v>Loss</v>
      </c>
      <c r="Z655" t="str">
        <f t="shared" si="32"/>
        <v>High</v>
      </c>
    </row>
    <row r="656" spans="1:26" x14ac:dyDescent="0.35">
      <c r="A656" s="1">
        <v>655</v>
      </c>
      <c r="B656" s="2" t="s">
        <v>2169</v>
      </c>
      <c r="C656" s="3">
        <v>45098</v>
      </c>
      <c r="D656" s="3">
        <v>45098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1214.8499999999999</v>
      </c>
      <c r="S656" s="1">
        <v>3</v>
      </c>
      <c r="T656" s="1">
        <v>0</v>
      </c>
      <c r="U656" s="1">
        <v>352.30649999999997</v>
      </c>
      <c r="V656">
        <f>YEAR(Table1[[#This Row],[Order Date]])</f>
        <v>2023</v>
      </c>
      <c r="W656" t="str">
        <f>TEXT(Table1[[#This Row],[Order Date]],"mmm")</f>
        <v>Jun</v>
      </c>
      <c r="X656">
        <f t="shared" si="30"/>
        <v>117.43549999999999</v>
      </c>
      <c r="Y656" t="str">
        <f t="shared" si="31"/>
        <v>Profit</v>
      </c>
      <c r="Z656" t="str">
        <f t="shared" si="32"/>
        <v>No Discount</v>
      </c>
    </row>
    <row r="657" spans="1:26" x14ac:dyDescent="0.35">
      <c r="A657" s="1">
        <v>656</v>
      </c>
      <c r="B657" s="2" t="s">
        <v>2139</v>
      </c>
      <c r="C657" s="3">
        <v>45098</v>
      </c>
      <c r="D657" s="3">
        <v>45100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</v>
      </c>
      <c r="T657" s="1">
        <v>0</v>
      </c>
      <c r="U657" s="1">
        <v>74.053200000000004</v>
      </c>
      <c r="V657">
        <f>YEAR(Table1[[#This Row],[Order Date]])</f>
        <v>2023</v>
      </c>
      <c r="W657" t="str">
        <f>TEXT(Table1[[#This Row],[Order Date]],"mmm")</f>
        <v>Jun</v>
      </c>
      <c r="X657">
        <f t="shared" si="30"/>
        <v>74.053200000000004</v>
      </c>
      <c r="Y657" t="str">
        <f t="shared" si="31"/>
        <v>Profit</v>
      </c>
      <c r="Z657" t="str">
        <f t="shared" si="32"/>
        <v>No Discount</v>
      </c>
    </row>
    <row r="658" spans="1:26" x14ac:dyDescent="0.35">
      <c r="A658" s="1">
        <v>657</v>
      </c>
      <c r="B658" s="2" t="s">
        <v>2143</v>
      </c>
      <c r="C658" s="3">
        <v>45098</v>
      </c>
      <c r="D658" s="3">
        <v>45101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</v>
      </c>
      <c r="T658" s="1">
        <v>0</v>
      </c>
      <c r="U658" s="1">
        <v>160.6722</v>
      </c>
      <c r="V658">
        <f>YEAR(Table1[[#This Row],[Order Date]])</f>
        <v>2023</v>
      </c>
      <c r="W658" t="str">
        <f>TEXT(Table1[[#This Row],[Order Date]],"mmm")</f>
        <v>Jun</v>
      </c>
      <c r="X658">
        <f t="shared" si="30"/>
        <v>53.557400000000001</v>
      </c>
      <c r="Y658" t="str">
        <f t="shared" si="31"/>
        <v>Profit</v>
      </c>
      <c r="Z658" t="str">
        <f t="shared" si="32"/>
        <v>No Discount</v>
      </c>
    </row>
    <row r="659" spans="1:26" x14ac:dyDescent="0.35">
      <c r="A659" s="1">
        <v>658</v>
      </c>
      <c r="B659" s="2" t="s">
        <v>2148</v>
      </c>
      <c r="C659" s="3">
        <v>45098</v>
      </c>
      <c r="D659" s="3">
        <v>45102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</v>
      </c>
      <c r="T659" s="1">
        <v>0</v>
      </c>
      <c r="U659" s="1">
        <v>357.19110000000001</v>
      </c>
      <c r="V659">
        <f>YEAR(Table1[[#This Row],[Order Date]])</f>
        <v>2023</v>
      </c>
      <c r="W659" t="str">
        <f>TEXT(Table1[[#This Row],[Order Date]],"mmm")</f>
        <v>Jun</v>
      </c>
      <c r="X659">
        <f t="shared" si="30"/>
        <v>51.027300000000004</v>
      </c>
      <c r="Y659" t="str">
        <f t="shared" si="31"/>
        <v>Profit</v>
      </c>
      <c r="Z659" t="str">
        <f t="shared" si="32"/>
        <v>No Discount</v>
      </c>
    </row>
    <row r="660" spans="1:26" x14ac:dyDescent="0.35">
      <c r="A660" s="1">
        <v>659</v>
      </c>
      <c r="B660" s="2" t="s">
        <v>2174</v>
      </c>
      <c r="C660" s="3">
        <v>45099</v>
      </c>
      <c r="D660" s="3">
        <v>45104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853.92999999999984</v>
      </c>
      <c r="S660" s="1">
        <v>5</v>
      </c>
      <c r="T660" s="1">
        <v>0.3</v>
      </c>
      <c r="U660" s="1">
        <v>0</v>
      </c>
      <c r="V660">
        <f>YEAR(Table1[[#This Row],[Order Date]])</f>
        <v>2023</v>
      </c>
      <c r="W660" t="str">
        <f>TEXT(Table1[[#This Row],[Order Date]],"mmm")</f>
        <v>Jun</v>
      </c>
      <c r="X660">
        <f t="shared" si="30"/>
        <v>0</v>
      </c>
      <c r="Y660" t="str">
        <f t="shared" si="31"/>
        <v>Break-even</v>
      </c>
      <c r="Z660" t="str">
        <f t="shared" si="32"/>
        <v>Medium</v>
      </c>
    </row>
    <row r="661" spans="1:26" x14ac:dyDescent="0.35">
      <c r="A661" s="1">
        <v>660</v>
      </c>
      <c r="B661" s="2" t="s">
        <v>2174</v>
      </c>
      <c r="C661" s="3">
        <v>45099</v>
      </c>
      <c r="D661" s="3">
        <v>45104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170.05799999999999</v>
      </c>
      <c r="S661" s="1">
        <v>3</v>
      </c>
      <c r="T661" s="1">
        <v>0.3</v>
      </c>
      <c r="U661" s="1">
        <v>-4.858799999999988</v>
      </c>
      <c r="V661">
        <f>YEAR(Table1[[#This Row],[Order Date]])</f>
        <v>2023</v>
      </c>
      <c r="W661" t="str">
        <f>TEXT(Table1[[#This Row],[Order Date]],"mmm")</f>
        <v>Jun</v>
      </c>
      <c r="X661">
        <f t="shared" si="30"/>
        <v>-1.6195999999999959</v>
      </c>
      <c r="Y661" t="str">
        <f t="shared" si="31"/>
        <v>Loss</v>
      </c>
      <c r="Z661" t="str">
        <f t="shared" si="32"/>
        <v>Medium</v>
      </c>
    </row>
    <row r="662" spans="1:26" x14ac:dyDescent="0.35">
      <c r="A662" s="1">
        <v>661</v>
      </c>
      <c r="B662" s="2" t="s">
        <v>2182</v>
      </c>
      <c r="C662" s="3">
        <v>45099</v>
      </c>
      <c r="D662" s="3">
        <v>45099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8.2260000000000009</v>
      </c>
      <c r="S662" s="1">
        <v>3</v>
      </c>
      <c r="T662" s="1">
        <v>0.7</v>
      </c>
      <c r="U662" s="1">
        <v>-6.0323999999999991</v>
      </c>
      <c r="V662">
        <f>YEAR(Table1[[#This Row],[Order Date]])</f>
        <v>2023</v>
      </c>
      <c r="W662" t="str">
        <f>TEXT(Table1[[#This Row],[Order Date]],"mmm")</f>
        <v>Jun</v>
      </c>
      <c r="X662">
        <f t="shared" si="30"/>
        <v>-2.0107999999999997</v>
      </c>
      <c r="Y662" t="str">
        <f t="shared" si="31"/>
        <v>Loss</v>
      </c>
      <c r="Z662" t="str">
        <f t="shared" si="32"/>
        <v>High</v>
      </c>
    </row>
    <row r="663" spans="1:26" x14ac:dyDescent="0.35">
      <c r="A663" s="1">
        <v>662</v>
      </c>
      <c r="B663" s="2" t="s">
        <v>2186</v>
      </c>
      <c r="C663" s="3">
        <v>45099</v>
      </c>
      <c r="D663" s="3">
        <v>45101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501.81000000000006</v>
      </c>
      <c r="S663" s="1">
        <v>3</v>
      </c>
      <c r="T663" s="1">
        <v>0</v>
      </c>
      <c r="U663" s="1">
        <v>0</v>
      </c>
      <c r="V663">
        <f>YEAR(Table1[[#This Row],[Order Date]])</f>
        <v>2023</v>
      </c>
      <c r="W663" t="str">
        <f>TEXT(Table1[[#This Row],[Order Date]],"mmm")</f>
        <v>Jun</v>
      </c>
      <c r="X663">
        <f t="shared" si="30"/>
        <v>0</v>
      </c>
      <c r="Y663" t="str">
        <f t="shared" si="31"/>
        <v>Break-even</v>
      </c>
      <c r="Z663" t="str">
        <f t="shared" si="32"/>
        <v>No Discount</v>
      </c>
    </row>
    <row r="664" spans="1:26" x14ac:dyDescent="0.35">
      <c r="A664" s="1">
        <v>663</v>
      </c>
      <c r="B664" s="2" t="s">
        <v>2186</v>
      </c>
      <c r="C664" s="3">
        <v>45099</v>
      </c>
      <c r="D664" s="3">
        <v>45101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</v>
      </c>
      <c r="T664" s="1">
        <v>0</v>
      </c>
      <c r="U664" s="1">
        <v>9.716399999999993</v>
      </c>
      <c r="V664">
        <f>YEAR(Table1[[#This Row],[Order Date]])</f>
        <v>2023</v>
      </c>
      <c r="W664" t="str">
        <f>TEXT(Table1[[#This Row],[Order Date]],"mmm")</f>
        <v>Jun</v>
      </c>
      <c r="X664">
        <f t="shared" si="30"/>
        <v>3.2387999999999977</v>
      </c>
      <c r="Y664" t="str">
        <f t="shared" si="31"/>
        <v>Profit</v>
      </c>
      <c r="Z664" t="str">
        <f t="shared" si="32"/>
        <v>No Discount</v>
      </c>
    </row>
    <row r="665" spans="1:26" x14ac:dyDescent="0.35">
      <c r="A665" s="1">
        <v>664</v>
      </c>
      <c r="B665" s="2" t="s">
        <v>2192</v>
      </c>
      <c r="C665" s="3">
        <v>45099</v>
      </c>
      <c r="D665" s="3">
        <v>45102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196.75200000000001</v>
      </c>
      <c r="S665" s="1">
        <v>6</v>
      </c>
      <c r="T665" s="1">
        <v>0.2</v>
      </c>
      <c r="U665" s="1">
        <v>56.566200000000009</v>
      </c>
      <c r="V665">
        <f>YEAR(Table1[[#This Row],[Order Date]])</f>
        <v>2023</v>
      </c>
      <c r="W665" t="str">
        <f>TEXT(Table1[[#This Row],[Order Date]],"mmm")</f>
        <v>Jun</v>
      </c>
      <c r="X665">
        <f t="shared" si="30"/>
        <v>9.4277000000000015</v>
      </c>
      <c r="Y665" t="str">
        <f t="shared" si="31"/>
        <v>Profit</v>
      </c>
      <c r="Z665" t="str">
        <f t="shared" si="32"/>
        <v>Low</v>
      </c>
    </row>
    <row r="666" spans="1:26" x14ac:dyDescent="0.35">
      <c r="A666" s="1">
        <v>665</v>
      </c>
      <c r="B666" s="2" t="s">
        <v>2174</v>
      </c>
      <c r="C666" s="3">
        <v>45099</v>
      </c>
      <c r="D666" s="3">
        <v>45104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82.782000000000011</v>
      </c>
      <c r="S666" s="1">
        <v>3</v>
      </c>
      <c r="T666" s="1">
        <v>0.4</v>
      </c>
      <c r="U666" s="1">
        <v>-15.176700000000004</v>
      </c>
      <c r="V666">
        <f>YEAR(Table1[[#This Row],[Order Date]])</f>
        <v>2023</v>
      </c>
      <c r="W666" t="str">
        <f>TEXT(Table1[[#This Row],[Order Date]],"mmm")</f>
        <v>Jun</v>
      </c>
      <c r="X666">
        <f t="shared" si="30"/>
        <v>-5.0589000000000013</v>
      </c>
      <c r="Y666" t="str">
        <f t="shared" si="31"/>
        <v>Loss</v>
      </c>
      <c r="Z666" t="str">
        <f t="shared" si="32"/>
        <v>Medium</v>
      </c>
    </row>
    <row r="667" spans="1:26" x14ac:dyDescent="0.35">
      <c r="A667" s="1">
        <v>666</v>
      </c>
      <c r="B667" s="2" t="s">
        <v>2199</v>
      </c>
      <c r="C667" s="3">
        <v>45100</v>
      </c>
      <c r="D667" s="3">
        <v>45103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20.015999999999998</v>
      </c>
      <c r="S667" s="1">
        <v>9</v>
      </c>
      <c r="T667" s="1">
        <v>0.2</v>
      </c>
      <c r="U667" s="1">
        <v>1.7514000000000003</v>
      </c>
      <c r="V667">
        <f>YEAR(Table1[[#This Row],[Order Date]])</f>
        <v>2023</v>
      </c>
      <c r="W667" t="str">
        <f>TEXT(Table1[[#This Row],[Order Date]],"mmm")</f>
        <v>Jun</v>
      </c>
      <c r="X667">
        <f t="shared" si="30"/>
        <v>0.19460000000000002</v>
      </c>
      <c r="Y667" t="str">
        <f t="shared" si="31"/>
        <v>Profit</v>
      </c>
      <c r="Z667" t="str">
        <f t="shared" si="32"/>
        <v>Low</v>
      </c>
    </row>
    <row r="668" spans="1:26" x14ac:dyDescent="0.35">
      <c r="A668" s="1">
        <v>667</v>
      </c>
      <c r="B668" s="2" t="s">
        <v>2199</v>
      </c>
      <c r="C668" s="3">
        <v>45100</v>
      </c>
      <c r="D668" s="3">
        <v>45103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3.1040000000000001</v>
      </c>
      <c r="S668" s="1">
        <v>1</v>
      </c>
      <c r="T668" s="1">
        <v>0.2</v>
      </c>
      <c r="U668" s="1">
        <v>0.34919999999999951</v>
      </c>
      <c r="V668">
        <f>YEAR(Table1[[#This Row],[Order Date]])</f>
        <v>2023</v>
      </c>
      <c r="W668" t="str">
        <f>TEXT(Table1[[#This Row],[Order Date]],"mmm")</f>
        <v>Jun</v>
      </c>
      <c r="X668">
        <f t="shared" si="30"/>
        <v>0.34919999999999951</v>
      </c>
      <c r="Y668" t="str">
        <f t="shared" si="31"/>
        <v>Profit</v>
      </c>
      <c r="Z668" t="str">
        <f t="shared" si="32"/>
        <v>Low</v>
      </c>
    </row>
    <row r="669" spans="1:26" x14ac:dyDescent="0.35">
      <c r="A669" s="1">
        <v>668</v>
      </c>
      <c r="B669" s="2" t="s">
        <v>2206</v>
      </c>
      <c r="C669" s="3">
        <v>45100</v>
      </c>
      <c r="D669" s="3">
        <v>45105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86.376000000000005</v>
      </c>
      <c r="S669" s="1">
        <v>3</v>
      </c>
      <c r="T669" s="1">
        <v>0.2</v>
      </c>
      <c r="U669" s="1">
        <v>1.079699999999999</v>
      </c>
      <c r="V669">
        <f>YEAR(Table1[[#This Row],[Order Date]])</f>
        <v>2023</v>
      </c>
      <c r="W669" t="str">
        <f>TEXT(Table1[[#This Row],[Order Date]],"mmm")</f>
        <v>Jun</v>
      </c>
      <c r="X669">
        <f t="shared" si="30"/>
        <v>0.35989999999999966</v>
      </c>
      <c r="Y669" t="str">
        <f t="shared" si="31"/>
        <v>Profit</v>
      </c>
      <c r="Z669" t="str">
        <f t="shared" si="32"/>
        <v>Low</v>
      </c>
    </row>
    <row r="670" spans="1:26" x14ac:dyDescent="0.35">
      <c r="A670" s="1">
        <v>669</v>
      </c>
      <c r="B670" s="2" t="s">
        <v>2211</v>
      </c>
      <c r="C670" s="3">
        <v>45101</v>
      </c>
      <c r="D670" s="3">
        <v>45105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4.2720000000000002</v>
      </c>
      <c r="S670" s="1">
        <v>2</v>
      </c>
      <c r="T670" s="1">
        <v>0.2</v>
      </c>
      <c r="U670" s="1">
        <v>0.96119999999999983</v>
      </c>
      <c r="V670">
        <f>YEAR(Table1[[#This Row],[Order Date]])</f>
        <v>2023</v>
      </c>
      <c r="W670" t="str">
        <f>TEXT(Table1[[#This Row],[Order Date]],"mmm")</f>
        <v>Jun</v>
      </c>
      <c r="X670">
        <f t="shared" si="30"/>
        <v>0.48059999999999992</v>
      </c>
      <c r="Y670" t="str">
        <f t="shared" si="31"/>
        <v>Profit</v>
      </c>
      <c r="Z670" t="str">
        <f t="shared" si="32"/>
        <v>Low</v>
      </c>
    </row>
    <row r="671" spans="1:26" x14ac:dyDescent="0.35">
      <c r="A671" s="1">
        <v>670</v>
      </c>
      <c r="B671" s="2" t="s">
        <v>2216</v>
      </c>
      <c r="C671" s="3">
        <v>45102</v>
      </c>
      <c r="D671" s="3">
        <v>45105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</v>
      </c>
      <c r="T671" s="1">
        <v>0.2</v>
      </c>
      <c r="U671" s="1">
        <v>11.19599999999997</v>
      </c>
      <c r="V671">
        <f>YEAR(Table1[[#This Row],[Order Date]])</f>
        <v>2023</v>
      </c>
      <c r="W671" t="str">
        <f>TEXT(Table1[[#This Row],[Order Date]],"mmm")</f>
        <v>Jun</v>
      </c>
      <c r="X671">
        <f t="shared" si="30"/>
        <v>2.2391999999999941</v>
      </c>
      <c r="Y671" t="str">
        <f t="shared" si="31"/>
        <v>Profit</v>
      </c>
      <c r="Z671" t="str">
        <f t="shared" si="32"/>
        <v>Low</v>
      </c>
    </row>
    <row r="672" spans="1:26" x14ac:dyDescent="0.35">
      <c r="A672" s="1">
        <v>671</v>
      </c>
      <c r="B672" s="2" t="s">
        <v>2221</v>
      </c>
      <c r="C672" s="3">
        <v>45102</v>
      </c>
      <c r="D672" s="3">
        <v>45104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9.3280000000000012</v>
      </c>
      <c r="S672" s="1">
        <v>1</v>
      </c>
      <c r="T672" s="1">
        <v>0.2</v>
      </c>
      <c r="U672" s="1">
        <v>0.8162000000000007</v>
      </c>
      <c r="V672">
        <f>YEAR(Table1[[#This Row],[Order Date]])</f>
        <v>2023</v>
      </c>
      <c r="W672" t="str">
        <f>TEXT(Table1[[#This Row],[Order Date]],"mmm")</f>
        <v>Jun</v>
      </c>
      <c r="X672">
        <f t="shared" si="30"/>
        <v>0.8162000000000007</v>
      </c>
      <c r="Y672" t="str">
        <f t="shared" si="31"/>
        <v>Profit</v>
      </c>
      <c r="Z672" t="str">
        <f t="shared" si="32"/>
        <v>Low</v>
      </c>
    </row>
    <row r="673" spans="1:26" x14ac:dyDescent="0.35">
      <c r="A673" s="1">
        <v>672</v>
      </c>
      <c r="B673" s="2" t="s">
        <v>2221</v>
      </c>
      <c r="C673" s="3">
        <v>45102</v>
      </c>
      <c r="D673" s="3">
        <v>45104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>
        <f>YEAR(Table1[[#This Row],[Order Date]])</f>
        <v>2023</v>
      </c>
      <c r="W673" t="str">
        <f>TEXT(Table1[[#This Row],[Order Date]],"mmm")</f>
        <v>Jun</v>
      </c>
      <c r="X673">
        <f t="shared" si="30"/>
        <v>1.6280000000000001</v>
      </c>
      <c r="Y673" t="str">
        <f t="shared" si="31"/>
        <v>Profit</v>
      </c>
      <c r="Z673" t="str">
        <f t="shared" si="32"/>
        <v>Low</v>
      </c>
    </row>
    <row r="674" spans="1:26" x14ac:dyDescent="0.35">
      <c r="A674" s="1">
        <v>673</v>
      </c>
      <c r="B674" s="2" t="s">
        <v>2221</v>
      </c>
      <c r="C674" s="3">
        <v>45102</v>
      </c>
      <c r="D674" s="3">
        <v>45104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263.96000000000004</v>
      </c>
      <c r="S674" s="1">
        <v>5</v>
      </c>
      <c r="T674" s="1">
        <v>0.2</v>
      </c>
      <c r="U674" s="1">
        <v>19.796999999999997</v>
      </c>
      <c r="V674">
        <f>YEAR(Table1[[#This Row],[Order Date]])</f>
        <v>2023</v>
      </c>
      <c r="W674" t="str">
        <f>TEXT(Table1[[#This Row],[Order Date]],"mmm")</f>
        <v>Jun</v>
      </c>
      <c r="X674">
        <f t="shared" si="30"/>
        <v>3.9593999999999996</v>
      </c>
      <c r="Y674" t="str">
        <f t="shared" si="31"/>
        <v>Profit</v>
      </c>
      <c r="Z674" t="str">
        <f t="shared" si="32"/>
        <v>Low</v>
      </c>
    </row>
    <row r="675" spans="1:26" x14ac:dyDescent="0.35">
      <c r="A675" s="1">
        <v>674</v>
      </c>
      <c r="B675" s="2" t="s">
        <v>2229</v>
      </c>
      <c r="C675" s="3">
        <v>45104</v>
      </c>
      <c r="D675" s="3">
        <v>45108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</v>
      </c>
      <c r="T675" s="1">
        <v>0</v>
      </c>
      <c r="U675" s="1">
        <v>22.354800000000004</v>
      </c>
      <c r="V675">
        <f>YEAR(Table1[[#This Row],[Order Date]])</f>
        <v>2023</v>
      </c>
      <c r="W675" t="str">
        <f>TEXT(Table1[[#This Row],[Order Date]],"mmm")</f>
        <v>Jun</v>
      </c>
      <c r="X675">
        <f t="shared" si="30"/>
        <v>22.354800000000004</v>
      </c>
      <c r="Y675" t="str">
        <f t="shared" si="31"/>
        <v>Profit</v>
      </c>
      <c r="Z675" t="str">
        <f t="shared" si="32"/>
        <v>No Discount</v>
      </c>
    </row>
    <row r="676" spans="1:26" x14ac:dyDescent="0.35">
      <c r="A676" s="1">
        <v>675</v>
      </c>
      <c r="B676" s="2" t="s">
        <v>2229</v>
      </c>
      <c r="C676" s="3">
        <v>45104</v>
      </c>
      <c r="D676" s="3">
        <v>45108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</v>
      </c>
      <c r="T676" s="1">
        <v>0</v>
      </c>
      <c r="U676" s="1">
        <v>0</v>
      </c>
      <c r="V676">
        <f>YEAR(Table1[[#This Row],[Order Date]])</f>
        <v>2023</v>
      </c>
      <c r="W676" t="str">
        <f>TEXT(Table1[[#This Row],[Order Date]],"mmm")</f>
        <v>Jun</v>
      </c>
      <c r="X676">
        <f t="shared" si="30"/>
        <v>0</v>
      </c>
      <c r="Y676" t="str">
        <f t="shared" si="31"/>
        <v>Break-even</v>
      </c>
      <c r="Z676" t="str">
        <f t="shared" si="32"/>
        <v>No Discount</v>
      </c>
    </row>
    <row r="677" spans="1:26" x14ac:dyDescent="0.35">
      <c r="A677" s="1">
        <v>676</v>
      </c>
      <c r="B677" s="2" t="s">
        <v>2229</v>
      </c>
      <c r="C677" s="3">
        <v>45104</v>
      </c>
      <c r="D677" s="3">
        <v>45108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</v>
      </c>
      <c r="T677" s="1">
        <v>0</v>
      </c>
      <c r="U677" s="1">
        <v>53.750400000000013</v>
      </c>
      <c r="V677">
        <f>YEAR(Table1[[#This Row],[Order Date]])</f>
        <v>2023</v>
      </c>
      <c r="W677" t="str">
        <f>TEXT(Table1[[#This Row],[Order Date]],"mmm")</f>
        <v>Jun</v>
      </c>
      <c r="X677">
        <f t="shared" si="30"/>
        <v>13.437600000000003</v>
      </c>
      <c r="Y677" t="str">
        <f t="shared" si="31"/>
        <v>Profit</v>
      </c>
      <c r="Z677" t="str">
        <f t="shared" si="32"/>
        <v>No Discount</v>
      </c>
    </row>
    <row r="678" spans="1:26" x14ac:dyDescent="0.35">
      <c r="A678" s="1">
        <v>677</v>
      </c>
      <c r="B678" s="2" t="s">
        <v>2233</v>
      </c>
      <c r="C678" s="3">
        <v>45105</v>
      </c>
      <c r="D678" s="3">
        <v>45109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1228.4649999999999</v>
      </c>
      <c r="S678" s="1">
        <v>5</v>
      </c>
      <c r="T678" s="1">
        <v>0.3</v>
      </c>
      <c r="U678" s="1">
        <v>0</v>
      </c>
      <c r="V678">
        <f>YEAR(Table1[[#This Row],[Order Date]])</f>
        <v>2023</v>
      </c>
      <c r="W678" t="str">
        <f>TEXT(Table1[[#This Row],[Order Date]],"mmm")</f>
        <v>Jun</v>
      </c>
      <c r="X678">
        <f t="shared" si="30"/>
        <v>0</v>
      </c>
      <c r="Y678" t="str">
        <f t="shared" si="31"/>
        <v>Break-even</v>
      </c>
      <c r="Z678" t="str">
        <f t="shared" si="32"/>
        <v>Medium</v>
      </c>
    </row>
    <row r="679" spans="1:26" x14ac:dyDescent="0.35">
      <c r="A679" s="1">
        <v>678</v>
      </c>
      <c r="B679" s="2" t="s">
        <v>2233</v>
      </c>
      <c r="C679" s="3">
        <v>45105</v>
      </c>
      <c r="D679" s="3">
        <v>45109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3.168000000000001</v>
      </c>
      <c r="S679" s="1">
        <v>3</v>
      </c>
      <c r="T679" s="1">
        <v>0.7</v>
      </c>
      <c r="U679" s="1">
        <v>-2.4287999999999998</v>
      </c>
      <c r="V679">
        <f>YEAR(Table1[[#This Row],[Order Date]])</f>
        <v>2023</v>
      </c>
      <c r="W679" t="str">
        <f>TEXT(Table1[[#This Row],[Order Date]],"mmm")</f>
        <v>Jun</v>
      </c>
      <c r="X679">
        <f t="shared" si="30"/>
        <v>-0.80959999999999999</v>
      </c>
      <c r="Y679" t="str">
        <f t="shared" si="31"/>
        <v>Loss</v>
      </c>
      <c r="Z679" t="str">
        <f t="shared" si="32"/>
        <v>High</v>
      </c>
    </row>
    <row r="680" spans="1:26" x14ac:dyDescent="0.35">
      <c r="A680" s="1">
        <v>679</v>
      </c>
      <c r="B680" s="2" t="s">
        <v>2233</v>
      </c>
      <c r="C680" s="3">
        <v>45105</v>
      </c>
      <c r="D680" s="3">
        <v>45109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31.086000000000006</v>
      </c>
      <c r="S680" s="1">
        <v>3</v>
      </c>
      <c r="T680" s="1">
        <v>0.7</v>
      </c>
      <c r="U680" s="1">
        <v>-22.796399999999991</v>
      </c>
      <c r="V680">
        <f>YEAR(Table1[[#This Row],[Order Date]])</f>
        <v>2023</v>
      </c>
      <c r="W680" t="str">
        <f>TEXT(Table1[[#This Row],[Order Date]],"mmm")</f>
        <v>Jun</v>
      </c>
      <c r="X680">
        <f t="shared" si="30"/>
        <v>-7.5987999999999971</v>
      </c>
      <c r="Y680" t="str">
        <f t="shared" si="31"/>
        <v>Loss</v>
      </c>
      <c r="Z680" t="str">
        <f t="shared" si="32"/>
        <v>High</v>
      </c>
    </row>
    <row r="681" spans="1:26" x14ac:dyDescent="0.35">
      <c r="A681" s="1">
        <v>680</v>
      </c>
      <c r="B681" s="2" t="s">
        <v>2238</v>
      </c>
      <c r="C681" s="3">
        <v>45105</v>
      </c>
      <c r="D681" s="3">
        <v>45111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</v>
      </c>
      <c r="T681" s="1">
        <v>0</v>
      </c>
      <c r="U681" s="1">
        <v>3.04</v>
      </c>
      <c r="V681">
        <f>YEAR(Table1[[#This Row],[Order Date]])</f>
        <v>2023</v>
      </c>
      <c r="W681" t="str">
        <f>TEXT(Table1[[#This Row],[Order Date]],"mmm")</f>
        <v>Jun</v>
      </c>
      <c r="X681">
        <f t="shared" si="30"/>
        <v>3.04</v>
      </c>
      <c r="Y681" t="str">
        <f t="shared" si="31"/>
        <v>Profit</v>
      </c>
      <c r="Z681" t="str">
        <f t="shared" si="32"/>
        <v>No Discount</v>
      </c>
    </row>
    <row r="682" spans="1:26" x14ac:dyDescent="0.35">
      <c r="A682" s="1">
        <v>681</v>
      </c>
      <c r="B682" s="2" t="s">
        <v>2233</v>
      </c>
      <c r="C682" s="3">
        <v>45105</v>
      </c>
      <c r="D682" s="3">
        <v>45109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41.472000000000008</v>
      </c>
      <c r="S682" s="1">
        <v>8</v>
      </c>
      <c r="T682" s="1">
        <v>0.2</v>
      </c>
      <c r="U682" s="1">
        <v>14.5152</v>
      </c>
      <c r="V682">
        <f>YEAR(Table1[[#This Row],[Order Date]])</f>
        <v>2023</v>
      </c>
      <c r="W682" t="str">
        <f>TEXT(Table1[[#This Row],[Order Date]],"mmm")</f>
        <v>Jun</v>
      </c>
      <c r="X682">
        <f t="shared" si="30"/>
        <v>1.8144</v>
      </c>
      <c r="Y682" t="str">
        <f t="shared" si="31"/>
        <v>Profit</v>
      </c>
      <c r="Z682" t="str">
        <f t="shared" si="32"/>
        <v>Low</v>
      </c>
    </row>
    <row r="683" spans="1:26" x14ac:dyDescent="0.35">
      <c r="A683" s="1">
        <v>682</v>
      </c>
      <c r="B683" s="2" t="s">
        <v>2233</v>
      </c>
      <c r="C683" s="3">
        <v>45105</v>
      </c>
      <c r="D683" s="3">
        <v>45109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</v>
      </c>
      <c r="T683" s="1">
        <v>0.2</v>
      </c>
      <c r="U683" s="1">
        <v>117.43199999999999</v>
      </c>
      <c r="V683">
        <f>YEAR(Table1[[#This Row],[Order Date]])</f>
        <v>2023</v>
      </c>
      <c r="W683" t="str">
        <f>TEXT(Table1[[#This Row],[Order Date]],"mmm")</f>
        <v>Jun</v>
      </c>
      <c r="X683">
        <f t="shared" si="30"/>
        <v>29.357999999999997</v>
      </c>
      <c r="Y683" t="str">
        <f t="shared" si="31"/>
        <v>Profit</v>
      </c>
      <c r="Z683" t="str">
        <f t="shared" si="32"/>
        <v>Low</v>
      </c>
    </row>
    <row r="684" spans="1:26" x14ac:dyDescent="0.35">
      <c r="A684" s="1">
        <v>683</v>
      </c>
      <c r="B684" s="2" t="s">
        <v>2246</v>
      </c>
      <c r="C684" s="3">
        <v>45106</v>
      </c>
      <c r="D684" s="3">
        <v>45113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</v>
      </c>
      <c r="T684" s="1">
        <v>0.2</v>
      </c>
      <c r="U684" s="1">
        <v>3.6854999999999958</v>
      </c>
      <c r="V684">
        <f>YEAR(Table1[[#This Row],[Order Date]])</f>
        <v>2023</v>
      </c>
      <c r="W684" t="str">
        <f>TEXT(Table1[[#This Row],[Order Date]],"mmm")</f>
        <v>Jun</v>
      </c>
      <c r="X684">
        <f t="shared" si="30"/>
        <v>0.52649999999999941</v>
      </c>
      <c r="Y684" t="str">
        <f t="shared" si="31"/>
        <v>Profit</v>
      </c>
      <c r="Z684" t="str">
        <f t="shared" si="32"/>
        <v>Low</v>
      </c>
    </row>
    <row r="685" spans="1:26" x14ac:dyDescent="0.35">
      <c r="A685" s="1">
        <v>684</v>
      </c>
      <c r="B685" s="2" t="s">
        <v>2252</v>
      </c>
      <c r="C685" s="3">
        <v>45106</v>
      </c>
      <c r="D685" s="3">
        <v>45110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13.919999999999998</v>
      </c>
      <c r="S685" s="1">
        <v>3</v>
      </c>
      <c r="T685" s="1">
        <v>0.2</v>
      </c>
      <c r="U685" s="1">
        <v>4.8720000000000008</v>
      </c>
      <c r="V685">
        <f>YEAR(Table1[[#This Row],[Order Date]])</f>
        <v>2023</v>
      </c>
      <c r="W685" t="str">
        <f>TEXT(Table1[[#This Row],[Order Date]],"mmm")</f>
        <v>Jun</v>
      </c>
      <c r="X685">
        <f t="shared" si="30"/>
        <v>1.6240000000000003</v>
      </c>
      <c r="Y685" t="str">
        <f t="shared" si="31"/>
        <v>Profit</v>
      </c>
      <c r="Z685" t="str">
        <f t="shared" si="32"/>
        <v>Low</v>
      </c>
    </row>
    <row r="686" spans="1:26" x14ac:dyDescent="0.35">
      <c r="A686" s="1">
        <v>685</v>
      </c>
      <c r="B686" s="2" t="s">
        <v>2255</v>
      </c>
      <c r="C686" s="3">
        <v>45107</v>
      </c>
      <c r="D686" s="3">
        <v>45113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6.6000000000000005</v>
      </c>
      <c r="S686" s="1">
        <v>3</v>
      </c>
      <c r="T686" s="1">
        <v>0</v>
      </c>
      <c r="U686" s="1">
        <v>2.9040000000000008</v>
      </c>
      <c r="V686">
        <f>YEAR(Table1[[#This Row],[Order Date]])</f>
        <v>2023</v>
      </c>
      <c r="W686" t="str">
        <f>TEXT(Table1[[#This Row],[Order Date]],"mmm")</f>
        <v>Jun</v>
      </c>
      <c r="X686">
        <f t="shared" si="30"/>
        <v>0.9680000000000003</v>
      </c>
      <c r="Y686" t="str">
        <f t="shared" si="31"/>
        <v>Profit</v>
      </c>
      <c r="Z686" t="str">
        <f t="shared" si="32"/>
        <v>No Discount</v>
      </c>
    </row>
    <row r="687" spans="1:26" x14ac:dyDescent="0.35">
      <c r="A687" s="1">
        <v>686</v>
      </c>
      <c r="B687" s="2" t="s">
        <v>2258</v>
      </c>
      <c r="C687" s="3">
        <v>45107</v>
      </c>
      <c r="D687" s="3">
        <v>45110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32.400000000000006</v>
      </c>
      <c r="S687" s="1">
        <v>5</v>
      </c>
      <c r="T687" s="1">
        <v>0</v>
      </c>
      <c r="U687" s="1">
        <v>10.367999999999999</v>
      </c>
      <c r="V687">
        <f>YEAR(Table1[[#This Row],[Order Date]])</f>
        <v>2023</v>
      </c>
      <c r="W687" t="str">
        <f>TEXT(Table1[[#This Row],[Order Date]],"mmm")</f>
        <v>Jun</v>
      </c>
      <c r="X687">
        <f t="shared" si="30"/>
        <v>2.0735999999999999</v>
      </c>
      <c r="Y687" t="str">
        <f t="shared" si="31"/>
        <v>Profit</v>
      </c>
      <c r="Z687" t="str">
        <f t="shared" si="32"/>
        <v>No Discount</v>
      </c>
    </row>
    <row r="688" spans="1:26" x14ac:dyDescent="0.35">
      <c r="A688" s="1">
        <v>687</v>
      </c>
      <c r="B688" s="2" t="s">
        <v>2261</v>
      </c>
      <c r="C688" s="3">
        <v>45107</v>
      </c>
      <c r="D688" s="3">
        <v>45109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5.2480000000000002</v>
      </c>
      <c r="S688" s="1">
        <v>4</v>
      </c>
      <c r="T688" s="1">
        <v>0.2</v>
      </c>
      <c r="U688" s="1">
        <v>1.6399999999999995</v>
      </c>
      <c r="V688">
        <f>YEAR(Table1[[#This Row],[Order Date]])</f>
        <v>2023</v>
      </c>
      <c r="W688" t="str">
        <f>TEXT(Table1[[#This Row],[Order Date]],"mmm")</f>
        <v>Jun</v>
      </c>
      <c r="X688">
        <f t="shared" si="30"/>
        <v>0.40999999999999986</v>
      </c>
      <c r="Y688" t="str">
        <f t="shared" si="31"/>
        <v>Profit</v>
      </c>
      <c r="Z688" t="str">
        <f t="shared" si="32"/>
        <v>Low</v>
      </c>
    </row>
    <row r="689" spans="1:26" x14ac:dyDescent="0.35">
      <c r="A689" s="1">
        <v>688</v>
      </c>
      <c r="B689" s="2" t="s">
        <v>2266</v>
      </c>
      <c r="C689" s="3">
        <v>45107</v>
      </c>
      <c r="D689" s="3">
        <v>45112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334.76800000000003</v>
      </c>
      <c r="S689" s="1">
        <v>7</v>
      </c>
      <c r="T689" s="1">
        <v>0.2</v>
      </c>
      <c r="U689" s="1">
        <v>108.79959999999997</v>
      </c>
      <c r="V689">
        <f>YEAR(Table1[[#This Row],[Order Date]])</f>
        <v>2023</v>
      </c>
      <c r="W689" t="str">
        <f>TEXT(Table1[[#This Row],[Order Date]],"mmm")</f>
        <v>Jun</v>
      </c>
      <c r="X689">
        <f t="shared" si="30"/>
        <v>15.542799999999996</v>
      </c>
      <c r="Y689" t="str">
        <f t="shared" si="31"/>
        <v>Profit</v>
      </c>
      <c r="Z689" t="str">
        <f t="shared" si="32"/>
        <v>Low</v>
      </c>
    </row>
    <row r="690" spans="1:26" x14ac:dyDescent="0.35">
      <c r="A690" s="1">
        <v>689</v>
      </c>
      <c r="B690" s="2" t="s">
        <v>2255</v>
      </c>
      <c r="C690" s="3">
        <v>45107</v>
      </c>
      <c r="D690" s="3">
        <v>45113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2.6880000000000002</v>
      </c>
      <c r="S690" s="1">
        <v>1</v>
      </c>
      <c r="T690" s="1">
        <v>0.2</v>
      </c>
      <c r="U690" s="1">
        <v>0.83999999999999975</v>
      </c>
      <c r="V690">
        <f>YEAR(Table1[[#This Row],[Order Date]])</f>
        <v>2023</v>
      </c>
      <c r="W690" t="str">
        <f>TEXT(Table1[[#This Row],[Order Date]],"mmm")</f>
        <v>Jun</v>
      </c>
      <c r="X690">
        <f t="shared" si="30"/>
        <v>0.83999999999999975</v>
      </c>
      <c r="Y690" t="str">
        <f t="shared" si="31"/>
        <v>Profit</v>
      </c>
      <c r="Z690" t="str">
        <f t="shared" si="32"/>
        <v>Low</v>
      </c>
    </row>
    <row r="691" spans="1:26" x14ac:dyDescent="0.35">
      <c r="A691" s="1">
        <v>690</v>
      </c>
      <c r="B691" s="2" t="s">
        <v>2273</v>
      </c>
      <c r="C691" s="3">
        <v>45107</v>
      </c>
      <c r="D691" s="3">
        <v>45111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21.312000000000005</v>
      </c>
      <c r="S691" s="1">
        <v>6</v>
      </c>
      <c r="T691" s="1">
        <v>0.2</v>
      </c>
      <c r="U691" s="1">
        <v>7.1928000000000001</v>
      </c>
      <c r="V691">
        <f>YEAR(Table1[[#This Row],[Order Date]])</f>
        <v>2023</v>
      </c>
      <c r="W691" t="str">
        <f>TEXT(Table1[[#This Row],[Order Date]],"mmm")</f>
        <v>Jun</v>
      </c>
      <c r="X691">
        <f t="shared" si="30"/>
        <v>1.1988000000000001</v>
      </c>
      <c r="Y691" t="str">
        <f t="shared" si="31"/>
        <v>Profit</v>
      </c>
      <c r="Z691" t="str">
        <f t="shared" si="32"/>
        <v>Low</v>
      </c>
    </row>
    <row r="692" spans="1:26" x14ac:dyDescent="0.35">
      <c r="A692" s="1">
        <v>691</v>
      </c>
      <c r="B692" s="2" t="s">
        <v>2276</v>
      </c>
      <c r="C692" s="3">
        <v>45107</v>
      </c>
      <c r="D692" s="3">
        <v>45107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310.68799999999999</v>
      </c>
      <c r="S692" s="1">
        <v>7</v>
      </c>
      <c r="T692" s="1">
        <v>0.2</v>
      </c>
      <c r="U692" s="1">
        <v>108.74079999999998</v>
      </c>
      <c r="V692">
        <f>YEAR(Table1[[#This Row],[Order Date]])</f>
        <v>2023</v>
      </c>
      <c r="W692" t="str">
        <f>TEXT(Table1[[#This Row],[Order Date]],"mmm")</f>
        <v>Jun</v>
      </c>
      <c r="X692">
        <f t="shared" si="30"/>
        <v>15.534399999999996</v>
      </c>
      <c r="Y692" t="str">
        <f t="shared" si="31"/>
        <v>Profit</v>
      </c>
      <c r="Z692" t="str">
        <f t="shared" si="32"/>
        <v>Low</v>
      </c>
    </row>
    <row r="693" spans="1:26" x14ac:dyDescent="0.35">
      <c r="A693" s="1">
        <v>692</v>
      </c>
      <c r="B693" s="2" t="s">
        <v>2273</v>
      </c>
      <c r="C693" s="3">
        <v>45107</v>
      </c>
      <c r="D693" s="3">
        <v>45111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25.920000000000005</v>
      </c>
      <c r="S693" s="1">
        <v>5</v>
      </c>
      <c r="T693" s="1">
        <v>0.2</v>
      </c>
      <c r="U693" s="1">
        <v>9.0719999999999992</v>
      </c>
      <c r="V693">
        <f>YEAR(Table1[[#This Row],[Order Date]])</f>
        <v>2023</v>
      </c>
      <c r="W693" t="str">
        <f>TEXT(Table1[[#This Row],[Order Date]],"mmm")</f>
        <v>Jun</v>
      </c>
      <c r="X693">
        <f t="shared" si="30"/>
        <v>1.8143999999999998</v>
      </c>
      <c r="Y693" t="str">
        <f t="shared" si="31"/>
        <v>Profit</v>
      </c>
      <c r="Z693" t="str">
        <f t="shared" si="32"/>
        <v>Low</v>
      </c>
    </row>
    <row r="694" spans="1:26" x14ac:dyDescent="0.35">
      <c r="A694" s="1">
        <v>693</v>
      </c>
      <c r="B694" s="2" t="s">
        <v>2281</v>
      </c>
      <c r="C694" s="3">
        <v>45108</v>
      </c>
      <c r="D694" s="3">
        <v>45112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5.1840000000000011</v>
      </c>
      <c r="S694" s="1">
        <v>6</v>
      </c>
      <c r="T694" s="1">
        <v>0.7</v>
      </c>
      <c r="U694" s="1">
        <v>-3.6288</v>
      </c>
      <c r="V694">
        <f>YEAR(Table1[[#This Row],[Order Date]])</f>
        <v>2023</v>
      </c>
      <c r="W694" t="str">
        <f>TEXT(Table1[[#This Row],[Order Date]],"mmm")</f>
        <v>Jul</v>
      </c>
      <c r="X694">
        <f t="shared" si="30"/>
        <v>-0.6048</v>
      </c>
      <c r="Y694" t="str">
        <f t="shared" si="31"/>
        <v>Loss</v>
      </c>
      <c r="Z694" t="str">
        <f t="shared" si="32"/>
        <v>High</v>
      </c>
    </row>
    <row r="695" spans="1:26" x14ac:dyDescent="0.35">
      <c r="A695" s="1">
        <v>694</v>
      </c>
      <c r="B695" s="2" t="s">
        <v>2285</v>
      </c>
      <c r="C695" s="3">
        <v>45108</v>
      </c>
      <c r="D695" s="3">
        <v>45113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19.920000000000002</v>
      </c>
      <c r="S695" s="1">
        <v>5</v>
      </c>
      <c r="T695" s="1">
        <v>0.2</v>
      </c>
      <c r="U695" s="1">
        <v>6.9719999999999995</v>
      </c>
      <c r="V695">
        <f>YEAR(Table1[[#This Row],[Order Date]])</f>
        <v>2023</v>
      </c>
      <c r="W695" t="str">
        <f>TEXT(Table1[[#This Row],[Order Date]],"mmm")</f>
        <v>Jul</v>
      </c>
      <c r="X695">
        <f t="shared" si="30"/>
        <v>1.3943999999999999</v>
      </c>
      <c r="Y695" t="str">
        <f t="shared" si="31"/>
        <v>Profit</v>
      </c>
      <c r="Z695" t="str">
        <f t="shared" si="32"/>
        <v>Low</v>
      </c>
    </row>
    <row r="696" spans="1:26" x14ac:dyDescent="0.35">
      <c r="A696" s="1">
        <v>695</v>
      </c>
      <c r="B696" s="2" t="s">
        <v>2281</v>
      </c>
      <c r="C696" s="3">
        <v>45108</v>
      </c>
      <c r="D696" s="3">
        <v>45112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575.91999999999996</v>
      </c>
      <c r="S696" s="1">
        <v>2</v>
      </c>
      <c r="T696" s="1">
        <v>0.2</v>
      </c>
      <c r="U696" s="1">
        <v>71.989999999999981</v>
      </c>
      <c r="V696">
        <f>YEAR(Table1[[#This Row],[Order Date]])</f>
        <v>2023</v>
      </c>
      <c r="W696" t="str">
        <f>TEXT(Table1[[#This Row],[Order Date]],"mmm")</f>
        <v>Jul</v>
      </c>
      <c r="X696">
        <f t="shared" si="30"/>
        <v>35.99499999999999</v>
      </c>
      <c r="Y696" t="str">
        <f t="shared" si="31"/>
        <v>Profit</v>
      </c>
      <c r="Z696" t="str">
        <f t="shared" si="32"/>
        <v>Low</v>
      </c>
    </row>
    <row r="697" spans="1:26" x14ac:dyDescent="0.35">
      <c r="A697" s="1">
        <v>696</v>
      </c>
      <c r="B697" s="2" t="s">
        <v>2290</v>
      </c>
      <c r="C697" s="3">
        <v>45109</v>
      </c>
      <c r="D697" s="3">
        <v>45113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</v>
      </c>
      <c r="T697" s="1">
        <v>0</v>
      </c>
      <c r="U697" s="1">
        <v>2.1762000000000001</v>
      </c>
      <c r="V697">
        <f>YEAR(Table1[[#This Row],[Order Date]])</f>
        <v>2023</v>
      </c>
      <c r="W697" t="str">
        <f>TEXT(Table1[[#This Row],[Order Date]],"mmm")</f>
        <v>Jul</v>
      </c>
      <c r="X697">
        <f t="shared" si="30"/>
        <v>2.1762000000000001</v>
      </c>
      <c r="Y697" t="str">
        <f t="shared" si="31"/>
        <v>Profit</v>
      </c>
      <c r="Z697" t="str">
        <f t="shared" si="32"/>
        <v>No Discount</v>
      </c>
    </row>
    <row r="698" spans="1:26" x14ac:dyDescent="0.35">
      <c r="A698" s="1">
        <v>697</v>
      </c>
      <c r="B698" s="2" t="s">
        <v>2290</v>
      </c>
      <c r="C698" s="3">
        <v>45109</v>
      </c>
      <c r="D698" s="3">
        <v>45113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</v>
      </c>
      <c r="T698" s="1">
        <v>0</v>
      </c>
      <c r="U698" s="1">
        <v>19.974600000000002</v>
      </c>
      <c r="V698">
        <f>YEAR(Table1[[#This Row],[Order Date]])</f>
        <v>2023</v>
      </c>
      <c r="W698" t="str">
        <f>TEXT(Table1[[#This Row],[Order Date]],"mmm")</f>
        <v>Jul</v>
      </c>
      <c r="X698">
        <f t="shared" si="30"/>
        <v>9.9873000000000012</v>
      </c>
      <c r="Y698" t="str">
        <f t="shared" si="31"/>
        <v>Profit</v>
      </c>
      <c r="Z698" t="str">
        <f t="shared" si="32"/>
        <v>No Discount</v>
      </c>
    </row>
    <row r="699" spans="1:26" x14ac:dyDescent="0.35">
      <c r="A699" s="1">
        <v>698</v>
      </c>
      <c r="B699" s="2" t="s">
        <v>2296</v>
      </c>
      <c r="C699" s="3">
        <v>45111</v>
      </c>
      <c r="D699" s="3">
        <v>45114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32.432000000000002</v>
      </c>
      <c r="S699" s="1">
        <v>2</v>
      </c>
      <c r="T699" s="1">
        <v>0.2</v>
      </c>
      <c r="U699" s="1">
        <v>3.2432000000000016</v>
      </c>
      <c r="V699">
        <f>YEAR(Table1[[#This Row],[Order Date]])</f>
        <v>2023</v>
      </c>
      <c r="W699" t="str">
        <f>TEXT(Table1[[#This Row],[Order Date]],"mmm")</f>
        <v>Jul</v>
      </c>
      <c r="X699">
        <f t="shared" si="30"/>
        <v>1.6216000000000008</v>
      </c>
      <c r="Y699" t="str">
        <f t="shared" si="31"/>
        <v>Profit</v>
      </c>
      <c r="Z699" t="str">
        <f t="shared" si="32"/>
        <v>Low</v>
      </c>
    </row>
    <row r="700" spans="1:26" x14ac:dyDescent="0.35">
      <c r="A700" s="1">
        <v>699</v>
      </c>
      <c r="B700" s="2" t="s">
        <v>2297</v>
      </c>
      <c r="C700" s="3">
        <v>45111</v>
      </c>
      <c r="D700" s="3">
        <v>45116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15.600000000000001</v>
      </c>
      <c r="S700" s="1">
        <v>5</v>
      </c>
      <c r="T700" s="1">
        <v>0</v>
      </c>
      <c r="U700" s="1">
        <v>7.6440000000000001</v>
      </c>
      <c r="V700">
        <f>YEAR(Table1[[#This Row],[Order Date]])</f>
        <v>2023</v>
      </c>
      <c r="W700" t="str">
        <f>TEXT(Table1[[#This Row],[Order Date]],"mmm")</f>
        <v>Jul</v>
      </c>
      <c r="X700">
        <f t="shared" si="30"/>
        <v>1.5287999999999999</v>
      </c>
      <c r="Y700" t="str">
        <f t="shared" si="31"/>
        <v>Profit</v>
      </c>
      <c r="Z700" t="str">
        <f t="shared" si="32"/>
        <v>No Discount</v>
      </c>
    </row>
    <row r="701" spans="1:26" x14ac:dyDescent="0.35">
      <c r="A701" s="1">
        <v>700</v>
      </c>
      <c r="B701" s="2" t="s">
        <v>2296</v>
      </c>
      <c r="C701" s="3">
        <v>45111</v>
      </c>
      <c r="D701" s="3">
        <v>45114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</v>
      </c>
      <c r="T701" s="1">
        <v>0.2</v>
      </c>
      <c r="U701" s="1">
        <v>62.137599999999992</v>
      </c>
      <c r="V701">
        <f>YEAR(Table1[[#This Row],[Order Date]])</f>
        <v>2023</v>
      </c>
      <c r="W701" t="str">
        <f>TEXT(Table1[[#This Row],[Order Date]],"mmm")</f>
        <v>Jul</v>
      </c>
      <c r="X701">
        <f t="shared" si="30"/>
        <v>15.534399999999998</v>
      </c>
      <c r="Y701" t="str">
        <f t="shared" si="31"/>
        <v>Profit</v>
      </c>
      <c r="Z701" t="str">
        <f t="shared" si="32"/>
        <v>Low</v>
      </c>
    </row>
    <row r="702" spans="1:26" x14ac:dyDescent="0.35">
      <c r="A702" s="1">
        <v>701</v>
      </c>
      <c r="B702" s="2" t="s">
        <v>2297</v>
      </c>
      <c r="C702" s="3">
        <v>45111</v>
      </c>
      <c r="D702" s="3">
        <v>45116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</v>
      </c>
      <c r="T702" s="1">
        <v>0</v>
      </c>
      <c r="U702" s="1">
        <v>10.92</v>
      </c>
      <c r="V702">
        <f>YEAR(Table1[[#This Row],[Order Date]])</f>
        <v>2023</v>
      </c>
      <c r="W702" t="str">
        <f>TEXT(Table1[[#This Row],[Order Date]],"mmm")</f>
        <v>Jul</v>
      </c>
      <c r="X702">
        <f t="shared" si="30"/>
        <v>3.64</v>
      </c>
      <c r="Y702" t="str">
        <f t="shared" si="31"/>
        <v>Profit</v>
      </c>
      <c r="Z702" t="str">
        <f t="shared" si="32"/>
        <v>No Discount</v>
      </c>
    </row>
    <row r="703" spans="1:26" x14ac:dyDescent="0.35">
      <c r="A703" s="1">
        <v>702</v>
      </c>
      <c r="B703" s="2" t="s">
        <v>2302</v>
      </c>
      <c r="C703" s="3">
        <v>45112</v>
      </c>
      <c r="D703" s="3">
        <v>45115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</v>
      </c>
      <c r="T703" s="1">
        <v>0.2</v>
      </c>
      <c r="U703" s="1">
        <v>5.3680000000000012</v>
      </c>
      <c r="V703">
        <f>YEAR(Table1[[#This Row],[Order Date]])</f>
        <v>2023</v>
      </c>
      <c r="W703" t="str">
        <f>TEXT(Table1[[#This Row],[Order Date]],"mmm")</f>
        <v>Jul</v>
      </c>
      <c r="X703">
        <f t="shared" si="30"/>
        <v>2.6840000000000006</v>
      </c>
      <c r="Y703" t="str">
        <f t="shared" si="31"/>
        <v>Profit</v>
      </c>
      <c r="Z703" t="str">
        <f t="shared" si="32"/>
        <v>Low</v>
      </c>
    </row>
    <row r="704" spans="1:26" x14ac:dyDescent="0.35">
      <c r="A704" s="1">
        <v>703</v>
      </c>
      <c r="B704" s="2" t="s">
        <v>2302</v>
      </c>
      <c r="C704" s="3">
        <v>45112</v>
      </c>
      <c r="D704" s="3">
        <v>45115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213.21600000000001</v>
      </c>
      <c r="S704" s="1">
        <v>3</v>
      </c>
      <c r="T704" s="1">
        <v>0.2</v>
      </c>
      <c r="U704" s="1">
        <v>15.991199999999992</v>
      </c>
      <c r="V704">
        <f>YEAR(Table1[[#This Row],[Order Date]])</f>
        <v>2023</v>
      </c>
      <c r="W704" t="str">
        <f>TEXT(Table1[[#This Row],[Order Date]],"mmm")</f>
        <v>Jul</v>
      </c>
      <c r="X704">
        <f t="shared" si="30"/>
        <v>5.3303999999999974</v>
      </c>
      <c r="Y704" t="str">
        <f t="shared" si="31"/>
        <v>Profit</v>
      </c>
      <c r="Z704" t="str">
        <f t="shared" si="32"/>
        <v>Low</v>
      </c>
    </row>
    <row r="705" spans="1:26" x14ac:dyDescent="0.35">
      <c r="A705" s="1">
        <v>704</v>
      </c>
      <c r="B705" s="2" t="s">
        <v>2308</v>
      </c>
      <c r="C705" s="3">
        <v>45112</v>
      </c>
      <c r="D705" s="3">
        <v>45119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4.3680000000000003</v>
      </c>
      <c r="S705" s="1">
        <v>3</v>
      </c>
      <c r="T705" s="1">
        <v>0.2</v>
      </c>
      <c r="U705" s="1">
        <v>0.3822000000000001</v>
      </c>
      <c r="V705">
        <f>YEAR(Table1[[#This Row],[Order Date]])</f>
        <v>2023</v>
      </c>
      <c r="W705" t="str">
        <f>TEXT(Table1[[#This Row],[Order Date]],"mmm")</f>
        <v>Jul</v>
      </c>
      <c r="X705">
        <f t="shared" si="30"/>
        <v>0.12740000000000004</v>
      </c>
      <c r="Y705" t="str">
        <f t="shared" si="31"/>
        <v>Profit</v>
      </c>
      <c r="Z705" t="str">
        <f t="shared" si="32"/>
        <v>Low</v>
      </c>
    </row>
    <row r="706" spans="1:26" x14ac:dyDescent="0.35">
      <c r="A706" s="1">
        <v>705</v>
      </c>
      <c r="B706" s="2" t="s">
        <v>2309</v>
      </c>
      <c r="C706" s="3">
        <v>45112</v>
      </c>
      <c r="D706" s="3">
        <v>45118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180.96000000000004</v>
      </c>
      <c r="S706" s="1">
        <v>6</v>
      </c>
      <c r="T706" s="1">
        <v>0.2</v>
      </c>
      <c r="U706" s="1">
        <v>67.86</v>
      </c>
      <c r="V706">
        <f>YEAR(Table1[[#This Row],[Order Date]])</f>
        <v>2023</v>
      </c>
      <c r="W706" t="str">
        <f>TEXT(Table1[[#This Row],[Order Date]],"mmm")</f>
        <v>Jul</v>
      </c>
      <c r="X706">
        <f t="shared" ref="X706:X769" si="33">IFERROR(U706/S706,0)</f>
        <v>11.31</v>
      </c>
      <c r="Y706" t="str">
        <f t="shared" ref="Y706:Y769" si="34">IF(U706&gt;0,"Profit",IF(U706&lt;0,"Loss","Break-even"))</f>
        <v>Profit</v>
      </c>
      <c r="Z706" t="str">
        <f t="shared" ref="Z706:Z769" si="35">IF(T706=0,"No Discount",IF(T706&lt;=0.2,"Low",IF(T706&lt;=0.4,"Medium","High")))</f>
        <v>Low</v>
      </c>
    </row>
    <row r="707" spans="1:26" x14ac:dyDescent="0.35">
      <c r="A707" s="1">
        <v>706</v>
      </c>
      <c r="B707" s="2" t="s">
        <v>2302</v>
      </c>
      <c r="C707" s="3">
        <v>45112</v>
      </c>
      <c r="D707" s="3">
        <v>45115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9.8100000000000023</v>
      </c>
      <c r="S707" s="1">
        <v>5</v>
      </c>
      <c r="T707" s="1">
        <v>0.7</v>
      </c>
      <c r="U707" s="1">
        <v>-6.8669999999999973</v>
      </c>
      <c r="V707">
        <f>YEAR(Table1[[#This Row],[Order Date]])</f>
        <v>2023</v>
      </c>
      <c r="W707" t="str">
        <f>TEXT(Table1[[#This Row],[Order Date]],"mmm")</f>
        <v>Jul</v>
      </c>
      <c r="X707">
        <f t="shared" si="33"/>
        <v>-1.3733999999999995</v>
      </c>
      <c r="Y707" t="str">
        <f t="shared" si="34"/>
        <v>Loss</v>
      </c>
      <c r="Z707" t="str">
        <f t="shared" si="35"/>
        <v>High</v>
      </c>
    </row>
    <row r="708" spans="1:26" x14ac:dyDescent="0.35">
      <c r="A708" s="1">
        <v>707</v>
      </c>
      <c r="B708" s="2" t="s">
        <v>2316</v>
      </c>
      <c r="C708" s="3">
        <v>45112</v>
      </c>
      <c r="D708" s="3">
        <v>45115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</v>
      </c>
      <c r="T708" s="1">
        <v>0</v>
      </c>
      <c r="U708" s="1">
        <v>6.8713999999999995</v>
      </c>
      <c r="V708">
        <f>YEAR(Table1[[#This Row],[Order Date]])</f>
        <v>2023</v>
      </c>
      <c r="W708" t="str">
        <f>TEXT(Table1[[#This Row],[Order Date]],"mmm")</f>
        <v>Jul</v>
      </c>
      <c r="X708">
        <f t="shared" si="33"/>
        <v>3.4356999999999998</v>
      </c>
      <c r="Y708" t="str">
        <f t="shared" si="34"/>
        <v>Profit</v>
      </c>
      <c r="Z708" t="str">
        <f t="shared" si="35"/>
        <v>No Discount</v>
      </c>
    </row>
    <row r="709" spans="1:26" x14ac:dyDescent="0.35">
      <c r="A709" s="1">
        <v>708</v>
      </c>
      <c r="B709" s="2" t="s">
        <v>2316</v>
      </c>
      <c r="C709" s="3">
        <v>45112</v>
      </c>
      <c r="D709" s="3">
        <v>45115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  <c r="V709">
        <f>YEAR(Table1[[#This Row],[Order Date]])</f>
        <v>2023</v>
      </c>
      <c r="W709" t="str">
        <f>TEXT(Table1[[#This Row],[Order Date]],"mmm")</f>
        <v>Jul</v>
      </c>
      <c r="X709">
        <f t="shared" si="33"/>
        <v>3.1104000000000003</v>
      </c>
      <c r="Y709" t="str">
        <f t="shared" si="34"/>
        <v>Profit</v>
      </c>
      <c r="Z709" t="str">
        <f t="shared" si="35"/>
        <v>No Discount</v>
      </c>
    </row>
    <row r="710" spans="1:26" x14ac:dyDescent="0.35">
      <c r="A710" s="1">
        <v>709</v>
      </c>
      <c r="B710" s="2" t="s">
        <v>2321</v>
      </c>
      <c r="C710" s="3">
        <v>45112</v>
      </c>
      <c r="D710" s="3">
        <v>45112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281.42400000000004</v>
      </c>
      <c r="S710" s="1">
        <v>11</v>
      </c>
      <c r="T710" s="1">
        <v>0.2</v>
      </c>
      <c r="U710" s="1">
        <v>-35.178000000000004</v>
      </c>
      <c r="V710">
        <f>YEAR(Table1[[#This Row],[Order Date]])</f>
        <v>2023</v>
      </c>
      <c r="W710" t="str">
        <f>TEXT(Table1[[#This Row],[Order Date]],"mmm")</f>
        <v>Jul</v>
      </c>
      <c r="X710">
        <f t="shared" si="33"/>
        <v>-3.1980000000000004</v>
      </c>
      <c r="Y710" t="str">
        <f t="shared" si="34"/>
        <v>Loss</v>
      </c>
      <c r="Z710" t="str">
        <f t="shared" si="35"/>
        <v>Low</v>
      </c>
    </row>
    <row r="711" spans="1:26" x14ac:dyDescent="0.35">
      <c r="A711" s="1">
        <v>710</v>
      </c>
      <c r="B711" s="2" t="s">
        <v>2321</v>
      </c>
      <c r="C711" s="3">
        <v>45112</v>
      </c>
      <c r="D711" s="3">
        <v>45112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220.77600000000001</v>
      </c>
      <c r="S711" s="1">
        <v>3</v>
      </c>
      <c r="T711" s="1">
        <v>0.2</v>
      </c>
      <c r="U711" s="1">
        <v>-44.155200000000022</v>
      </c>
      <c r="V711">
        <f>YEAR(Table1[[#This Row],[Order Date]])</f>
        <v>2023</v>
      </c>
      <c r="W711" t="str">
        <f>TEXT(Table1[[#This Row],[Order Date]],"mmm")</f>
        <v>Jul</v>
      </c>
      <c r="X711">
        <f t="shared" si="33"/>
        <v>-14.718400000000008</v>
      </c>
      <c r="Y711" t="str">
        <f t="shared" si="34"/>
        <v>Loss</v>
      </c>
      <c r="Z711" t="str">
        <f t="shared" si="35"/>
        <v>Low</v>
      </c>
    </row>
    <row r="712" spans="1:26" x14ac:dyDescent="0.35">
      <c r="A712" s="1">
        <v>711</v>
      </c>
      <c r="B712" s="2" t="s">
        <v>2316</v>
      </c>
      <c r="C712" s="3">
        <v>45112</v>
      </c>
      <c r="D712" s="3">
        <v>45115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</v>
      </c>
      <c r="T712" s="1">
        <v>0</v>
      </c>
      <c r="U712" s="1">
        <v>163.18979999999999</v>
      </c>
      <c r="V712">
        <f>YEAR(Table1[[#This Row],[Order Date]])</f>
        <v>2023</v>
      </c>
      <c r="W712" t="str">
        <f>TEXT(Table1[[#This Row],[Order Date]],"mmm")</f>
        <v>Jul</v>
      </c>
      <c r="X712">
        <f t="shared" si="33"/>
        <v>54.396599999999999</v>
      </c>
      <c r="Y712" t="str">
        <f t="shared" si="34"/>
        <v>Profit</v>
      </c>
      <c r="Z712" t="str">
        <f t="shared" si="35"/>
        <v>No Discount</v>
      </c>
    </row>
    <row r="713" spans="1:26" x14ac:dyDescent="0.35">
      <c r="A713" s="1">
        <v>712</v>
      </c>
      <c r="B713" s="2" t="s">
        <v>2330</v>
      </c>
      <c r="C713" s="3">
        <v>45113</v>
      </c>
      <c r="D713" s="3">
        <v>45119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</v>
      </c>
      <c r="T713" s="1">
        <v>0.2</v>
      </c>
      <c r="U713" s="1">
        <v>47.848000000000013</v>
      </c>
      <c r="V713">
        <f>YEAR(Table1[[#This Row],[Order Date]])</f>
        <v>2023</v>
      </c>
      <c r="W713" t="str">
        <f>TEXT(Table1[[#This Row],[Order Date]],"mmm")</f>
        <v>Jul</v>
      </c>
      <c r="X713">
        <f t="shared" si="33"/>
        <v>23.924000000000007</v>
      </c>
      <c r="Y713" t="str">
        <f t="shared" si="34"/>
        <v>Profit</v>
      </c>
      <c r="Z713" t="str">
        <f t="shared" si="35"/>
        <v>Low</v>
      </c>
    </row>
    <row r="714" spans="1:26" x14ac:dyDescent="0.35">
      <c r="A714" s="1">
        <v>713</v>
      </c>
      <c r="B714" s="2" t="s">
        <v>2336</v>
      </c>
      <c r="C714" s="3">
        <v>45113</v>
      </c>
      <c r="D714" s="3">
        <v>45115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559.99200000000008</v>
      </c>
      <c r="S714" s="1">
        <v>1</v>
      </c>
      <c r="T714" s="1">
        <v>0.2</v>
      </c>
      <c r="U714" s="1">
        <v>174.99749999999997</v>
      </c>
      <c r="V714">
        <f>YEAR(Table1[[#This Row],[Order Date]])</f>
        <v>2023</v>
      </c>
      <c r="W714" t="str">
        <f>TEXT(Table1[[#This Row],[Order Date]],"mmm")</f>
        <v>Jul</v>
      </c>
      <c r="X714">
        <f t="shared" si="33"/>
        <v>174.99749999999997</v>
      </c>
      <c r="Y714" t="str">
        <f t="shared" si="34"/>
        <v>Profit</v>
      </c>
      <c r="Z714" t="str">
        <f t="shared" si="35"/>
        <v>Low</v>
      </c>
    </row>
    <row r="715" spans="1:26" x14ac:dyDescent="0.35">
      <c r="A715" s="1">
        <v>714</v>
      </c>
      <c r="B715" s="2" t="s">
        <v>2341</v>
      </c>
      <c r="C715" s="3">
        <v>45114</v>
      </c>
      <c r="D715" s="3">
        <v>45118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172.18599999999998</v>
      </c>
      <c r="S715" s="1">
        <v>2</v>
      </c>
      <c r="T715" s="1">
        <v>0.3</v>
      </c>
      <c r="U715" s="1">
        <v>-46.736200000000011</v>
      </c>
      <c r="V715">
        <f>YEAR(Table1[[#This Row],[Order Date]])</f>
        <v>2023</v>
      </c>
      <c r="W715" t="str">
        <f>TEXT(Table1[[#This Row],[Order Date]],"mmm")</f>
        <v>Jul</v>
      </c>
      <c r="X715">
        <f t="shared" si="33"/>
        <v>-23.368100000000005</v>
      </c>
      <c r="Y715" t="str">
        <f t="shared" si="34"/>
        <v>Loss</v>
      </c>
      <c r="Z715" t="str">
        <f t="shared" si="35"/>
        <v>Medium</v>
      </c>
    </row>
    <row r="716" spans="1:26" x14ac:dyDescent="0.35">
      <c r="A716" s="1">
        <v>715</v>
      </c>
      <c r="B716" s="2" t="s">
        <v>2341</v>
      </c>
      <c r="C716" s="3">
        <v>45114</v>
      </c>
      <c r="D716" s="3">
        <v>45118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69.00800000000001</v>
      </c>
      <c r="S716" s="1">
        <v>2</v>
      </c>
      <c r="T716" s="1">
        <v>0.2</v>
      </c>
      <c r="U716" s="1">
        <v>12.0764</v>
      </c>
      <c r="V716">
        <f>YEAR(Table1[[#This Row],[Order Date]])</f>
        <v>2023</v>
      </c>
      <c r="W716" t="str">
        <f>TEXT(Table1[[#This Row],[Order Date]],"mmm")</f>
        <v>Jul</v>
      </c>
      <c r="X716">
        <f t="shared" si="33"/>
        <v>6.0381999999999998</v>
      </c>
      <c r="Y716" t="str">
        <f t="shared" si="34"/>
        <v>Profit</v>
      </c>
      <c r="Z716" t="str">
        <f t="shared" si="35"/>
        <v>Low</v>
      </c>
    </row>
    <row r="717" spans="1:26" x14ac:dyDescent="0.35">
      <c r="A717" s="1">
        <v>716</v>
      </c>
      <c r="B717" s="2" t="s">
        <v>2346</v>
      </c>
      <c r="C717" s="3">
        <v>45115</v>
      </c>
      <c r="D717" s="3">
        <v>45117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63.882000000000005</v>
      </c>
      <c r="S717" s="1">
        <v>1</v>
      </c>
      <c r="T717" s="1">
        <v>0.1</v>
      </c>
      <c r="U717" s="1">
        <v>10.647000000000004</v>
      </c>
      <c r="V717">
        <f>YEAR(Table1[[#This Row],[Order Date]])</f>
        <v>2023</v>
      </c>
      <c r="W717" t="str">
        <f>TEXT(Table1[[#This Row],[Order Date]],"mmm")</f>
        <v>Jul</v>
      </c>
      <c r="X717">
        <f t="shared" si="33"/>
        <v>10.647000000000004</v>
      </c>
      <c r="Y717" t="str">
        <f t="shared" si="34"/>
        <v>Profit</v>
      </c>
      <c r="Z717" t="str">
        <f t="shared" si="35"/>
        <v>Low</v>
      </c>
    </row>
    <row r="718" spans="1:26" x14ac:dyDescent="0.35">
      <c r="A718" s="1">
        <v>717</v>
      </c>
      <c r="B718" s="2" t="s">
        <v>2350</v>
      </c>
      <c r="C718" s="3">
        <v>45115</v>
      </c>
      <c r="D718" s="3">
        <v>45119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502.48800000000006</v>
      </c>
      <c r="S718" s="1">
        <v>3</v>
      </c>
      <c r="T718" s="1">
        <v>0.2</v>
      </c>
      <c r="U718" s="1">
        <v>-87.935400000000044</v>
      </c>
      <c r="V718">
        <f>YEAR(Table1[[#This Row],[Order Date]])</f>
        <v>2023</v>
      </c>
      <c r="W718" t="str">
        <f>TEXT(Table1[[#This Row],[Order Date]],"mmm")</f>
        <v>Jul</v>
      </c>
      <c r="X718">
        <f t="shared" si="33"/>
        <v>-29.311800000000016</v>
      </c>
      <c r="Y718" t="str">
        <f t="shared" si="34"/>
        <v>Loss</v>
      </c>
      <c r="Z718" t="str">
        <f t="shared" si="35"/>
        <v>Low</v>
      </c>
    </row>
    <row r="719" spans="1:26" x14ac:dyDescent="0.35">
      <c r="A719" s="1">
        <v>718</v>
      </c>
      <c r="B719" s="2" t="s">
        <v>2350</v>
      </c>
      <c r="C719" s="3">
        <v>45115</v>
      </c>
      <c r="D719" s="3">
        <v>45119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196.70400000000001</v>
      </c>
      <c r="S719" s="1">
        <v>6</v>
      </c>
      <c r="T719" s="1">
        <v>0.2</v>
      </c>
      <c r="U719" s="1">
        <v>68.846399999999974</v>
      </c>
      <c r="V719">
        <f>YEAR(Table1[[#This Row],[Order Date]])</f>
        <v>2023</v>
      </c>
      <c r="W719" t="str">
        <f>TEXT(Table1[[#This Row],[Order Date]],"mmm")</f>
        <v>Jul</v>
      </c>
      <c r="X719">
        <f t="shared" si="33"/>
        <v>11.474399999999996</v>
      </c>
      <c r="Y719" t="str">
        <f t="shared" si="34"/>
        <v>Profit</v>
      </c>
      <c r="Z719" t="str">
        <f t="shared" si="35"/>
        <v>Low</v>
      </c>
    </row>
    <row r="720" spans="1:26" x14ac:dyDescent="0.35">
      <c r="A720" s="1">
        <v>719</v>
      </c>
      <c r="B720" s="2" t="s">
        <v>2353</v>
      </c>
      <c r="C720" s="3">
        <v>45116</v>
      </c>
      <c r="D720" s="3">
        <v>45121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119.83299999999998</v>
      </c>
      <c r="S720" s="1">
        <v>1</v>
      </c>
      <c r="T720" s="1">
        <v>0.15</v>
      </c>
      <c r="U720" s="1">
        <v>7.0489999999999995</v>
      </c>
      <c r="V720">
        <f>YEAR(Table1[[#This Row],[Order Date]])</f>
        <v>2023</v>
      </c>
      <c r="W720" t="str">
        <f>TEXT(Table1[[#This Row],[Order Date]],"mmm")</f>
        <v>Jul</v>
      </c>
      <c r="X720">
        <f t="shared" si="33"/>
        <v>7.0489999999999995</v>
      </c>
      <c r="Y720" t="str">
        <f t="shared" si="34"/>
        <v>Profit</v>
      </c>
      <c r="Z720" t="str">
        <f t="shared" si="35"/>
        <v>Low</v>
      </c>
    </row>
    <row r="721" spans="1:26" x14ac:dyDescent="0.35">
      <c r="A721" s="1">
        <v>720</v>
      </c>
      <c r="B721" s="2" t="s">
        <v>2353</v>
      </c>
      <c r="C721" s="3">
        <v>45116</v>
      </c>
      <c r="D721" s="3">
        <v>45121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</v>
      </c>
      <c r="T721" s="1">
        <v>0</v>
      </c>
      <c r="U721" s="1">
        <v>2.2239999999999998</v>
      </c>
      <c r="V721">
        <f>YEAR(Table1[[#This Row],[Order Date]])</f>
        <v>2023</v>
      </c>
      <c r="W721" t="str">
        <f>TEXT(Table1[[#This Row],[Order Date]],"mmm")</f>
        <v>Jul</v>
      </c>
      <c r="X721">
        <f t="shared" si="33"/>
        <v>1.1119999999999999</v>
      </c>
      <c r="Y721" t="str">
        <f t="shared" si="34"/>
        <v>Profit</v>
      </c>
      <c r="Z721" t="str">
        <f t="shared" si="35"/>
        <v>No Discount</v>
      </c>
    </row>
    <row r="722" spans="1:26" x14ac:dyDescent="0.35">
      <c r="A722" s="1">
        <v>721</v>
      </c>
      <c r="B722" s="2" t="s">
        <v>2353</v>
      </c>
      <c r="C722" s="3">
        <v>45116</v>
      </c>
      <c r="D722" s="3">
        <v>45121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14.303999999999998</v>
      </c>
      <c r="S722" s="1">
        <v>6</v>
      </c>
      <c r="T722" s="1">
        <v>0.2</v>
      </c>
      <c r="U722" s="1">
        <v>4.6487999999999987</v>
      </c>
      <c r="V722">
        <f>YEAR(Table1[[#This Row],[Order Date]])</f>
        <v>2023</v>
      </c>
      <c r="W722" t="str">
        <f>TEXT(Table1[[#This Row],[Order Date]],"mmm")</f>
        <v>Jul</v>
      </c>
      <c r="X722">
        <f t="shared" si="33"/>
        <v>0.77479999999999982</v>
      </c>
      <c r="Y722" t="str">
        <f t="shared" si="34"/>
        <v>Profit</v>
      </c>
      <c r="Z722" t="str">
        <f t="shared" si="35"/>
        <v>Low</v>
      </c>
    </row>
    <row r="723" spans="1:26" x14ac:dyDescent="0.35">
      <c r="A723" s="1">
        <v>722</v>
      </c>
      <c r="B723" s="2" t="s">
        <v>2359</v>
      </c>
      <c r="C723" s="3">
        <v>45116</v>
      </c>
      <c r="D723" s="3">
        <v>45120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41.904000000000003</v>
      </c>
      <c r="S723" s="1">
        <v>6</v>
      </c>
      <c r="T723" s="1">
        <v>0.2</v>
      </c>
      <c r="U723" s="1">
        <v>14.142599999999996</v>
      </c>
      <c r="V723">
        <f>YEAR(Table1[[#This Row],[Order Date]])</f>
        <v>2023</v>
      </c>
      <c r="W723" t="str">
        <f>TEXT(Table1[[#This Row],[Order Date]],"mmm")</f>
        <v>Jul</v>
      </c>
      <c r="X723">
        <f t="shared" si="33"/>
        <v>2.3570999999999995</v>
      </c>
      <c r="Y723" t="str">
        <f t="shared" si="34"/>
        <v>Profit</v>
      </c>
      <c r="Z723" t="str">
        <f t="shared" si="35"/>
        <v>Low</v>
      </c>
    </row>
    <row r="724" spans="1:26" x14ac:dyDescent="0.35">
      <c r="A724" s="1">
        <v>723</v>
      </c>
      <c r="B724" s="2" t="s">
        <v>2359</v>
      </c>
      <c r="C724" s="3">
        <v>45116</v>
      </c>
      <c r="D724" s="3">
        <v>45120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</v>
      </c>
      <c r="T724" s="1">
        <v>0</v>
      </c>
      <c r="U724" s="1">
        <v>1.4112</v>
      </c>
      <c r="V724">
        <f>YEAR(Table1[[#This Row],[Order Date]])</f>
        <v>2023</v>
      </c>
      <c r="W724" t="str">
        <f>TEXT(Table1[[#This Row],[Order Date]],"mmm")</f>
        <v>Jul</v>
      </c>
      <c r="X724">
        <f t="shared" si="33"/>
        <v>1.4112</v>
      </c>
      <c r="Y724" t="str">
        <f t="shared" si="34"/>
        <v>Profit</v>
      </c>
      <c r="Z724" t="str">
        <f t="shared" si="35"/>
        <v>No Discount</v>
      </c>
    </row>
    <row r="725" spans="1:26" x14ac:dyDescent="0.35">
      <c r="A725" s="1">
        <v>724</v>
      </c>
      <c r="B725" s="2" t="s">
        <v>2364</v>
      </c>
      <c r="C725" s="3">
        <v>45116</v>
      </c>
      <c r="D725" s="3">
        <v>45122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14.352000000000002</v>
      </c>
      <c r="S725" s="1">
        <v>3</v>
      </c>
      <c r="T725" s="1">
        <v>0.2</v>
      </c>
      <c r="U725" s="1">
        <v>4.4849999999999994</v>
      </c>
      <c r="V725">
        <f>YEAR(Table1[[#This Row],[Order Date]])</f>
        <v>2023</v>
      </c>
      <c r="W725" t="str">
        <f>TEXT(Table1[[#This Row],[Order Date]],"mmm")</f>
        <v>Jul</v>
      </c>
      <c r="X725">
        <f t="shared" si="33"/>
        <v>1.4949999999999999</v>
      </c>
      <c r="Y725" t="str">
        <f t="shared" si="34"/>
        <v>Profit</v>
      </c>
      <c r="Z725" t="str">
        <f t="shared" si="35"/>
        <v>Low</v>
      </c>
    </row>
    <row r="726" spans="1:26" x14ac:dyDescent="0.35">
      <c r="A726" s="1">
        <v>725</v>
      </c>
      <c r="B726" s="2" t="s">
        <v>2353</v>
      </c>
      <c r="C726" s="3">
        <v>45116</v>
      </c>
      <c r="D726" s="3">
        <v>45121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32.400000000000006</v>
      </c>
      <c r="S726" s="1">
        <v>5</v>
      </c>
      <c r="T726" s="1">
        <v>0</v>
      </c>
      <c r="U726" s="1">
        <v>15.552000000000001</v>
      </c>
      <c r="V726">
        <f>YEAR(Table1[[#This Row],[Order Date]])</f>
        <v>2023</v>
      </c>
      <c r="W726" t="str">
        <f>TEXT(Table1[[#This Row],[Order Date]],"mmm")</f>
        <v>Jul</v>
      </c>
      <c r="X726">
        <f t="shared" si="33"/>
        <v>3.1104000000000003</v>
      </c>
      <c r="Y726" t="str">
        <f t="shared" si="34"/>
        <v>Profit</v>
      </c>
      <c r="Z726" t="str">
        <f t="shared" si="35"/>
        <v>No Discount</v>
      </c>
    </row>
    <row r="727" spans="1:26" x14ac:dyDescent="0.35">
      <c r="A727" s="1">
        <v>726</v>
      </c>
      <c r="B727" s="2" t="s">
        <v>2364</v>
      </c>
      <c r="C727" s="3">
        <v>45116</v>
      </c>
      <c r="D727" s="3">
        <v>45122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10.368000000000002</v>
      </c>
      <c r="S727" s="1">
        <v>2</v>
      </c>
      <c r="T727" s="1">
        <v>0.2</v>
      </c>
      <c r="U727" s="1">
        <v>3.6288</v>
      </c>
      <c r="V727">
        <f>YEAR(Table1[[#This Row],[Order Date]])</f>
        <v>2023</v>
      </c>
      <c r="W727" t="str">
        <f>TEXT(Table1[[#This Row],[Order Date]],"mmm")</f>
        <v>Jul</v>
      </c>
      <c r="X727">
        <f t="shared" si="33"/>
        <v>1.8144</v>
      </c>
      <c r="Y727" t="str">
        <f t="shared" si="34"/>
        <v>Profit</v>
      </c>
      <c r="Z727" t="str">
        <f t="shared" si="35"/>
        <v>Low</v>
      </c>
    </row>
    <row r="728" spans="1:26" x14ac:dyDescent="0.35">
      <c r="A728" s="1">
        <v>727</v>
      </c>
      <c r="B728" s="2" t="s">
        <v>2359</v>
      </c>
      <c r="C728" s="3">
        <v>45116</v>
      </c>
      <c r="D728" s="3">
        <v>45120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</v>
      </c>
      <c r="T728" s="1">
        <v>0</v>
      </c>
      <c r="U728" s="1">
        <v>4.066399999999998</v>
      </c>
      <c r="V728">
        <f>YEAR(Table1[[#This Row],[Order Date]])</f>
        <v>2023</v>
      </c>
      <c r="W728" t="str">
        <f>TEXT(Table1[[#This Row],[Order Date]],"mmm")</f>
        <v>Jul</v>
      </c>
      <c r="X728">
        <f t="shared" si="33"/>
        <v>1.0165999999999995</v>
      </c>
      <c r="Y728" t="str">
        <f t="shared" si="34"/>
        <v>Profit</v>
      </c>
      <c r="Z728" t="str">
        <f t="shared" si="35"/>
        <v>No Discount</v>
      </c>
    </row>
    <row r="729" spans="1:26" x14ac:dyDescent="0.35">
      <c r="A729" s="1">
        <v>728</v>
      </c>
      <c r="B729" s="2" t="s">
        <v>2371</v>
      </c>
      <c r="C729" s="3">
        <v>45118</v>
      </c>
      <c r="D729" s="3">
        <v>45122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</v>
      </c>
      <c r="T729" s="1">
        <v>0</v>
      </c>
      <c r="U729" s="1">
        <v>213.73500000000001</v>
      </c>
      <c r="V729">
        <f>YEAR(Table1[[#This Row],[Order Date]])</f>
        <v>2023</v>
      </c>
      <c r="W729" t="str">
        <f>TEXT(Table1[[#This Row],[Order Date]],"mmm")</f>
        <v>Jul</v>
      </c>
      <c r="X729">
        <f t="shared" si="33"/>
        <v>71.245000000000005</v>
      </c>
      <c r="Y729" t="str">
        <f t="shared" si="34"/>
        <v>Profit</v>
      </c>
      <c r="Z729" t="str">
        <f t="shared" si="35"/>
        <v>No Discount</v>
      </c>
    </row>
    <row r="730" spans="1:26" x14ac:dyDescent="0.35">
      <c r="A730" s="1">
        <v>729</v>
      </c>
      <c r="B730" s="2" t="s">
        <v>2371</v>
      </c>
      <c r="C730" s="3">
        <v>45118</v>
      </c>
      <c r="D730" s="3">
        <v>45122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124.10999999999999</v>
      </c>
      <c r="S730" s="1">
        <v>9</v>
      </c>
      <c r="T730" s="1">
        <v>0</v>
      </c>
      <c r="U730" s="1">
        <v>52.126200000000004</v>
      </c>
      <c r="V730">
        <f>YEAR(Table1[[#This Row],[Order Date]])</f>
        <v>2023</v>
      </c>
      <c r="W730" t="str">
        <f>TEXT(Table1[[#This Row],[Order Date]],"mmm")</f>
        <v>Jul</v>
      </c>
      <c r="X730">
        <f t="shared" si="33"/>
        <v>5.7918000000000003</v>
      </c>
      <c r="Y730" t="str">
        <f t="shared" si="34"/>
        <v>Profit</v>
      </c>
      <c r="Z730" t="str">
        <f t="shared" si="35"/>
        <v>No Discount</v>
      </c>
    </row>
    <row r="731" spans="1:26" x14ac:dyDescent="0.35">
      <c r="A731" s="1">
        <v>730</v>
      </c>
      <c r="B731" s="2" t="s">
        <v>2375</v>
      </c>
      <c r="C731" s="3">
        <v>45118</v>
      </c>
      <c r="D731" s="3">
        <v>45122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</v>
      </c>
      <c r="T731" s="1">
        <v>0.2</v>
      </c>
      <c r="U731" s="1">
        <v>6.3979999999999997</v>
      </c>
      <c r="V731">
        <f>YEAR(Table1[[#This Row],[Order Date]])</f>
        <v>2023</v>
      </c>
      <c r="W731" t="str">
        <f>TEXT(Table1[[#This Row],[Order Date]],"mmm")</f>
        <v>Jul</v>
      </c>
      <c r="X731">
        <f t="shared" si="33"/>
        <v>1.2795999999999998</v>
      </c>
      <c r="Y731" t="str">
        <f t="shared" si="34"/>
        <v>Profit</v>
      </c>
      <c r="Z731" t="str">
        <f t="shared" si="35"/>
        <v>Low</v>
      </c>
    </row>
    <row r="732" spans="1:26" x14ac:dyDescent="0.35">
      <c r="A732" s="1">
        <v>731</v>
      </c>
      <c r="B732" s="2" t="s">
        <v>2371</v>
      </c>
      <c r="C732" s="3">
        <v>45118</v>
      </c>
      <c r="D732" s="3">
        <v>45122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14.399999999999999</v>
      </c>
      <c r="S732" s="1">
        <v>5</v>
      </c>
      <c r="T732" s="1">
        <v>0</v>
      </c>
      <c r="U732" s="1">
        <v>7.056</v>
      </c>
      <c r="V732">
        <f>YEAR(Table1[[#This Row],[Order Date]])</f>
        <v>2023</v>
      </c>
      <c r="W732" t="str">
        <f>TEXT(Table1[[#This Row],[Order Date]],"mmm")</f>
        <v>Jul</v>
      </c>
      <c r="X732">
        <f t="shared" si="33"/>
        <v>1.4112</v>
      </c>
      <c r="Y732" t="str">
        <f t="shared" si="34"/>
        <v>Profit</v>
      </c>
      <c r="Z732" t="str">
        <f t="shared" si="35"/>
        <v>No Discount</v>
      </c>
    </row>
    <row r="733" spans="1:26" x14ac:dyDescent="0.35">
      <c r="A733" s="1">
        <v>732</v>
      </c>
      <c r="B733" s="2" t="s">
        <v>2371</v>
      </c>
      <c r="C733" s="3">
        <v>45118</v>
      </c>
      <c r="D733" s="3">
        <v>45122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</v>
      </c>
      <c r="T733" s="1">
        <v>0</v>
      </c>
      <c r="U733" s="1">
        <v>83.283999999999992</v>
      </c>
      <c r="V733">
        <f>YEAR(Table1[[#This Row],[Order Date]])</f>
        <v>2023</v>
      </c>
      <c r="W733" t="str">
        <f>TEXT(Table1[[#This Row],[Order Date]],"mmm")</f>
        <v>Jul</v>
      </c>
      <c r="X733">
        <f t="shared" si="33"/>
        <v>16.656799999999997</v>
      </c>
      <c r="Y733" t="str">
        <f t="shared" si="34"/>
        <v>Profit</v>
      </c>
      <c r="Z733" t="str">
        <f t="shared" si="35"/>
        <v>No Discount</v>
      </c>
    </row>
    <row r="734" spans="1:26" x14ac:dyDescent="0.35">
      <c r="A734" s="1">
        <v>733</v>
      </c>
      <c r="B734" s="2" t="s">
        <v>2382</v>
      </c>
      <c r="C734" s="3">
        <v>45118</v>
      </c>
      <c r="D734" s="3">
        <v>45121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10.368000000000002</v>
      </c>
      <c r="S734" s="1">
        <v>2</v>
      </c>
      <c r="T734" s="1">
        <v>0.2</v>
      </c>
      <c r="U734" s="1">
        <v>3.6288</v>
      </c>
      <c r="V734">
        <f>YEAR(Table1[[#This Row],[Order Date]])</f>
        <v>2023</v>
      </c>
      <c r="W734" t="str">
        <f>TEXT(Table1[[#This Row],[Order Date]],"mmm")</f>
        <v>Jul</v>
      </c>
      <c r="X734">
        <f t="shared" si="33"/>
        <v>1.8144</v>
      </c>
      <c r="Y734" t="str">
        <f t="shared" si="34"/>
        <v>Profit</v>
      </c>
      <c r="Z734" t="str">
        <f t="shared" si="35"/>
        <v>Low</v>
      </c>
    </row>
    <row r="735" spans="1:26" x14ac:dyDescent="0.35">
      <c r="A735" s="1">
        <v>734</v>
      </c>
      <c r="B735" s="2" t="s">
        <v>2375</v>
      </c>
      <c r="C735" s="3">
        <v>45118</v>
      </c>
      <c r="D735" s="3">
        <v>45122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</v>
      </c>
      <c r="T735" s="1">
        <v>0</v>
      </c>
      <c r="U735" s="1">
        <v>23.086399999999998</v>
      </c>
      <c r="V735">
        <f>YEAR(Table1[[#This Row],[Order Date]])</f>
        <v>2023</v>
      </c>
      <c r="W735" t="str">
        <f>TEXT(Table1[[#This Row],[Order Date]],"mmm")</f>
        <v>Jul</v>
      </c>
      <c r="X735">
        <f t="shared" si="33"/>
        <v>5.7715999999999994</v>
      </c>
      <c r="Y735" t="str">
        <f t="shared" si="34"/>
        <v>Profit</v>
      </c>
      <c r="Z735" t="str">
        <f t="shared" si="35"/>
        <v>No Discount</v>
      </c>
    </row>
    <row r="736" spans="1:26" x14ac:dyDescent="0.35">
      <c r="A736" s="1">
        <v>735</v>
      </c>
      <c r="B736" s="2" t="s">
        <v>2382</v>
      </c>
      <c r="C736" s="3">
        <v>45118</v>
      </c>
      <c r="D736" s="3">
        <v>45121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575.96800000000007</v>
      </c>
      <c r="S736" s="1">
        <v>4</v>
      </c>
      <c r="T736" s="1">
        <v>0.2</v>
      </c>
      <c r="U736" s="1">
        <v>43.197600000000023</v>
      </c>
      <c r="V736">
        <f>YEAR(Table1[[#This Row],[Order Date]])</f>
        <v>2023</v>
      </c>
      <c r="W736" t="str">
        <f>TEXT(Table1[[#This Row],[Order Date]],"mmm")</f>
        <v>Jul</v>
      </c>
      <c r="X736">
        <f t="shared" si="33"/>
        <v>10.799400000000006</v>
      </c>
      <c r="Y736" t="str">
        <f t="shared" si="34"/>
        <v>Profit</v>
      </c>
      <c r="Z736" t="str">
        <f t="shared" si="35"/>
        <v>Low</v>
      </c>
    </row>
    <row r="737" spans="1:26" x14ac:dyDescent="0.35">
      <c r="A737" s="1">
        <v>736</v>
      </c>
      <c r="B737" s="2" t="s">
        <v>2371</v>
      </c>
      <c r="C737" s="3">
        <v>45118</v>
      </c>
      <c r="D737" s="3">
        <v>45122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197.96999999999997</v>
      </c>
      <c r="S737" s="1">
        <v>3</v>
      </c>
      <c r="T737" s="1">
        <v>0</v>
      </c>
      <c r="U737" s="1">
        <v>57.41129999999999</v>
      </c>
      <c r="V737">
        <f>YEAR(Table1[[#This Row],[Order Date]])</f>
        <v>2023</v>
      </c>
      <c r="W737" t="str">
        <f>TEXT(Table1[[#This Row],[Order Date]],"mmm")</f>
        <v>Jul</v>
      </c>
      <c r="X737">
        <f t="shared" si="33"/>
        <v>19.137099999999997</v>
      </c>
      <c r="Y737" t="str">
        <f t="shared" si="34"/>
        <v>Profit</v>
      </c>
      <c r="Z737" t="str">
        <f t="shared" si="35"/>
        <v>No Discount</v>
      </c>
    </row>
    <row r="738" spans="1:26" x14ac:dyDescent="0.35">
      <c r="A738" s="1">
        <v>737</v>
      </c>
      <c r="B738" s="2" t="s">
        <v>2391</v>
      </c>
      <c r="C738" s="3">
        <v>45118</v>
      </c>
      <c r="D738" s="3">
        <v>45121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164.85000000000002</v>
      </c>
      <c r="S738" s="1">
        <v>3</v>
      </c>
      <c r="T738" s="1">
        <v>0</v>
      </c>
      <c r="U738" s="1">
        <v>47.806499999999993</v>
      </c>
      <c r="V738">
        <f>YEAR(Table1[[#This Row],[Order Date]])</f>
        <v>2023</v>
      </c>
      <c r="W738" t="str">
        <f>TEXT(Table1[[#This Row],[Order Date]],"mmm")</f>
        <v>Jul</v>
      </c>
      <c r="X738">
        <f t="shared" si="33"/>
        <v>15.935499999999998</v>
      </c>
      <c r="Y738" t="str">
        <f t="shared" si="34"/>
        <v>Profit</v>
      </c>
      <c r="Z738" t="str">
        <f t="shared" si="35"/>
        <v>No Discount</v>
      </c>
    </row>
    <row r="739" spans="1:26" x14ac:dyDescent="0.35">
      <c r="A739" s="1">
        <v>738</v>
      </c>
      <c r="B739" s="2" t="s">
        <v>2397</v>
      </c>
      <c r="C739" s="3">
        <v>45119</v>
      </c>
      <c r="D739" s="3">
        <v>45125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</v>
      </c>
      <c r="T739" s="1">
        <v>0.2</v>
      </c>
      <c r="U739" s="1">
        <v>13.852799999999981</v>
      </c>
      <c r="V739">
        <f>YEAR(Table1[[#This Row],[Order Date]])</f>
        <v>2023</v>
      </c>
      <c r="W739" t="str">
        <f>TEXT(Table1[[#This Row],[Order Date]],"mmm")</f>
        <v>Jul</v>
      </c>
      <c r="X739">
        <f t="shared" si="33"/>
        <v>3.4631999999999952</v>
      </c>
      <c r="Y739" t="str">
        <f t="shared" si="34"/>
        <v>Profit</v>
      </c>
      <c r="Z739" t="str">
        <f t="shared" si="35"/>
        <v>Low</v>
      </c>
    </row>
    <row r="740" spans="1:26" x14ac:dyDescent="0.35">
      <c r="A740" s="1">
        <v>739</v>
      </c>
      <c r="B740" s="2" t="s">
        <v>2400</v>
      </c>
      <c r="C740" s="3">
        <v>45119</v>
      </c>
      <c r="D740" s="3">
        <v>45123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512.35799999999995</v>
      </c>
      <c r="S740" s="1">
        <v>3</v>
      </c>
      <c r="T740" s="1">
        <v>0.3</v>
      </c>
      <c r="U740" s="1">
        <v>-14.638799999999947</v>
      </c>
      <c r="V740">
        <f>YEAR(Table1[[#This Row],[Order Date]])</f>
        <v>2023</v>
      </c>
      <c r="W740" t="str">
        <f>TEXT(Table1[[#This Row],[Order Date]],"mmm")</f>
        <v>Jul</v>
      </c>
      <c r="X740">
        <f t="shared" si="33"/>
        <v>-4.8795999999999822</v>
      </c>
      <c r="Y740" t="str">
        <f t="shared" si="34"/>
        <v>Loss</v>
      </c>
      <c r="Z740" t="str">
        <f t="shared" si="35"/>
        <v>Medium</v>
      </c>
    </row>
    <row r="741" spans="1:26" x14ac:dyDescent="0.35">
      <c r="A741" s="1">
        <v>740</v>
      </c>
      <c r="B741" s="2" t="s">
        <v>2406</v>
      </c>
      <c r="C741" s="3">
        <v>45119</v>
      </c>
      <c r="D741" s="3">
        <v>45124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698.35200000000009</v>
      </c>
      <c r="S741" s="1">
        <v>3</v>
      </c>
      <c r="T741" s="1">
        <v>0.2</v>
      </c>
      <c r="U741" s="1">
        <v>-17.458800000000053</v>
      </c>
      <c r="V741">
        <f>YEAR(Table1[[#This Row],[Order Date]])</f>
        <v>2023</v>
      </c>
      <c r="W741" t="str">
        <f>TEXT(Table1[[#This Row],[Order Date]],"mmm")</f>
        <v>Jul</v>
      </c>
      <c r="X741">
        <f t="shared" si="33"/>
        <v>-5.8196000000000181</v>
      </c>
      <c r="Y741" t="str">
        <f t="shared" si="34"/>
        <v>Loss</v>
      </c>
      <c r="Z741" t="str">
        <f t="shared" si="35"/>
        <v>Low</v>
      </c>
    </row>
    <row r="742" spans="1:26" x14ac:dyDescent="0.35">
      <c r="A742" s="1">
        <v>741</v>
      </c>
      <c r="B742" s="2" t="s">
        <v>2400</v>
      </c>
      <c r="C742" s="3">
        <v>45119</v>
      </c>
      <c r="D742" s="3">
        <v>45123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</v>
      </c>
      <c r="T742" s="1">
        <v>0.2</v>
      </c>
      <c r="U742" s="1">
        <v>3.9003999999999985</v>
      </c>
      <c r="V742">
        <f>YEAR(Table1[[#This Row],[Order Date]])</f>
        <v>2023</v>
      </c>
      <c r="W742" t="str">
        <f>TEXT(Table1[[#This Row],[Order Date]],"mmm")</f>
        <v>Jul</v>
      </c>
      <c r="X742">
        <f t="shared" si="33"/>
        <v>0.55719999999999981</v>
      </c>
      <c r="Y742" t="str">
        <f t="shared" si="34"/>
        <v>Profit</v>
      </c>
      <c r="Z742" t="str">
        <f t="shared" si="35"/>
        <v>Low</v>
      </c>
    </row>
    <row r="743" spans="1:26" x14ac:dyDescent="0.35">
      <c r="A743" s="1">
        <v>742</v>
      </c>
      <c r="B743" s="2" t="s">
        <v>2397</v>
      </c>
      <c r="C743" s="3">
        <v>45119</v>
      </c>
      <c r="D743" s="3">
        <v>45125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11.264000000000001</v>
      </c>
      <c r="S743" s="1">
        <v>4</v>
      </c>
      <c r="T743" s="1">
        <v>0.2</v>
      </c>
      <c r="U743" s="1">
        <v>3.8015999999999992</v>
      </c>
      <c r="V743">
        <f>YEAR(Table1[[#This Row],[Order Date]])</f>
        <v>2023</v>
      </c>
      <c r="W743" t="str">
        <f>TEXT(Table1[[#This Row],[Order Date]],"mmm")</f>
        <v>Jul</v>
      </c>
      <c r="X743">
        <f t="shared" si="33"/>
        <v>0.9503999999999998</v>
      </c>
      <c r="Y743" t="str">
        <f t="shared" si="34"/>
        <v>Profit</v>
      </c>
      <c r="Z743" t="str">
        <f t="shared" si="35"/>
        <v>Low</v>
      </c>
    </row>
    <row r="744" spans="1:26" x14ac:dyDescent="0.35">
      <c r="A744" s="1">
        <v>743</v>
      </c>
      <c r="B744" s="2" t="s">
        <v>2406</v>
      </c>
      <c r="C744" s="3">
        <v>45119</v>
      </c>
      <c r="D744" s="3">
        <v>45124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7.7120000000000006</v>
      </c>
      <c r="S744" s="1">
        <v>2</v>
      </c>
      <c r="T744" s="1">
        <v>0.2</v>
      </c>
      <c r="U744" s="1">
        <v>2.7956000000000003</v>
      </c>
      <c r="V744">
        <f>YEAR(Table1[[#This Row],[Order Date]])</f>
        <v>2023</v>
      </c>
      <c r="W744" t="str">
        <f>TEXT(Table1[[#This Row],[Order Date]],"mmm")</f>
        <v>Jul</v>
      </c>
      <c r="X744">
        <f t="shared" si="33"/>
        <v>1.3978000000000002</v>
      </c>
      <c r="Y744" t="str">
        <f t="shared" si="34"/>
        <v>Profit</v>
      </c>
      <c r="Z744" t="str">
        <f t="shared" si="35"/>
        <v>Low</v>
      </c>
    </row>
    <row r="745" spans="1:26" x14ac:dyDescent="0.35">
      <c r="A745" s="1">
        <v>744</v>
      </c>
      <c r="B745" s="2" t="s">
        <v>2400</v>
      </c>
      <c r="C745" s="3">
        <v>45119</v>
      </c>
      <c r="D745" s="3">
        <v>45123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3.4880000000000004</v>
      </c>
      <c r="S745" s="1">
        <v>2</v>
      </c>
      <c r="T745" s="1">
        <v>0.2</v>
      </c>
      <c r="U745" s="1">
        <v>0.56679999999999997</v>
      </c>
      <c r="V745">
        <f>YEAR(Table1[[#This Row],[Order Date]])</f>
        <v>2023</v>
      </c>
      <c r="W745" t="str">
        <f>TEXT(Table1[[#This Row],[Order Date]],"mmm")</f>
        <v>Jul</v>
      </c>
      <c r="X745">
        <f t="shared" si="33"/>
        <v>0.28339999999999999</v>
      </c>
      <c r="Y745" t="str">
        <f t="shared" si="34"/>
        <v>Profit</v>
      </c>
      <c r="Z745" t="str">
        <f t="shared" si="35"/>
        <v>Low</v>
      </c>
    </row>
    <row r="746" spans="1:26" x14ac:dyDescent="0.35">
      <c r="A746" s="1">
        <v>745</v>
      </c>
      <c r="B746" s="2" t="s">
        <v>2415</v>
      </c>
      <c r="C746" s="3">
        <v>45119</v>
      </c>
      <c r="D746" s="3">
        <v>45122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35.856000000000002</v>
      </c>
      <c r="S746" s="1">
        <v>9</v>
      </c>
      <c r="T746" s="1">
        <v>0.2</v>
      </c>
      <c r="U746" s="1">
        <v>12.997800000000003</v>
      </c>
      <c r="V746">
        <f>YEAR(Table1[[#This Row],[Order Date]])</f>
        <v>2023</v>
      </c>
      <c r="W746" t="str">
        <f>TEXT(Table1[[#This Row],[Order Date]],"mmm")</f>
        <v>Jul</v>
      </c>
      <c r="X746">
        <f t="shared" si="33"/>
        <v>1.4442000000000004</v>
      </c>
      <c r="Y746" t="str">
        <f t="shared" si="34"/>
        <v>Profit</v>
      </c>
      <c r="Z746" t="str">
        <f t="shared" si="35"/>
        <v>Low</v>
      </c>
    </row>
    <row r="747" spans="1:26" x14ac:dyDescent="0.35">
      <c r="A747" s="1">
        <v>746</v>
      </c>
      <c r="B747" s="2" t="s">
        <v>2400</v>
      </c>
      <c r="C747" s="3">
        <v>45119</v>
      </c>
      <c r="D747" s="3">
        <v>45123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</v>
      </c>
      <c r="T747" s="1">
        <v>0.2</v>
      </c>
      <c r="U747" s="1">
        <v>5.6111999999999993</v>
      </c>
      <c r="V747">
        <f>YEAR(Table1[[#This Row],[Order Date]])</f>
        <v>2023</v>
      </c>
      <c r="W747" t="str">
        <f>TEXT(Table1[[#This Row],[Order Date]],"mmm")</f>
        <v>Jul</v>
      </c>
      <c r="X747">
        <f t="shared" si="33"/>
        <v>1.8703999999999998</v>
      </c>
      <c r="Y747" t="str">
        <f t="shared" si="34"/>
        <v>Profit</v>
      </c>
      <c r="Z747" t="str">
        <f t="shared" si="35"/>
        <v>Low</v>
      </c>
    </row>
    <row r="748" spans="1:26" x14ac:dyDescent="0.35">
      <c r="A748" s="1">
        <v>747</v>
      </c>
      <c r="B748" s="2" t="s">
        <v>2418</v>
      </c>
      <c r="C748" s="3">
        <v>45119</v>
      </c>
      <c r="D748" s="3">
        <v>45123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</v>
      </c>
      <c r="T748" s="1">
        <v>0</v>
      </c>
      <c r="U748" s="1">
        <v>44.954999999999977</v>
      </c>
      <c r="V748">
        <f>YEAR(Table1[[#This Row],[Order Date]])</f>
        <v>2023</v>
      </c>
      <c r="W748" t="str">
        <f>TEXT(Table1[[#This Row],[Order Date]],"mmm")</f>
        <v>Jul</v>
      </c>
      <c r="X748">
        <f t="shared" si="33"/>
        <v>4.9949999999999974</v>
      </c>
      <c r="Y748" t="str">
        <f t="shared" si="34"/>
        <v>Profit</v>
      </c>
      <c r="Z748" t="str">
        <f t="shared" si="35"/>
        <v>No Discount</v>
      </c>
    </row>
    <row r="749" spans="1:26" x14ac:dyDescent="0.35">
      <c r="A749" s="1">
        <v>748</v>
      </c>
      <c r="B749" s="2" t="s">
        <v>2415</v>
      </c>
      <c r="C749" s="3">
        <v>45119</v>
      </c>
      <c r="D749" s="3">
        <v>45122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23.840000000000003</v>
      </c>
      <c r="S749" s="1">
        <v>4</v>
      </c>
      <c r="T749" s="1">
        <v>0.2</v>
      </c>
      <c r="U749" s="1">
        <v>3.2779999999999987</v>
      </c>
      <c r="V749">
        <f>YEAR(Table1[[#This Row],[Order Date]])</f>
        <v>2023</v>
      </c>
      <c r="W749" t="str">
        <f>TEXT(Table1[[#This Row],[Order Date]],"mmm")</f>
        <v>Jul</v>
      </c>
      <c r="X749">
        <f t="shared" si="33"/>
        <v>0.81949999999999967</v>
      </c>
      <c r="Y749" t="str">
        <f t="shared" si="34"/>
        <v>Profit</v>
      </c>
      <c r="Z749" t="str">
        <f t="shared" si="35"/>
        <v>Low</v>
      </c>
    </row>
    <row r="750" spans="1:26" x14ac:dyDescent="0.35">
      <c r="A750" s="1">
        <v>749</v>
      </c>
      <c r="B750" s="2" t="s">
        <v>2418</v>
      </c>
      <c r="C750" s="3">
        <v>45119</v>
      </c>
      <c r="D750" s="3">
        <v>45123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255.93600000000004</v>
      </c>
      <c r="S750" s="1">
        <v>8</v>
      </c>
      <c r="T750" s="1">
        <v>0.2</v>
      </c>
      <c r="U750" s="1">
        <v>28.792799999999971</v>
      </c>
      <c r="V750">
        <f>YEAR(Table1[[#This Row],[Order Date]])</f>
        <v>2023</v>
      </c>
      <c r="W750" t="str">
        <f>TEXT(Table1[[#This Row],[Order Date]],"mmm")</f>
        <v>Jul</v>
      </c>
      <c r="X750">
        <f t="shared" si="33"/>
        <v>3.5990999999999964</v>
      </c>
      <c r="Y750" t="str">
        <f t="shared" si="34"/>
        <v>Profit</v>
      </c>
      <c r="Z750" t="str">
        <f t="shared" si="35"/>
        <v>Low</v>
      </c>
    </row>
    <row r="751" spans="1:26" x14ac:dyDescent="0.35">
      <c r="A751" s="1">
        <v>750</v>
      </c>
      <c r="B751" s="2" t="s">
        <v>2423</v>
      </c>
      <c r="C751" s="3">
        <v>45120</v>
      </c>
      <c r="D751" s="3">
        <v>45124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351.21600000000001</v>
      </c>
      <c r="S751" s="1">
        <v>3</v>
      </c>
      <c r="T751" s="1">
        <v>0.2</v>
      </c>
      <c r="U751" s="1">
        <v>4.3901999999999788</v>
      </c>
      <c r="V751">
        <f>YEAR(Table1[[#This Row],[Order Date]])</f>
        <v>2023</v>
      </c>
      <c r="W751" t="str">
        <f>TEXT(Table1[[#This Row],[Order Date]],"mmm")</f>
        <v>Jul</v>
      </c>
      <c r="X751">
        <f t="shared" si="33"/>
        <v>1.4633999999999929</v>
      </c>
      <c r="Y751" t="str">
        <f t="shared" si="34"/>
        <v>Profit</v>
      </c>
      <c r="Z751" t="str">
        <f t="shared" si="35"/>
        <v>Low</v>
      </c>
    </row>
    <row r="752" spans="1:26" x14ac:dyDescent="0.35">
      <c r="A752" s="1">
        <v>751</v>
      </c>
      <c r="B752" s="2" t="s">
        <v>2426</v>
      </c>
      <c r="C752" s="3">
        <v>45121</v>
      </c>
      <c r="D752" s="3">
        <v>45125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31.983999999999998</v>
      </c>
      <c r="S752" s="1">
        <v>2</v>
      </c>
      <c r="T752" s="1">
        <v>0.2</v>
      </c>
      <c r="U752" s="1">
        <v>1.1993999999999998</v>
      </c>
      <c r="V752">
        <f>YEAR(Table1[[#This Row],[Order Date]])</f>
        <v>2023</v>
      </c>
      <c r="W752" t="str">
        <f>TEXT(Table1[[#This Row],[Order Date]],"mmm")</f>
        <v>Jul</v>
      </c>
      <c r="X752">
        <f t="shared" si="33"/>
        <v>0.5996999999999999</v>
      </c>
      <c r="Y752" t="str">
        <f t="shared" si="34"/>
        <v>Profit</v>
      </c>
      <c r="Z752" t="str">
        <f t="shared" si="35"/>
        <v>Low</v>
      </c>
    </row>
    <row r="753" spans="1:26" x14ac:dyDescent="0.35">
      <c r="A753" s="1">
        <v>752</v>
      </c>
      <c r="B753" s="2" t="s">
        <v>2429</v>
      </c>
      <c r="C753" s="3">
        <v>45121</v>
      </c>
      <c r="D753" s="3">
        <v>45127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39.479999999999997</v>
      </c>
      <c r="S753" s="1">
        <v>1</v>
      </c>
      <c r="T753" s="1">
        <v>0</v>
      </c>
      <c r="U753" s="1">
        <v>11.054400000000001</v>
      </c>
      <c r="V753">
        <f>YEAR(Table1[[#This Row],[Order Date]])</f>
        <v>2023</v>
      </c>
      <c r="W753" t="str">
        <f>TEXT(Table1[[#This Row],[Order Date]],"mmm")</f>
        <v>Jul</v>
      </c>
      <c r="X753">
        <f t="shared" si="33"/>
        <v>11.054400000000001</v>
      </c>
      <c r="Y753" t="str">
        <f t="shared" si="34"/>
        <v>Profit</v>
      </c>
      <c r="Z753" t="str">
        <f t="shared" si="35"/>
        <v>No Discount</v>
      </c>
    </row>
    <row r="754" spans="1:26" x14ac:dyDescent="0.35">
      <c r="A754" s="1">
        <v>753</v>
      </c>
      <c r="B754" s="2" t="s">
        <v>2426</v>
      </c>
      <c r="C754" s="3">
        <v>45121</v>
      </c>
      <c r="D754" s="3">
        <v>45125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41.584000000000003</v>
      </c>
      <c r="S754" s="1">
        <v>2</v>
      </c>
      <c r="T754" s="1">
        <v>0.2</v>
      </c>
      <c r="U754" s="1">
        <v>4.6781999999999968</v>
      </c>
      <c r="V754">
        <f>YEAR(Table1[[#This Row],[Order Date]])</f>
        <v>2023</v>
      </c>
      <c r="W754" t="str">
        <f>TEXT(Table1[[#This Row],[Order Date]],"mmm")</f>
        <v>Jul</v>
      </c>
      <c r="X754">
        <f t="shared" si="33"/>
        <v>2.3390999999999984</v>
      </c>
      <c r="Y754" t="str">
        <f t="shared" si="34"/>
        <v>Profit</v>
      </c>
      <c r="Z754" t="str">
        <f t="shared" si="35"/>
        <v>Low</v>
      </c>
    </row>
    <row r="755" spans="1:26" x14ac:dyDescent="0.35">
      <c r="A755" s="1">
        <v>754</v>
      </c>
      <c r="B755" s="2" t="s">
        <v>2434</v>
      </c>
      <c r="C755" s="3">
        <v>45121</v>
      </c>
      <c r="D755" s="3">
        <v>45124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  <c r="V755">
        <f>YEAR(Table1[[#This Row],[Order Date]])</f>
        <v>2023</v>
      </c>
      <c r="W755" t="str">
        <f>TEXT(Table1[[#This Row],[Order Date]],"mmm")</f>
        <v>Jul</v>
      </c>
      <c r="X755">
        <f t="shared" si="33"/>
        <v>1.4950000000000001</v>
      </c>
      <c r="Y755" t="str">
        <f t="shared" si="34"/>
        <v>Profit</v>
      </c>
      <c r="Z755" t="str">
        <f t="shared" si="35"/>
        <v>No Discount</v>
      </c>
    </row>
    <row r="756" spans="1:26" x14ac:dyDescent="0.35">
      <c r="A756" s="1">
        <v>755</v>
      </c>
      <c r="B756" s="2" t="s">
        <v>2439</v>
      </c>
      <c r="C756" s="3">
        <v>45121</v>
      </c>
      <c r="D756" s="3">
        <v>45127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29.931999999999992</v>
      </c>
      <c r="S756" s="1">
        <v>7</v>
      </c>
      <c r="T756" s="1">
        <v>0.8</v>
      </c>
      <c r="U756" s="1">
        <v>-46.394600000000011</v>
      </c>
      <c r="V756">
        <f>YEAR(Table1[[#This Row],[Order Date]])</f>
        <v>2023</v>
      </c>
      <c r="W756" t="str">
        <f>TEXT(Table1[[#This Row],[Order Date]],"mmm")</f>
        <v>Jul</v>
      </c>
      <c r="X756">
        <f t="shared" si="33"/>
        <v>-6.6278000000000015</v>
      </c>
      <c r="Y756" t="str">
        <f t="shared" si="34"/>
        <v>Loss</v>
      </c>
      <c r="Z756" t="str">
        <f t="shared" si="35"/>
        <v>High</v>
      </c>
    </row>
    <row r="757" spans="1:26" x14ac:dyDescent="0.35">
      <c r="A757" s="1">
        <v>756</v>
      </c>
      <c r="B757" s="2" t="s">
        <v>2444</v>
      </c>
      <c r="C757" s="3">
        <v>45121</v>
      </c>
      <c r="D757" s="3">
        <v>45128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</v>
      </c>
      <c r="T757" s="1">
        <v>0.2</v>
      </c>
      <c r="U757" s="1">
        <v>6.2910000000000004</v>
      </c>
      <c r="V757">
        <f>YEAR(Table1[[#This Row],[Order Date]])</f>
        <v>2023</v>
      </c>
      <c r="W757" t="str">
        <f>TEXT(Table1[[#This Row],[Order Date]],"mmm")</f>
        <v>Jul</v>
      </c>
      <c r="X757">
        <f t="shared" si="33"/>
        <v>1.2582</v>
      </c>
      <c r="Y757" t="str">
        <f t="shared" si="34"/>
        <v>Profit</v>
      </c>
      <c r="Z757" t="str">
        <f t="shared" si="35"/>
        <v>Low</v>
      </c>
    </row>
    <row r="758" spans="1:26" x14ac:dyDescent="0.35">
      <c r="A758" s="1">
        <v>757</v>
      </c>
      <c r="B758" s="2" t="s">
        <v>2439</v>
      </c>
      <c r="C758" s="3">
        <v>45121</v>
      </c>
      <c r="D758" s="3">
        <v>45127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38.272000000000006</v>
      </c>
      <c r="S758" s="1">
        <v>4</v>
      </c>
      <c r="T758" s="1">
        <v>0.2</v>
      </c>
      <c r="U758" s="1">
        <v>3.8272000000000013</v>
      </c>
      <c r="V758">
        <f>YEAR(Table1[[#This Row],[Order Date]])</f>
        <v>2023</v>
      </c>
      <c r="W758" t="str">
        <f>TEXT(Table1[[#This Row],[Order Date]],"mmm")</f>
        <v>Jul</v>
      </c>
      <c r="X758">
        <f t="shared" si="33"/>
        <v>0.95680000000000032</v>
      </c>
      <c r="Y758" t="str">
        <f t="shared" si="34"/>
        <v>Profit</v>
      </c>
      <c r="Z758" t="str">
        <f t="shared" si="35"/>
        <v>Low</v>
      </c>
    </row>
    <row r="759" spans="1:26" x14ac:dyDescent="0.35">
      <c r="A759" s="1">
        <v>758</v>
      </c>
      <c r="B759" s="2" t="s">
        <v>2426</v>
      </c>
      <c r="C759" s="3">
        <v>45121</v>
      </c>
      <c r="D759" s="3">
        <v>45125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13.493999999999998</v>
      </c>
      <c r="S759" s="1">
        <v>1</v>
      </c>
      <c r="T759" s="1">
        <v>0.4</v>
      </c>
      <c r="U759" s="1">
        <v>-2.2490000000000023</v>
      </c>
      <c r="V759">
        <f>YEAR(Table1[[#This Row],[Order Date]])</f>
        <v>2023</v>
      </c>
      <c r="W759" t="str">
        <f>TEXT(Table1[[#This Row],[Order Date]],"mmm")</f>
        <v>Jul</v>
      </c>
      <c r="X759">
        <f t="shared" si="33"/>
        <v>-2.2490000000000023</v>
      </c>
      <c r="Y759" t="str">
        <f t="shared" si="34"/>
        <v>Loss</v>
      </c>
      <c r="Z759" t="str">
        <f t="shared" si="35"/>
        <v>Medium</v>
      </c>
    </row>
    <row r="760" spans="1:26" x14ac:dyDescent="0.35">
      <c r="A760" s="1">
        <v>759</v>
      </c>
      <c r="B760" s="2" t="s">
        <v>2426</v>
      </c>
      <c r="C760" s="3">
        <v>45121</v>
      </c>
      <c r="D760" s="3">
        <v>45125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23.987999999999996</v>
      </c>
      <c r="S760" s="1">
        <v>2</v>
      </c>
      <c r="T760" s="1">
        <v>0.4</v>
      </c>
      <c r="U760" s="1">
        <v>-13.993000000000004</v>
      </c>
      <c r="V760">
        <f>YEAR(Table1[[#This Row],[Order Date]])</f>
        <v>2023</v>
      </c>
      <c r="W760" t="str">
        <f>TEXT(Table1[[#This Row],[Order Date]],"mmm")</f>
        <v>Jul</v>
      </c>
      <c r="X760">
        <f t="shared" si="33"/>
        <v>-6.9965000000000019</v>
      </c>
      <c r="Y760" t="str">
        <f t="shared" si="34"/>
        <v>Loss</v>
      </c>
      <c r="Z760" t="str">
        <f t="shared" si="35"/>
        <v>Medium</v>
      </c>
    </row>
    <row r="761" spans="1:26" x14ac:dyDescent="0.35">
      <c r="A761" s="1">
        <v>760</v>
      </c>
      <c r="B761" s="2" t="s">
        <v>2451</v>
      </c>
      <c r="C761" s="3">
        <v>45122</v>
      </c>
      <c r="D761" s="3">
        <v>45126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6.5400000000000009</v>
      </c>
      <c r="S761" s="1">
        <v>3</v>
      </c>
      <c r="T761" s="1">
        <v>0</v>
      </c>
      <c r="U761" s="1">
        <v>2.6814000000000004</v>
      </c>
      <c r="V761">
        <f>YEAR(Table1[[#This Row],[Order Date]])</f>
        <v>2023</v>
      </c>
      <c r="W761" t="str">
        <f>TEXT(Table1[[#This Row],[Order Date]],"mmm")</f>
        <v>Jul</v>
      </c>
      <c r="X761">
        <f t="shared" si="33"/>
        <v>0.89380000000000015</v>
      </c>
      <c r="Y761" t="str">
        <f t="shared" si="34"/>
        <v>Profit</v>
      </c>
      <c r="Z761" t="str">
        <f t="shared" si="35"/>
        <v>No Discount</v>
      </c>
    </row>
    <row r="762" spans="1:26" x14ac:dyDescent="0.35">
      <c r="A762" s="1">
        <v>761</v>
      </c>
      <c r="B762" s="2" t="s">
        <v>2451</v>
      </c>
      <c r="C762" s="3">
        <v>45122</v>
      </c>
      <c r="D762" s="3">
        <v>45126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2.9699999999999998</v>
      </c>
      <c r="S762" s="1">
        <v>3</v>
      </c>
      <c r="T762" s="1">
        <v>0</v>
      </c>
      <c r="U762" s="1">
        <v>1.3068000000000004</v>
      </c>
      <c r="V762">
        <f>YEAR(Table1[[#This Row],[Order Date]])</f>
        <v>2023</v>
      </c>
      <c r="W762" t="str">
        <f>TEXT(Table1[[#This Row],[Order Date]],"mmm")</f>
        <v>Jul</v>
      </c>
      <c r="X762">
        <f t="shared" si="33"/>
        <v>0.43560000000000015</v>
      </c>
      <c r="Y762" t="str">
        <f t="shared" si="34"/>
        <v>Profit</v>
      </c>
      <c r="Z762" t="str">
        <f t="shared" si="35"/>
        <v>No Discount</v>
      </c>
    </row>
    <row r="763" spans="1:26" x14ac:dyDescent="0.35">
      <c r="A763" s="1">
        <v>762</v>
      </c>
      <c r="B763" s="2" t="s">
        <v>2457</v>
      </c>
      <c r="C763" s="3">
        <v>45125</v>
      </c>
      <c r="D763" s="3">
        <v>45125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259.13600000000002</v>
      </c>
      <c r="S763" s="1">
        <v>4</v>
      </c>
      <c r="T763" s="1">
        <v>0.2</v>
      </c>
      <c r="U763" s="1">
        <v>-25.913599999999988</v>
      </c>
      <c r="V763">
        <f>YEAR(Table1[[#This Row],[Order Date]])</f>
        <v>2023</v>
      </c>
      <c r="W763" t="str">
        <f>TEXT(Table1[[#This Row],[Order Date]],"mmm")</f>
        <v>Jul</v>
      </c>
      <c r="X763">
        <f t="shared" si="33"/>
        <v>-6.478399999999997</v>
      </c>
      <c r="Y763" t="str">
        <f t="shared" si="34"/>
        <v>Loss</v>
      </c>
      <c r="Z763" t="str">
        <f t="shared" si="35"/>
        <v>Low</v>
      </c>
    </row>
    <row r="764" spans="1:26" x14ac:dyDescent="0.35">
      <c r="A764" s="1">
        <v>763</v>
      </c>
      <c r="B764" s="2" t="s">
        <v>2462</v>
      </c>
      <c r="C764" s="3">
        <v>45125</v>
      </c>
      <c r="D764" s="3">
        <v>45130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  <c r="V764">
        <f>YEAR(Table1[[#This Row],[Order Date]])</f>
        <v>2023</v>
      </c>
      <c r="W764" t="str">
        <f>TEXT(Table1[[#This Row],[Order Date]],"mmm")</f>
        <v>Jul</v>
      </c>
      <c r="X764">
        <f t="shared" si="33"/>
        <v>2.2593999999999999</v>
      </c>
      <c r="Y764" t="str">
        <f t="shared" si="34"/>
        <v>Profit</v>
      </c>
      <c r="Z764" t="str">
        <f t="shared" si="35"/>
        <v>Low</v>
      </c>
    </row>
    <row r="765" spans="1:26" x14ac:dyDescent="0.35">
      <c r="A765" s="1">
        <v>764</v>
      </c>
      <c r="B765" s="2" t="s">
        <v>2468</v>
      </c>
      <c r="C765" s="3">
        <v>45126</v>
      </c>
      <c r="D765" s="3">
        <v>45131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70.559999999999988</v>
      </c>
      <c r="S765" s="1">
        <v>1</v>
      </c>
      <c r="T765" s="1">
        <v>0.3</v>
      </c>
      <c r="U765" s="1">
        <v>-4.032</v>
      </c>
      <c r="V765">
        <f>YEAR(Table1[[#This Row],[Order Date]])</f>
        <v>2023</v>
      </c>
      <c r="W765" t="str">
        <f>TEXT(Table1[[#This Row],[Order Date]],"mmm")</f>
        <v>Jul</v>
      </c>
      <c r="X765">
        <f t="shared" si="33"/>
        <v>-4.032</v>
      </c>
      <c r="Y765" t="str">
        <f t="shared" si="34"/>
        <v>Loss</v>
      </c>
      <c r="Z765" t="str">
        <f t="shared" si="35"/>
        <v>Medium</v>
      </c>
    </row>
    <row r="766" spans="1:26" x14ac:dyDescent="0.35">
      <c r="A766" s="1">
        <v>765</v>
      </c>
      <c r="B766" s="2" t="s">
        <v>2473</v>
      </c>
      <c r="C766" s="3">
        <v>45126</v>
      </c>
      <c r="D766" s="3">
        <v>45131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  <c r="V766">
        <f>YEAR(Table1[[#This Row],[Order Date]])</f>
        <v>2023</v>
      </c>
      <c r="W766" t="str">
        <f>TEXT(Table1[[#This Row],[Order Date]],"mmm")</f>
        <v>Jul</v>
      </c>
      <c r="X766">
        <f t="shared" si="33"/>
        <v>1.1049</v>
      </c>
      <c r="Y766" t="str">
        <f t="shared" si="34"/>
        <v>Profit</v>
      </c>
      <c r="Z766" t="str">
        <f t="shared" si="35"/>
        <v>Low</v>
      </c>
    </row>
    <row r="767" spans="1:26" x14ac:dyDescent="0.35">
      <c r="A767" s="1">
        <v>766</v>
      </c>
      <c r="B767" s="2" t="s">
        <v>2468</v>
      </c>
      <c r="C767" s="3">
        <v>45126</v>
      </c>
      <c r="D767" s="3">
        <v>45131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</v>
      </c>
      <c r="T767" s="1">
        <v>0</v>
      </c>
      <c r="U767" s="1">
        <v>1.8288</v>
      </c>
      <c r="V767">
        <f>YEAR(Table1[[#This Row],[Order Date]])</f>
        <v>2023</v>
      </c>
      <c r="W767" t="str">
        <f>TEXT(Table1[[#This Row],[Order Date]],"mmm")</f>
        <v>Jul</v>
      </c>
      <c r="X767">
        <f t="shared" si="33"/>
        <v>1.8288</v>
      </c>
      <c r="Y767" t="str">
        <f t="shared" si="34"/>
        <v>Profit</v>
      </c>
      <c r="Z767" t="str">
        <f t="shared" si="35"/>
        <v>No Discount</v>
      </c>
    </row>
    <row r="768" spans="1:26" x14ac:dyDescent="0.35">
      <c r="A768" s="1">
        <v>767</v>
      </c>
      <c r="B768" s="2" t="s">
        <v>2468</v>
      </c>
      <c r="C768" s="3">
        <v>45126</v>
      </c>
      <c r="D768" s="3">
        <v>45131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</v>
      </c>
      <c r="T768" s="1">
        <v>0</v>
      </c>
      <c r="U768" s="1">
        <v>9.6047999999999991</v>
      </c>
      <c r="V768">
        <f>YEAR(Table1[[#This Row],[Order Date]])</f>
        <v>2023</v>
      </c>
      <c r="W768" t="str">
        <f>TEXT(Table1[[#This Row],[Order Date]],"mmm")</f>
        <v>Jul</v>
      </c>
      <c r="X768">
        <f t="shared" si="33"/>
        <v>4.8023999999999996</v>
      </c>
      <c r="Y768" t="str">
        <f t="shared" si="34"/>
        <v>Profit</v>
      </c>
      <c r="Z768" t="str">
        <f t="shared" si="35"/>
        <v>No Discount</v>
      </c>
    </row>
    <row r="769" spans="1:26" x14ac:dyDescent="0.35">
      <c r="A769" s="1">
        <v>768</v>
      </c>
      <c r="B769" s="2" t="s">
        <v>2468</v>
      </c>
      <c r="C769" s="3">
        <v>45126</v>
      </c>
      <c r="D769" s="3">
        <v>45131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</v>
      </c>
      <c r="T769" s="1">
        <v>0</v>
      </c>
      <c r="U769" s="1">
        <v>93.594800000000021</v>
      </c>
      <c r="V769">
        <f>YEAR(Table1[[#This Row],[Order Date]])</f>
        <v>2023</v>
      </c>
      <c r="W769" t="str">
        <f>TEXT(Table1[[#This Row],[Order Date]],"mmm")</f>
        <v>Jul</v>
      </c>
      <c r="X769">
        <f t="shared" si="33"/>
        <v>46.79740000000001</v>
      </c>
      <c r="Y769" t="str">
        <f t="shared" si="34"/>
        <v>Profit</v>
      </c>
      <c r="Z769" t="str">
        <f t="shared" si="35"/>
        <v>No Discount</v>
      </c>
    </row>
    <row r="770" spans="1:26" x14ac:dyDescent="0.35">
      <c r="A770" s="1">
        <v>769</v>
      </c>
      <c r="B770" s="2" t="s">
        <v>2482</v>
      </c>
      <c r="C770" s="3">
        <v>45127</v>
      </c>
      <c r="D770" s="3">
        <v>45131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981.37199999999996</v>
      </c>
      <c r="S770" s="1">
        <v>2</v>
      </c>
      <c r="T770" s="1">
        <v>0.3</v>
      </c>
      <c r="U770" s="1">
        <v>-140.19599999999997</v>
      </c>
      <c r="V770">
        <f>YEAR(Table1[[#This Row],[Order Date]])</f>
        <v>2023</v>
      </c>
      <c r="W770" t="str">
        <f>TEXT(Table1[[#This Row],[Order Date]],"mmm")</f>
        <v>Jul</v>
      </c>
      <c r="X770">
        <f t="shared" ref="X770:X833" si="36">IFERROR(U770/S770,0)</f>
        <v>-70.097999999999985</v>
      </c>
      <c r="Y770" t="str">
        <f t="shared" ref="Y770:Y833" si="37">IF(U770&gt;0,"Profit",IF(U770&lt;0,"Loss","Break-even"))</f>
        <v>Loss</v>
      </c>
      <c r="Z770" t="str">
        <f t="shared" ref="Z770:Z833" si="38">IF(T770=0,"No Discount",IF(T770&lt;=0.2,"Low",IF(T770&lt;=0.4,"Medium","High")))</f>
        <v>Medium</v>
      </c>
    </row>
    <row r="771" spans="1:26" x14ac:dyDescent="0.35">
      <c r="A771" s="1">
        <v>770</v>
      </c>
      <c r="B771" s="2" t="s">
        <v>2487</v>
      </c>
      <c r="C771" s="3">
        <v>45127</v>
      </c>
      <c r="D771" s="3">
        <v>45129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43.019999999999996</v>
      </c>
      <c r="S771" s="1">
        <v>3</v>
      </c>
      <c r="T771" s="1">
        <v>0</v>
      </c>
      <c r="U771" s="1">
        <v>15.4872</v>
      </c>
      <c r="V771">
        <f>YEAR(Table1[[#This Row],[Order Date]])</f>
        <v>2023</v>
      </c>
      <c r="W771" t="str">
        <f>TEXT(Table1[[#This Row],[Order Date]],"mmm")</f>
        <v>Jul</v>
      </c>
      <c r="X771">
        <f t="shared" si="36"/>
        <v>5.1623999999999999</v>
      </c>
      <c r="Y771" t="str">
        <f t="shared" si="37"/>
        <v>Profit</v>
      </c>
      <c r="Z771" t="str">
        <f t="shared" si="38"/>
        <v>No Discount</v>
      </c>
    </row>
    <row r="772" spans="1:26" x14ac:dyDescent="0.35">
      <c r="A772" s="1">
        <v>771</v>
      </c>
      <c r="B772" s="2" t="s">
        <v>2482</v>
      </c>
      <c r="C772" s="3">
        <v>45127</v>
      </c>
      <c r="D772" s="3">
        <v>45131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16.739999999999998</v>
      </c>
      <c r="S772" s="1">
        <v>5</v>
      </c>
      <c r="T772" s="1">
        <v>0.6</v>
      </c>
      <c r="U772" s="1">
        <v>-14.228999999999997</v>
      </c>
      <c r="V772">
        <f>YEAR(Table1[[#This Row],[Order Date]])</f>
        <v>2023</v>
      </c>
      <c r="W772" t="str">
        <f>TEXT(Table1[[#This Row],[Order Date]],"mmm")</f>
        <v>Jul</v>
      </c>
      <c r="X772">
        <f t="shared" si="36"/>
        <v>-2.8457999999999997</v>
      </c>
      <c r="Y772" t="str">
        <f t="shared" si="37"/>
        <v>Loss</v>
      </c>
      <c r="Z772" t="str">
        <f t="shared" si="38"/>
        <v>High</v>
      </c>
    </row>
    <row r="773" spans="1:26" x14ac:dyDescent="0.35">
      <c r="A773" s="1">
        <v>772</v>
      </c>
      <c r="B773" s="2" t="s">
        <v>2494</v>
      </c>
      <c r="C773" s="3">
        <v>45127</v>
      </c>
      <c r="D773" s="3">
        <v>45130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</v>
      </c>
      <c r="T773" s="1">
        <v>0</v>
      </c>
      <c r="U773" s="1">
        <v>3.8047999999999984</v>
      </c>
      <c r="V773">
        <f>YEAR(Table1[[#This Row],[Order Date]])</f>
        <v>2023</v>
      </c>
      <c r="W773" t="str">
        <f>TEXT(Table1[[#This Row],[Order Date]],"mmm")</f>
        <v>Jul</v>
      </c>
      <c r="X773">
        <f t="shared" si="36"/>
        <v>0.9511999999999996</v>
      </c>
      <c r="Y773" t="str">
        <f t="shared" si="37"/>
        <v>Profit</v>
      </c>
      <c r="Z773" t="str">
        <f t="shared" si="38"/>
        <v>No Discount</v>
      </c>
    </row>
    <row r="774" spans="1:26" x14ac:dyDescent="0.35">
      <c r="A774" s="1">
        <v>773</v>
      </c>
      <c r="B774" s="2" t="s">
        <v>2498</v>
      </c>
      <c r="C774" s="3">
        <v>45127</v>
      </c>
      <c r="D774" s="3">
        <v>45127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27.360000000000003</v>
      </c>
      <c r="S774" s="1">
        <v>3</v>
      </c>
      <c r="T774" s="1">
        <v>0.7</v>
      </c>
      <c r="U774" s="1">
        <v>-21.887999999999991</v>
      </c>
      <c r="V774">
        <f>YEAR(Table1[[#This Row],[Order Date]])</f>
        <v>2023</v>
      </c>
      <c r="W774" t="str">
        <f>TEXT(Table1[[#This Row],[Order Date]],"mmm")</f>
        <v>Jul</v>
      </c>
      <c r="X774">
        <f t="shared" si="36"/>
        <v>-7.2959999999999967</v>
      </c>
      <c r="Y774" t="str">
        <f t="shared" si="37"/>
        <v>Loss</v>
      </c>
      <c r="Z774" t="str">
        <f t="shared" si="38"/>
        <v>High</v>
      </c>
    </row>
    <row r="775" spans="1:26" x14ac:dyDescent="0.35">
      <c r="A775" s="1">
        <v>774</v>
      </c>
      <c r="B775" s="2" t="s">
        <v>2487</v>
      </c>
      <c r="C775" s="3">
        <v>45127</v>
      </c>
      <c r="D775" s="3">
        <v>45129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>
        <f>YEAR(Table1[[#This Row],[Order Date]])</f>
        <v>2023</v>
      </c>
      <c r="W775" t="str">
        <f>TEXT(Table1[[#This Row],[Order Date]],"mmm")</f>
        <v>Jul</v>
      </c>
      <c r="X775">
        <f t="shared" si="36"/>
        <v>1.5775999999999999</v>
      </c>
      <c r="Y775" t="str">
        <f t="shared" si="37"/>
        <v>Profit</v>
      </c>
      <c r="Z775" t="str">
        <f t="shared" si="38"/>
        <v>Low</v>
      </c>
    </row>
    <row r="776" spans="1:26" x14ac:dyDescent="0.35">
      <c r="A776" s="1">
        <v>775</v>
      </c>
      <c r="B776" s="2" t="s">
        <v>2503</v>
      </c>
      <c r="C776" s="3">
        <v>45127</v>
      </c>
      <c r="D776" s="3">
        <v>45129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89.712000000000018</v>
      </c>
      <c r="S776" s="1">
        <v>6</v>
      </c>
      <c r="T776" s="1">
        <v>0.2</v>
      </c>
      <c r="U776" s="1">
        <v>30.277799999999992</v>
      </c>
      <c r="V776">
        <f>YEAR(Table1[[#This Row],[Order Date]])</f>
        <v>2023</v>
      </c>
      <c r="W776" t="str">
        <f>TEXT(Table1[[#This Row],[Order Date]],"mmm")</f>
        <v>Jul</v>
      </c>
      <c r="X776">
        <f t="shared" si="36"/>
        <v>5.0462999999999987</v>
      </c>
      <c r="Y776" t="str">
        <f t="shared" si="37"/>
        <v>Profit</v>
      </c>
      <c r="Z776" t="str">
        <f t="shared" si="38"/>
        <v>Low</v>
      </c>
    </row>
    <row r="777" spans="1:26" x14ac:dyDescent="0.35">
      <c r="A777" s="1">
        <v>776</v>
      </c>
      <c r="B777" s="2" t="s">
        <v>2487</v>
      </c>
      <c r="C777" s="3">
        <v>45127</v>
      </c>
      <c r="D777" s="3">
        <v>45129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</v>
      </c>
      <c r="T777" s="1">
        <v>0</v>
      </c>
      <c r="U777" s="1">
        <v>50.327999999999996</v>
      </c>
      <c r="V777">
        <f>YEAR(Table1[[#This Row],[Order Date]])</f>
        <v>2023</v>
      </c>
      <c r="W777" t="str">
        <f>TEXT(Table1[[#This Row],[Order Date]],"mmm")</f>
        <v>Jul</v>
      </c>
      <c r="X777">
        <f t="shared" si="36"/>
        <v>50.327999999999996</v>
      </c>
      <c r="Y777" t="str">
        <f t="shared" si="37"/>
        <v>Profit</v>
      </c>
      <c r="Z777" t="str">
        <f t="shared" si="38"/>
        <v>No Discount</v>
      </c>
    </row>
    <row r="778" spans="1:26" x14ac:dyDescent="0.35">
      <c r="A778" s="1">
        <v>777</v>
      </c>
      <c r="B778" s="2" t="s">
        <v>2487</v>
      </c>
      <c r="C778" s="3">
        <v>45127</v>
      </c>
      <c r="D778" s="3">
        <v>45129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19.920000000000002</v>
      </c>
      <c r="S778" s="1">
        <v>4</v>
      </c>
      <c r="T778" s="1">
        <v>0</v>
      </c>
      <c r="U778" s="1">
        <v>9.7608000000000015</v>
      </c>
      <c r="V778">
        <f>YEAR(Table1[[#This Row],[Order Date]])</f>
        <v>2023</v>
      </c>
      <c r="W778" t="str">
        <f>TEXT(Table1[[#This Row],[Order Date]],"mmm")</f>
        <v>Jul</v>
      </c>
      <c r="X778">
        <f t="shared" si="36"/>
        <v>2.4402000000000004</v>
      </c>
      <c r="Y778" t="str">
        <f t="shared" si="37"/>
        <v>Profit</v>
      </c>
      <c r="Z778" t="str">
        <f t="shared" si="38"/>
        <v>No Discount</v>
      </c>
    </row>
    <row r="779" spans="1:26" x14ac:dyDescent="0.35">
      <c r="A779" s="1">
        <v>778</v>
      </c>
      <c r="B779" s="2" t="s">
        <v>2494</v>
      </c>
      <c r="C779" s="3">
        <v>45127</v>
      </c>
      <c r="D779" s="3">
        <v>45130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</v>
      </c>
      <c r="T779" s="1">
        <v>0</v>
      </c>
      <c r="U779" s="1">
        <v>5.8604000000000003</v>
      </c>
      <c r="V779">
        <f>YEAR(Table1[[#This Row],[Order Date]])</f>
        <v>2023</v>
      </c>
      <c r="W779" t="str">
        <f>TEXT(Table1[[#This Row],[Order Date]],"mmm")</f>
        <v>Jul</v>
      </c>
      <c r="X779">
        <f t="shared" si="36"/>
        <v>2.9302000000000001</v>
      </c>
      <c r="Y779" t="str">
        <f t="shared" si="37"/>
        <v>Profit</v>
      </c>
      <c r="Z779" t="str">
        <f t="shared" si="38"/>
        <v>No Discount</v>
      </c>
    </row>
    <row r="780" spans="1:26" x14ac:dyDescent="0.35">
      <c r="A780" s="1">
        <v>779</v>
      </c>
      <c r="B780" s="2" t="s">
        <v>2503</v>
      </c>
      <c r="C780" s="3">
        <v>45127</v>
      </c>
      <c r="D780" s="3">
        <v>45129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22.830000000000002</v>
      </c>
      <c r="S780" s="1">
        <v>3</v>
      </c>
      <c r="T780" s="1">
        <v>0</v>
      </c>
      <c r="U780" s="1">
        <v>10.7301</v>
      </c>
      <c r="V780">
        <f>YEAR(Table1[[#This Row],[Order Date]])</f>
        <v>2023</v>
      </c>
      <c r="W780" t="str">
        <f>TEXT(Table1[[#This Row],[Order Date]],"mmm")</f>
        <v>Jul</v>
      </c>
      <c r="X780">
        <f t="shared" si="36"/>
        <v>3.5767000000000002</v>
      </c>
      <c r="Y780" t="str">
        <f t="shared" si="37"/>
        <v>Profit</v>
      </c>
      <c r="Z780" t="str">
        <f t="shared" si="38"/>
        <v>No Discount</v>
      </c>
    </row>
    <row r="781" spans="1:26" x14ac:dyDescent="0.35">
      <c r="A781" s="1">
        <v>780</v>
      </c>
      <c r="B781" s="2" t="s">
        <v>2494</v>
      </c>
      <c r="C781" s="3">
        <v>45127</v>
      </c>
      <c r="D781" s="3">
        <v>45130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</v>
      </c>
      <c r="T781" s="1">
        <v>0</v>
      </c>
      <c r="U781" s="1">
        <v>160.62299999999993</v>
      </c>
      <c r="V781">
        <f>YEAR(Table1[[#This Row],[Order Date]])</f>
        <v>2023</v>
      </c>
      <c r="W781" t="str">
        <f>TEXT(Table1[[#This Row],[Order Date]],"mmm")</f>
        <v>Jul</v>
      </c>
      <c r="X781">
        <f t="shared" si="36"/>
        <v>53.540999999999976</v>
      </c>
      <c r="Y781" t="str">
        <f t="shared" si="37"/>
        <v>Profit</v>
      </c>
      <c r="Z781" t="str">
        <f t="shared" si="38"/>
        <v>No Discount</v>
      </c>
    </row>
    <row r="782" spans="1:26" x14ac:dyDescent="0.35">
      <c r="A782" s="1">
        <v>781</v>
      </c>
      <c r="B782" s="2" t="s">
        <v>2498</v>
      </c>
      <c r="C782" s="3">
        <v>45127</v>
      </c>
      <c r="D782" s="3">
        <v>45127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25.983999999999998</v>
      </c>
      <c r="S782" s="1">
        <v>1</v>
      </c>
      <c r="T782" s="1">
        <v>0.2</v>
      </c>
      <c r="U782" s="1">
        <v>-5.1968000000000005</v>
      </c>
      <c r="V782">
        <f>YEAR(Table1[[#This Row],[Order Date]])</f>
        <v>2023</v>
      </c>
      <c r="W782" t="str">
        <f>TEXT(Table1[[#This Row],[Order Date]],"mmm")</f>
        <v>Jul</v>
      </c>
      <c r="X782">
        <f t="shared" si="36"/>
        <v>-5.1968000000000005</v>
      </c>
      <c r="Y782" t="str">
        <f t="shared" si="37"/>
        <v>Loss</v>
      </c>
      <c r="Z782" t="str">
        <f t="shared" si="38"/>
        <v>Low</v>
      </c>
    </row>
    <row r="783" spans="1:26" x14ac:dyDescent="0.35">
      <c r="A783" s="1">
        <v>782</v>
      </c>
      <c r="B783" s="2" t="s">
        <v>2482</v>
      </c>
      <c r="C783" s="3">
        <v>45127</v>
      </c>
      <c r="D783" s="3">
        <v>45131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342.86400000000003</v>
      </c>
      <c r="S783" s="1">
        <v>3</v>
      </c>
      <c r="T783" s="1">
        <v>0.2</v>
      </c>
      <c r="U783" s="1">
        <v>38.572199999999953</v>
      </c>
      <c r="V783">
        <f>YEAR(Table1[[#This Row],[Order Date]])</f>
        <v>2023</v>
      </c>
      <c r="W783" t="str">
        <f>TEXT(Table1[[#This Row],[Order Date]],"mmm")</f>
        <v>Jul</v>
      </c>
      <c r="X783">
        <f t="shared" si="36"/>
        <v>12.857399999999984</v>
      </c>
      <c r="Y783" t="str">
        <f t="shared" si="37"/>
        <v>Profit</v>
      </c>
      <c r="Z783" t="str">
        <f t="shared" si="38"/>
        <v>Low</v>
      </c>
    </row>
    <row r="784" spans="1:26" x14ac:dyDescent="0.35">
      <c r="A784" s="1">
        <v>783</v>
      </c>
      <c r="B784" s="2" t="s">
        <v>2494</v>
      </c>
      <c r="C784" s="3">
        <v>45127</v>
      </c>
      <c r="D784" s="3">
        <v>45130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</v>
      </c>
      <c r="T784" s="1">
        <v>0</v>
      </c>
      <c r="U784" s="1">
        <v>15.098399999999998</v>
      </c>
      <c r="V784">
        <f>YEAR(Table1[[#This Row],[Order Date]])</f>
        <v>2023</v>
      </c>
      <c r="W784" t="str">
        <f>TEXT(Table1[[#This Row],[Order Date]],"mmm")</f>
        <v>Jul</v>
      </c>
      <c r="X784">
        <f t="shared" si="36"/>
        <v>7.549199999999999</v>
      </c>
      <c r="Y784" t="str">
        <f t="shared" si="37"/>
        <v>Profit</v>
      </c>
      <c r="Z784" t="str">
        <f t="shared" si="38"/>
        <v>No Discount</v>
      </c>
    </row>
    <row r="785" spans="1:26" x14ac:dyDescent="0.35">
      <c r="A785" s="1">
        <v>784</v>
      </c>
      <c r="B785" s="2" t="s">
        <v>2520</v>
      </c>
      <c r="C785" s="3">
        <v>45128</v>
      </c>
      <c r="D785" s="3">
        <v>45132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801.5680000000001</v>
      </c>
      <c r="S785" s="1">
        <v>2</v>
      </c>
      <c r="T785" s="1">
        <v>0.2</v>
      </c>
      <c r="U785" s="1">
        <v>50.097999999999985</v>
      </c>
      <c r="V785">
        <f>YEAR(Table1[[#This Row],[Order Date]])</f>
        <v>2023</v>
      </c>
      <c r="W785" t="str">
        <f>TEXT(Table1[[#This Row],[Order Date]],"mmm")</f>
        <v>Jul</v>
      </c>
      <c r="X785">
        <f t="shared" si="36"/>
        <v>25.048999999999992</v>
      </c>
      <c r="Y785" t="str">
        <f t="shared" si="37"/>
        <v>Profit</v>
      </c>
      <c r="Z785" t="str">
        <f t="shared" si="38"/>
        <v>Low</v>
      </c>
    </row>
    <row r="786" spans="1:26" x14ac:dyDescent="0.35">
      <c r="A786" s="1">
        <v>785</v>
      </c>
      <c r="B786" s="2" t="s">
        <v>2525</v>
      </c>
      <c r="C786" s="3">
        <v>45128</v>
      </c>
      <c r="D786" s="3">
        <v>45132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</v>
      </c>
      <c r="T786" s="1">
        <v>0.3</v>
      </c>
      <c r="U786" s="1">
        <v>-93.989999999999952</v>
      </c>
      <c r="V786">
        <f>YEAR(Table1[[#This Row],[Order Date]])</f>
        <v>2023</v>
      </c>
      <c r="W786" t="str">
        <f>TEXT(Table1[[#This Row],[Order Date]],"mmm")</f>
        <v>Jul</v>
      </c>
      <c r="X786">
        <f t="shared" si="36"/>
        <v>-18.797999999999991</v>
      </c>
      <c r="Y786" t="str">
        <f t="shared" si="37"/>
        <v>Loss</v>
      </c>
      <c r="Z786" t="str">
        <f t="shared" si="38"/>
        <v>Medium</v>
      </c>
    </row>
    <row r="787" spans="1:26" x14ac:dyDescent="0.35">
      <c r="A787" s="1">
        <v>786</v>
      </c>
      <c r="B787" s="2" t="s">
        <v>2520</v>
      </c>
      <c r="C787" s="3">
        <v>45128</v>
      </c>
      <c r="D787" s="3">
        <v>45132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272.84800000000001</v>
      </c>
      <c r="S787" s="1">
        <v>1</v>
      </c>
      <c r="T787" s="1">
        <v>0.2</v>
      </c>
      <c r="U787" s="1">
        <v>27.284800000000004</v>
      </c>
      <c r="V787">
        <f>YEAR(Table1[[#This Row],[Order Date]])</f>
        <v>2023</v>
      </c>
      <c r="W787" t="str">
        <f>TEXT(Table1[[#This Row],[Order Date]],"mmm")</f>
        <v>Jul</v>
      </c>
      <c r="X787">
        <f t="shared" si="36"/>
        <v>27.284800000000004</v>
      </c>
      <c r="Y787" t="str">
        <f t="shared" si="37"/>
        <v>Profit</v>
      </c>
      <c r="Z787" t="str">
        <f t="shared" si="38"/>
        <v>Low</v>
      </c>
    </row>
    <row r="788" spans="1:26" x14ac:dyDescent="0.35">
      <c r="A788" s="1">
        <v>787</v>
      </c>
      <c r="B788" s="2" t="s">
        <v>2525</v>
      </c>
      <c r="C788" s="3">
        <v>45128</v>
      </c>
      <c r="D788" s="3">
        <v>45132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4.9919999999999991</v>
      </c>
      <c r="S788" s="1">
        <v>3</v>
      </c>
      <c r="T788" s="1">
        <v>0.8</v>
      </c>
      <c r="U788" s="1">
        <v>-12.979200000000002</v>
      </c>
      <c r="V788">
        <f>YEAR(Table1[[#This Row],[Order Date]])</f>
        <v>2023</v>
      </c>
      <c r="W788" t="str">
        <f>TEXT(Table1[[#This Row],[Order Date]],"mmm")</f>
        <v>Jul</v>
      </c>
      <c r="X788">
        <f t="shared" si="36"/>
        <v>-4.3264000000000005</v>
      </c>
      <c r="Y788" t="str">
        <f t="shared" si="37"/>
        <v>Loss</v>
      </c>
      <c r="Z788" t="str">
        <f t="shared" si="38"/>
        <v>High</v>
      </c>
    </row>
    <row r="789" spans="1:26" x14ac:dyDescent="0.35">
      <c r="A789" s="1">
        <v>788</v>
      </c>
      <c r="B789" s="2" t="s">
        <v>2520</v>
      </c>
      <c r="C789" s="3">
        <v>45128</v>
      </c>
      <c r="D789" s="3">
        <v>45132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</v>
      </c>
      <c r="T789" s="1">
        <v>0</v>
      </c>
      <c r="U789" s="1">
        <v>25.792000000000002</v>
      </c>
      <c r="V789">
        <f>YEAR(Table1[[#This Row],[Order Date]])</f>
        <v>2023</v>
      </c>
      <c r="W789" t="str">
        <f>TEXT(Table1[[#This Row],[Order Date]],"mmm")</f>
        <v>Jul</v>
      </c>
      <c r="X789">
        <f t="shared" si="36"/>
        <v>5.1584000000000003</v>
      </c>
      <c r="Y789" t="str">
        <f t="shared" si="37"/>
        <v>Profit</v>
      </c>
      <c r="Z789" t="str">
        <f t="shared" si="38"/>
        <v>No Discount</v>
      </c>
    </row>
    <row r="790" spans="1:26" x14ac:dyDescent="0.35">
      <c r="A790" s="1">
        <v>789</v>
      </c>
      <c r="B790" s="2" t="s">
        <v>2525</v>
      </c>
      <c r="C790" s="3">
        <v>45128</v>
      </c>
      <c r="D790" s="3">
        <v>45132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1.0439999999999998</v>
      </c>
      <c r="S790" s="1">
        <v>1</v>
      </c>
      <c r="T790" s="1">
        <v>0.8</v>
      </c>
      <c r="U790" s="1">
        <v>-1.8270000000000004</v>
      </c>
      <c r="V790">
        <f>YEAR(Table1[[#This Row],[Order Date]])</f>
        <v>2023</v>
      </c>
      <c r="W790" t="str">
        <f>TEXT(Table1[[#This Row],[Order Date]],"mmm")</f>
        <v>Jul</v>
      </c>
      <c r="X790">
        <f t="shared" si="36"/>
        <v>-1.8270000000000004</v>
      </c>
      <c r="Y790" t="str">
        <f t="shared" si="37"/>
        <v>Loss</v>
      </c>
      <c r="Z790" t="str">
        <f t="shared" si="38"/>
        <v>High</v>
      </c>
    </row>
    <row r="791" spans="1:26" x14ac:dyDescent="0.35">
      <c r="A791" s="1">
        <v>790</v>
      </c>
      <c r="B791" s="2" t="s">
        <v>2525</v>
      </c>
      <c r="C791" s="3">
        <v>45128</v>
      </c>
      <c r="D791" s="3">
        <v>45132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</v>
      </c>
      <c r="T791" s="1">
        <v>0.2</v>
      </c>
      <c r="U791" s="1">
        <v>29.673000000000005</v>
      </c>
      <c r="V791">
        <f>YEAR(Table1[[#This Row],[Order Date]])</f>
        <v>2023</v>
      </c>
      <c r="W791" t="str">
        <f>TEXT(Table1[[#This Row],[Order Date]],"mmm")</f>
        <v>Jul</v>
      </c>
      <c r="X791">
        <f t="shared" si="36"/>
        <v>5.9346000000000014</v>
      </c>
      <c r="Y791" t="str">
        <f t="shared" si="37"/>
        <v>Profit</v>
      </c>
      <c r="Z791" t="str">
        <f t="shared" si="38"/>
        <v>Low</v>
      </c>
    </row>
    <row r="792" spans="1:26" x14ac:dyDescent="0.35">
      <c r="A792" s="1">
        <v>791</v>
      </c>
      <c r="B792" s="2" t="s">
        <v>2536</v>
      </c>
      <c r="C792" s="3">
        <v>45128</v>
      </c>
      <c r="D792" s="3">
        <v>45134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  <c r="V792">
        <f>YEAR(Table1[[#This Row],[Order Date]])</f>
        <v>2023</v>
      </c>
      <c r="W792" t="str">
        <f>TEXT(Table1[[#This Row],[Order Date]],"mmm")</f>
        <v>Jul</v>
      </c>
      <c r="X792">
        <f t="shared" si="36"/>
        <v>5.0372000000000003</v>
      </c>
      <c r="Y792" t="str">
        <f t="shared" si="37"/>
        <v>Profit</v>
      </c>
      <c r="Z792" t="str">
        <f t="shared" si="38"/>
        <v>No Discount</v>
      </c>
    </row>
    <row r="793" spans="1:26" x14ac:dyDescent="0.35">
      <c r="A793" s="1">
        <v>792</v>
      </c>
      <c r="B793" s="2" t="s">
        <v>2539</v>
      </c>
      <c r="C793" s="3">
        <v>45129</v>
      </c>
      <c r="D793" s="3">
        <v>45131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</v>
      </c>
      <c r="T793" s="1">
        <v>0.2</v>
      </c>
      <c r="U793" s="1">
        <v>71.77200000000002</v>
      </c>
      <c r="V793">
        <f>YEAR(Table1[[#This Row],[Order Date]])</f>
        <v>2023</v>
      </c>
      <c r="W793" t="str">
        <f>TEXT(Table1[[#This Row],[Order Date]],"mmm")</f>
        <v>Jul</v>
      </c>
      <c r="X793">
        <f t="shared" si="36"/>
        <v>23.924000000000007</v>
      </c>
      <c r="Y793" t="str">
        <f t="shared" si="37"/>
        <v>Profit</v>
      </c>
      <c r="Z793" t="str">
        <f t="shared" si="38"/>
        <v>Low</v>
      </c>
    </row>
    <row r="794" spans="1:26" x14ac:dyDescent="0.35">
      <c r="A794" s="1">
        <v>793</v>
      </c>
      <c r="B794" s="2" t="s">
        <v>2539</v>
      </c>
      <c r="C794" s="3">
        <v>45129</v>
      </c>
      <c r="D794" s="3">
        <v>45131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170.35200000000003</v>
      </c>
      <c r="S794" s="1">
        <v>3</v>
      </c>
      <c r="T794" s="1">
        <v>0.2</v>
      </c>
      <c r="U794" s="1">
        <v>19.164599999999979</v>
      </c>
      <c r="V794">
        <f>YEAR(Table1[[#This Row],[Order Date]])</f>
        <v>2023</v>
      </c>
      <c r="W794" t="str">
        <f>TEXT(Table1[[#This Row],[Order Date]],"mmm")</f>
        <v>Jul</v>
      </c>
      <c r="X794">
        <f t="shared" si="36"/>
        <v>6.3881999999999932</v>
      </c>
      <c r="Y794" t="str">
        <f t="shared" si="37"/>
        <v>Profit</v>
      </c>
      <c r="Z794" t="str">
        <f t="shared" si="38"/>
        <v>Low</v>
      </c>
    </row>
    <row r="795" spans="1:26" x14ac:dyDescent="0.35">
      <c r="A795" s="1">
        <v>794</v>
      </c>
      <c r="B795" s="2" t="s">
        <v>2542</v>
      </c>
      <c r="C795" s="3">
        <v>45129</v>
      </c>
      <c r="D795" s="3">
        <v>45134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</v>
      </c>
      <c r="T795" s="1">
        <v>0</v>
      </c>
      <c r="U795" s="1">
        <v>1.6688000000000001</v>
      </c>
      <c r="V795">
        <f>YEAR(Table1[[#This Row],[Order Date]])</f>
        <v>2023</v>
      </c>
      <c r="W795" t="str">
        <f>TEXT(Table1[[#This Row],[Order Date]],"mmm")</f>
        <v>Jul</v>
      </c>
      <c r="X795">
        <f t="shared" si="36"/>
        <v>0.83440000000000003</v>
      </c>
      <c r="Y795" t="str">
        <f t="shared" si="37"/>
        <v>Profit</v>
      </c>
      <c r="Z795" t="str">
        <f t="shared" si="38"/>
        <v>No Discount</v>
      </c>
    </row>
    <row r="796" spans="1:26" x14ac:dyDescent="0.35">
      <c r="A796" s="1">
        <v>795</v>
      </c>
      <c r="B796" s="2" t="s">
        <v>2539</v>
      </c>
      <c r="C796" s="3">
        <v>45129</v>
      </c>
      <c r="D796" s="3">
        <v>45131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</v>
      </c>
      <c r="T796" s="1">
        <v>0</v>
      </c>
      <c r="U796" s="1">
        <v>3.2256</v>
      </c>
      <c r="V796">
        <f>YEAR(Table1[[#This Row],[Order Date]])</f>
        <v>2023</v>
      </c>
      <c r="W796" t="str">
        <f>TEXT(Table1[[#This Row],[Order Date]],"mmm")</f>
        <v>Jul</v>
      </c>
      <c r="X796">
        <f t="shared" si="36"/>
        <v>0.80640000000000001</v>
      </c>
      <c r="Y796" t="str">
        <f t="shared" si="37"/>
        <v>Profit</v>
      </c>
      <c r="Z796" t="str">
        <f t="shared" si="38"/>
        <v>No Discount</v>
      </c>
    </row>
    <row r="797" spans="1:26" x14ac:dyDescent="0.35">
      <c r="A797" s="1">
        <v>796</v>
      </c>
      <c r="B797" s="2" t="s">
        <v>2549</v>
      </c>
      <c r="C797" s="3">
        <v>45129</v>
      </c>
      <c r="D797" s="3">
        <v>45135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</v>
      </c>
      <c r="T797" s="1">
        <v>0</v>
      </c>
      <c r="U797" s="1">
        <v>6.4943999999999988</v>
      </c>
      <c r="V797">
        <f>YEAR(Table1[[#This Row],[Order Date]])</f>
        <v>2023</v>
      </c>
      <c r="W797" t="str">
        <f>TEXT(Table1[[#This Row],[Order Date]],"mmm")</f>
        <v>Jul</v>
      </c>
      <c r="X797">
        <f t="shared" si="36"/>
        <v>1.0823999999999998</v>
      </c>
      <c r="Y797" t="str">
        <f t="shared" si="37"/>
        <v>Profit</v>
      </c>
      <c r="Z797" t="str">
        <f t="shared" si="38"/>
        <v>No Discount</v>
      </c>
    </row>
    <row r="798" spans="1:26" x14ac:dyDescent="0.35">
      <c r="A798" s="1">
        <v>797</v>
      </c>
      <c r="B798" s="2" t="s">
        <v>2539</v>
      </c>
      <c r="C798" s="3">
        <v>45129</v>
      </c>
      <c r="D798" s="3">
        <v>45131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</v>
      </c>
      <c r="T798" s="1">
        <v>0</v>
      </c>
      <c r="U798" s="1">
        <v>68.584999999999994</v>
      </c>
      <c r="V798">
        <f>YEAR(Table1[[#This Row],[Order Date]])</f>
        <v>2023</v>
      </c>
      <c r="W798" t="str">
        <f>TEXT(Table1[[#This Row],[Order Date]],"mmm")</f>
        <v>Jul</v>
      </c>
      <c r="X798">
        <f t="shared" si="36"/>
        <v>6.8584999999999994</v>
      </c>
      <c r="Y798" t="str">
        <f t="shared" si="37"/>
        <v>Profit</v>
      </c>
      <c r="Z798" t="str">
        <f t="shared" si="38"/>
        <v>No Discount</v>
      </c>
    </row>
    <row r="799" spans="1:26" x14ac:dyDescent="0.35">
      <c r="A799" s="1">
        <v>798</v>
      </c>
      <c r="B799" s="2" t="s">
        <v>2554</v>
      </c>
      <c r="C799" s="3">
        <v>45129</v>
      </c>
      <c r="D799" s="3">
        <v>45131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26.632000000000001</v>
      </c>
      <c r="S799" s="1">
        <v>1</v>
      </c>
      <c r="T799" s="1">
        <v>0.2</v>
      </c>
      <c r="U799" s="1">
        <v>1.331599999999999</v>
      </c>
      <c r="V799">
        <f>YEAR(Table1[[#This Row],[Order Date]])</f>
        <v>2023</v>
      </c>
      <c r="W799" t="str">
        <f>TEXT(Table1[[#This Row],[Order Date]],"mmm")</f>
        <v>Jul</v>
      </c>
      <c r="X799">
        <f t="shared" si="36"/>
        <v>1.331599999999999</v>
      </c>
      <c r="Y799" t="str">
        <f t="shared" si="37"/>
        <v>Profit</v>
      </c>
      <c r="Z799" t="str">
        <f t="shared" si="38"/>
        <v>Low</v>
      </c>
    </row>
    <row r="800" spans="1:26" x14ac:dyDescent="0.35">
      <c r="A800" s="1">
        <v>799</v>
      </c>
      <c r="B800" s="2" t="s">
        <v>2542</v>
      </c>
      <c r="C800" s="3">
        <v>45129</v>
      </c>
      <c r="D800" s="3">
        <v>45134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  <c r="V800">
        <f>YEAR(Table1[[#This Row],[Order Date]])</f>
        <v>2023</v>
      </c>
      <c r="W800" t="str">
        <f>TEXT(Table1[[#This Row],[Order Date]],"mmm")</f>
        <v>Jul</v>
      </c>
      <c r="X800">
        <f t="shared" si="36"/>
        <v>28.796399999999998</v>
      </c>
      <c r="Y800" t="str">
        <f t="shared" si="37"/>
        <v>Profit</v>
      </c>
      <c r="Z800" t="str">
        <f t="shared" si="38"/>
        <v>No Discount</v>
      </c>
    </row>
    <row r="801" spans="1:26" x14ac:dyDescent="0.35">
      <c r="A801" s="1">
        <v>800</v>
      </c>
      <c r="B801" s="2" t="s">
        <v>2559</v>
      </c>
      <c r="C801" s="3">
        <v>45130</v>
      </c>
      <c r="D801" s="3">
        <v>45134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</v>
      </c>
      <c r="T801" s="1">
        <v>0.2</v>
      </c>
      <c r="U801" s="1">
        <v>0.92399999999999993</v>
      </c>
      <c r="V801">
        <f>YEAR(Table1[[#This Row],[Order Date]])</f>
        <v>2023</v>
      </c>
      <c r="W801" t="str">
        <f>TEXT(Table1[[#This Row],[Order Date]],"mmm")</f>
        <v>Jul</v>
      </c>
      <c r="X801">
        <f t="shared" si="36"/>
        <v>0.92399999999999993</v>
      </c>
      <c r="Y801" t="str">
        <f t="shared" si="37"/>
        <v>Profit</v>
      </c>
      <c r="Z801" t="str">
        <f t="shared" si="38"/>
        <v>Low</v>
      </c>
    </row>
    <row r="802" spans="1:26" x14ac:dyDescent="0.35">
      <c r="A802" s="1">
        <v>801</v>
      </c>
      <c r="B802" s="2" t="s">
        <v>2559</v>
      </c>
      <c r="C802" s="3">
        <v>45130</v>
      </c>
      <c r="D802" s="3">
        <v>45134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8.1600000000000019</v>
      </c>
      <c r="S802" s="1">
        <v>5</v>
      </c>
      <c r="T802" s="1">
        <v>0.7</v>
      </c>
      <c r="U802" s="1">
        <v>-5.7119999999999997</v>
      </c>
      <c r="V802">
        <f>YEAR(Table1[[#This Row],[Order Date]])</f>
        <v>2023</v>
      </c>
      <c r="W802" t="str">
        <f>TEXT(Table1[[#This Row],[Order Date]],"mmm")</f>
        <v>Jul</v>
      </c>
      <c r="X802">
        <f t="shared" si="36"/>
        <v>-1.1423999999999999</v>
      </c>
      <c r="Y802" t="str">
        <f t="shared" si="37"/>
        <v>Loss</v>
      </c>
      <c r="Z802" t="str">
        <f t="shared" si="38"/>
        <v>High</v>
      </c>
    </row>
    <row r="803" spans="1:26" x14ac:dyDescent="0.35">
      <c r="A803" s="1">
        <v>802</v>
      </c>
      <c r="B803" s="2" t="s">
        <v>2564</v>
      </c>
      <c r="C803" s="3">
        <v>45130</v>
      </c>
      <c r="D803" s="3">
        <v>45134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40.700000000000003</v>
      </c>
      <c r="S803" s="1">
        <v>5</v>
      </c>
      <c r="T803" s="1">
        <v>0</v>
      </c>
      <c r="U803" s="1">
        <v>11.802999999999999</v>
      </c>
      <c r="V803">
        <f>YEAR(Table1[[#This Row],[Order Date]])</f>
        <v>2023</v>
      </c>
      <c r="W803" t="str">
        <f>TEXT(Table1[[#This Row],[Order Date]],"mmm")</f>
        <v>Jul</v>
      </c>
      <c r="X803">
        <f t="shared" si="36"/>
        <v>2.3605999999999998</v>
      </c>
      <c r="Y803" t="str">
        <f t="shared" si="37"/>
        <v>Profit</v>
      </c>
      <c r="Z803" t="str">
        <f t="shared" si="38"/>
        <v>No Discount</v>
      </c>
    </row>
    <row r="804" spans="1:26" x14ac:dyDescent="0.35">
      <c r="A804" s="1">
        <v>803</v>
      </c>
      <c r="B804" s="2" t="s">
        <v>2569</v>
      </c>
      <c r="C804" s="3">
        <v>45130</v>
      </c>
      <c r="D804" s="3">
        <v>45131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</v>
      </c>
      <c r="T804" s="1">
        <v>0</v>
      </c>
      <c r="U804" s="1">
        <v>7.9983999999999895</v>
      </c>
      <c r="V804">
        <f>YEAR(Table1[[#This Row],[Order Date]])</f>
        <v>2023</v>
      </c>
      <c r="W804" t="str">
        <f>TEXT(Table1[[#This Row],[Order Date]],"mmm")</f>
        <v>Jul</v>
      </c>
      <c r="X804">
        <f t="shared" si="36"/>
        <v>3.9991999999999948</v>
      </c>
      <c r="Y804" t="str">
        <f t="shared" si="37"/>
        <v>Profit</v>
      </c>
      <c r="Z804" t="str">
        <f t="shared" si="38"/>
        <v>No Discount</v>
      </c>
    </row>
    <row r="805" spans="1:26" x14ac:dyDescent="0.35">
      <c r="A805" s="1">
        <v>804</v>
      </c>
      <c r="B805" s="2" t="s">
        <v>2559</v>
      </c>
      <c r="C805" s="3">
        <v>45130</v>
      </c>
      <c r="D805" s="3">
        <v>45134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</v>
      </c>
      <c r="T805" s="1">
        <v>0.2</v>
      </c>
      <c r="U805" s="1">
        <v>-29.940000000000012</v>
      </c>
      <c r="V805">
        <f>YEAR(Table1[[#This Row],[Order Date]])</f>
        <v>2023</v>
      </c>
      <c r="W805" t="str">
        <f>TEXT(Table1[[#This Row],[Order Date]],"mmm")</f>
        <v>Jul</v>
      </c>
      <c r="X805">
        <f t="shared" si="36"/>
        <v>-2.9940000000000011</v>
      </c>
      <c r="Y805" t="str">
        <f t="shared" si="37"/>
        <v>Loss</v>
      </c>
      <c r="Z805" t="str">
        <f t="shared" si="38"/>
        <v>Low</v>
      </c>
    </row>
    <row r="806" spans="1:26" x14ac:dyDescent="0.35">
      <c r="A806" s="1">
        <v>805</v>
      </c>
      <c r="B806" s="2" t="s">
        <v>2564</v>
      </c>
      <c r="C806" s="3">
        <v>45130</v>
      </c>
      <c r="D806" s="3">
        <v>45134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</v>
      </c>
      <c r="S806" s="1">
        <v>3</v>
      </c>
      <c r="T806" s="1">
        <v>0</v>
      </c>
      <c r="U806" s="1">
        <v>4.9500000000000011</v>
      </c>
      <c r="V806">
        <f>YEAR(Table1[[#This Row],[Order Date]])</f>
        <v>2023</v>
      </c>
      <c r="W806" t="str">
        <f>TEXT(Table1[[#This Row],[Order Date]],"mmm")</f>
        <v>Jul</v>
      </c>
      <c r="X806">
        <f t="shared" si="36"/>
        <v>1.6500000000000004</v>
      </c>
      <c r="Y806" t="str">
        <f t="shared" si="37"/>
        <v>Profit</v>
      </c>
      <c r="Z806" t="str">
        <f t="shared" si="38"/>
        <v>No Discount</v>
      </c>
    </row>
    <row r="807" spans="1:26" x14ac:dyDescent="0.35">
      <c r="A807" s="1">
        <v>806</v>
      </c>
      <c r="B807" s="2" t="s">
        <v>2559</v>
      </c>
      <c r="C807" s="3">
        <v>45130</v>
      </c>
      <c r="D807" s="3">
        <v>45134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1023.9360000000001</v>
      </c>
      <c r="S807" s="1">
        <v>8</v>
      </c>
      <c r="T807" s="1">
        <v>0.2</v>
      </c>
      <c r="U807" s="1">
        <v>179.1887999999999</v>
      </c>
      <c r="V807">
        <f>YEAR(Table1[[#This Row],[Order Date]])</f>
        <v>2023</v>
      </c>
      <c r="W807" t="str">
        <f>TEXT(Table1[[#This Row],[Order Date]],"mmm")</f>
        <v>Jul</v>
      </c>
      <c r="X807">
        <f t="shared" si="36"/>
        <v>22.398599999999988</v>
      </c>
      <c r="Y807" t="str">
        <f t="shared" si="37"/>
        <v>Profit</v>
      </c>
      <c r="Z807" t="str">
        <f t="shared" si="38"/>
        <v>Low</v>
      </c>
    </row>
    <row r="808" spans="1:26" x14ac:dyDescent="0.35">
      <c r="A808" s="1">
        <v>807</v>
      </c>
      <c r="B808" s="2" t="s">
        <v>2564</v>
      </c>
      <c r="C808" s="3">
        <v>45130</v>
      </c>
      <c r="D808" s="3">
        <v>45134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604.75199999999995</v>
      </c>
      <c r="S808" s="1">
        <v>6</v>
      </c>
      <c r="T808" s="1">
        <v>0.2</v>
      </c>
      <c r="U808" s="1">
        <v>60.475200000000058</v>
      </c>
      <c r="V808">
        <f>YEAR(Table1[[#This Row],[Order Date]])</f>
        <v>2023</v>
      </c>
      <c r="W808" t="str">
        <f>TEXT(Table1[[#This Row],[Order Date]],"mmm")</f>
        <v>Jul</v>
      </c>
      <c r="X808">
        <f t="shared" si="36"/>
        <v>10.079200000000009</v>
      </c>
      <c r="Y808" t="str">
        <f t="shared" si="37"/>
        <v>Profit</v>
      </c>
      <c r="Z808" t="str">
        <f t="shared" si="38"/>
        <v>Low</v>
      </c>
    </row>
    <row r="809" spans="1:26" x14ac:dyDescent="0.35">
      <c r="A809" s="1">
        <v>808</v>
      </c>
      <c r="B809" s="2" t="s">
        <v>2564</v>
      </c>
      <c r="C809" s="3">
        <v>45130</v>
      </c>
      <c r="D809" s="3">
        <v>45134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>
        <f>YEAR(Table1[[#This Row],[Order Date]])</f>
        <v>2023</v>
      </c>
      <c r="W809" t="str">
        <f>TEXT(Table1[[#This Row],[Order Date]],"mmm")</f>
        <v>Jul</v>
      </c>
      <c r="X809">
        <f t="shared" si="36"/>
        <v>12.598999999999998</v>
      </c>
      <c r="Y809" t="str">
        <f t="shared" si="37"/>
        <v>Profit</v>
      </c>
      <c r="Z809" t="str">
        <f t="shared" si="38"/>
        <v>Low</v>
      </c>
    </row>
    <row r="810" spans="1:26" x14ac:dyDescent="0.35">
      <c r="A810" s="1">
        <v>809</v>
      </c>
      <c r="B810" s="2" t="s">
        <v>2576</v>
      </c>
      <c r="C810" s="3">
        <v>45132</v>
      </c>
      <c r="D810" s="3">
        <v>45134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</v>
      </c>
      <c r="T810" s="1">
        <v>0</v>
      </c>
      <c r="U810" s="1">
        <v>34.284800000000004</v>
      </c>
      <c r="V810">
        <f>YEAR(Table1[[#This Row],[Order Date]])</f>
        <v>2023</v>
      </c>
      <c r="W810" t="str">
        <f>TEXT(Table1[[#This Row],[Order Date]],"mmm")</f>
        <v>Jul</v>
      </c>
      <c r="X810">
        <f t="shared" si="36"/>
        <v>4.2856000000000005</v>
      </c>
      <c r="Y810" t="str">
        <f t="shared" si="37"/>
        <v>Profit</v>
      </c>
      <c r="Z810" t="str">
        <f t="shared" si="38"/>
        <v>No Discount</v>
      </c>
    </row>
    <row r="811" spans="1:26" x14ac:dyDescent="0.35">
      <c r="A811" s="1">
        <v>810</v>
      </c>
      <c r="B811" s="2" t="s">
        <v>2581</v>
      </c>
      <c r="C811" s="3">
        <v>45132</v>
      </c>
      <c r="D811" s="3">
        <v>45134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</v>
      </c>
      <c r="T811" s="1">
        <v>0</v>
      </c>
      <c r="U811" s="1">
        <v>3.1752000000000002</v>
      </c>
      <c r="V811">
        <f>YEAR(Table1[[#This Row],[Order Date]])</f>
        <v>2023</v>
      </c>
      <c r="W811" t="str">
        <f>TEXT(Table1[[#This Row],[Order Date]],"mmm")</f>
        <v>Jul</v>
      </c>
      <c r="X811">
        <f t="shared" si="36"/>
        <v>3.1752000000000002</v>
      </c>
      <c r="Y811" t="str">
        <f t="shared" si="37"/>
        <v>Profit</v>
      </c>
      <c r="Z811" t="str">
        <f t="shared" si="38"/>
        <v>No Discount</v>
      </c>
    </row>
    <row r="812" spans="1:26" x14ac:dyDescent="0.35">
      <c r="A812" s="1">
        <v>811</v>
      </c>
      <c r="B812" s="2" t="s">
        <v>2576</v>
      </c>
      <c r="C812" s="3">
        <v>45132</v>
      </c>
      <c r="D812" s="3">
        <v>45134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</v>
      </c>
      <c r="T812" s="1">
        <v>0</v>
      </c>
      <c r="U812" s="1">
        <v>15.041600000000003</v>
      </c>
      <c r="V812">
        <f>YEAR(Table1[[#This Row],[Order Date]])</f>
        <v>2023</v>
      </c>
      <c r="W812" t="str">
        <f>TEXT(Table1[[#This Row],[Order Date]],"mmm")</f>
        <v>Jul</v>
      </c>
      <c r="X812">
        <f t="shared" si="36"/>
        <v>3.7604000000000006</v>
      </c>
      <c r="Y812" t="str">
        <f t="shared" si="37"/>
        <v>Profit</v>
      </c>
      <c r="Z812" t="str">
        <f t="shared" si="38"/>
        <v>No Discount</v>
      </c>
    </row>
    <row r="813" spans="1:26" x14ac:dyDescent="0.35">
      <c r="A813" s="1">
        <v>812</v>
      </c>
      <c r="B813" s="2" t="s">
        <v>2576</v>
      </c>
      <c r="C813" s="3">
        <v>45132</v>
      </c>
      <c r="D813" s="3">
        <v>45134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</v>
      </c>
      <c r="T813" s="1">
        <v>0</v>
      </c>
      <c r="U813" s="1">
        <v>327.50599999999963</v>
      </c>
      <c r="V813">
        <f>YEAR(Table1[[#This Row],[Order Date]])</f>
        <v>2023</v>
      </c>
      <c r="W813" t="str">
        <f>TEXT(Table1[[#This Row],[Order Date]],"mmm")</f>
        <v>Jul</v>
      </c>
      <c r="X813">
        <f t="shared" si="36"/>
        <v>65.501199999999926</v>
      </c>
      <c r="Y813" t="str">
        <f t="shared" si="37"/>
        <v>Profit</v>
      </c>
      <c r="Z813" t="str">
        <f t="shared" si="38"/>
        <v>No Discount</v>
      </c>
    </row>
    <row r="814" spans="1:26" x14ac:dyDescent="0.35">
      <c r="A814" s="1">
        <v>813</v>
      </c>
      <c r="B814" s="2" t="s">
        <v>2581</v>
      </c>
      <c r="C814" s="3">
        <v>45132</v>
      </c>
      <c r="D814" s="3">
        <v>45134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</v>
      </c>
      <c r="T814" s="1">
        <v>0</v>
      </c>
      <c r="U814" s="1">
        <v>4.5007999999999981</v>
      </c>
      <c r="V814">
        <f>YEAR(Table1[[#This Row],[Order Date]])</f>
        <v>2023</v>
      </c>
      <c r="W814" t="str">
        <f>TEXT(Table1[[#This Row],[Order Date]],"mmm")</f>
        <v>Jul</v>
      </c>
      <c r="X814">
        <f t="shared" si="36"/>
        <v>1.1251999999999995</v>
      </c>
      <c r="Y814" t="str">
        <f t="shared" si="37"/>
        <v>Profit</v>
      </c>
      <c r="Z814" t="str">
        <f t="shared" si="38"/>
        <v>No Discount</v>
      </c>
    </row>
    <row r="815" spans="1:26" x14ac:dyDescent="0.35">
      <c r="A815" s="1">
        <v>814</v>
      </c>
      <c r="B815" s="2" t="s">
        <v>2586</v>
      </c>
      <c r="C815" s="3">
        <v>45133</v>
      </c>
      <c r="D815" s="3">
        <v>45139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</v>
      </c>
      <c r="T815" s="1">
        <v>0</v>
      </c>
      <c r="U815" s="1">
        <v>18.327599999999997</v>
      </c>
      <c r="V815">
        <f>YEAR(Table1[[#This Row],[Order Date]])</f>
        <v>2023</v>
      </c>
      <c r="W815" t="str">
        <f>TEXT(Table1[[#This Row],[Order Date]],"mmm")</f>
        <v>Jul</v>
      </c>
      <c r="X815">
        <f t="shared" si="36"/>
        <v>9.1637999999999984</v>
      </c>
      <c r="Y815" t="str">
        <f t="shared" si="37"/>
        <v>Profit</v>
      </c>
      <c r="Z815" t="str">
        <f t="shared" si="38"/>
        <v>No Discount</v>
      </c>
    </row>
    <row r="816" spans="1:26" x14ac:dyDescent="0.35">
      <c r="A816" s="1">
        <v>815</v>
      </c>
      <c r="B816" s="2" t="s">
        <v>2592</v>
      </c>
      <c r="C816" s="3">
        <v>45133</v>
      </c>
      <c r="D816" s="3">
        <v>45140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674.35200000000009</v>
      </c>
      <c r="S816" s="1">
        <v>3</v>
      </c>
      <c r="T816" s="1">
        <v>0.2</v>
      </c>
      <c r="U816" s="1">
        <v>-109.58220000000011</v>
      </c>
      <c r="V816">
        <f>YEAR(Table1[[#This Row],[Order Date]])</f>
        <v>2023</v>
      </c>
      <c r="W816" t="str">
        <f>TEXT(Table1[[#This Row],[Order Date]],"mmm")</f>
        <v>Jul</v>
      </c>
      <c r="X816">
        <f t="shared" si="36"/>
        <v>-36.527400000000036</v>
      </c>
      <c r="Y816" t="str">
        <f t="shared" si="37"/>
        <v>Loss</v>
      </c>
      <c r="Z816" t="str">
        <f t="shared" si="38"/>
        <v>Low</v>
      </c>
    </row>
    <row r="817" spans="1:26" x14ac:dyDescent="0.35">
      <c r="A817" s="1">
        <v>816</v>
      </c>
      <c r="B817" s="2" t="s">
        <v>2586</v>
      </c>
      <c r="C817" s="3">
        <v>45133</v>
      </c>
      <c r="D817" s="3">
        <v>45139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</v>
      </c>
      <c r="T817" s="1">
        <v>0</v>
      </c>
      <c r="U817" s="1">
        <v>9.2556000000000012</v>
      </c>
      <c r="V817">
        <f>YEAR(Table1[[#This Row],[Order Date]])</f>
        <v>2023</v>
      </c>
      <c r="W817" t="str">
        <f>TEXT(Table1[[#This Row],[Order Date]],"mmm")</f>
        <v>Jul</v>
      </c>
      <c r="X817">
        <f t="shared" si="36"/>
        <v>3.0852000000000004</v>
      </c>
      <c r="Y817" t="str">
        <f t="shared" si="37"/>
        <v>Profit</v>
      </c>
      <c r="Z817" t="str">
        <f t="shared" si="38"/>
        <v>No Discount</v>
      </c>
    </row>
    <row r="818" spans="1:26" x14ac:dyDescent="0.35">
      <c r="A818" s="1">
        <v>817</v>
      </c>
      <c r="B818" s="2" t="s">
        <v>2592</v>
      </c>
      <c r="C818" s="3">
        <v>45133</v>
      </c>
      <c r="D818" s="3">
        <v>45140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</v>
      </c>
      <c r="T818" s="1">
        <v>0</v>
      </c>
      <c r="U818" s="1">
        <v>36.182700000000004</v>
      </c>
      <c r="V818">
        <f>YEAR(Table1[[#This Row],[Order Date]])</f>
        <v>2023</v>
      </c>
      <c r="W818" t="str">
        <f>TEXT(Table1[[#This Row],[Order Date]],"mmm")</f>
        <v>Jul</v>
      </c>
      <c r="X818">
        <f t="shared" si="36"/>
        <v>4.0203000000000007</v>
      </c>
      <c r="Y818" t="str">
        <f t="shared" si="37"/>
        <v>Profit</v>
      </c>
      <c r="Z818" t="str">
        <f t="shared" si="38"/>
        <v>No Discount</v>
      </c>
    </row>
    <row r="819" spans="1:26" x14ac:dyDescent="0.35">
      <c r="A819" s="1">
        <v>818</v>
      </c>
      <c r="B819" s="2" t="s">
        <v>2599</v>
      </c>
      <c r="C819" s="3">
        <v>45133</v>
      </c>
      <c r="D819" s="3">
        <v>45137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17.496000000000002</v>
      </c>
      <c r="S819" s="1">
        <v>3</v>
      </c>
      <c r="T819" s="1">
        <v>0.6</v>
      </c>
      <c r="U819" s="1">
        <v>-10.060199999999998</v>
      </c>
      <c r="V819">
        <f>YEAR(Table1[[#This Row],[Order Date]])</f>
        <v>2023</v>
      </c>
      <c r="W819" t="str">
        <f>TEXT(Table1[[#This Row],[Order Date]],"mmm")</f>
        <v>Jul</v>
      </c>
      <c r="X819">
        <f t="shared" si="36"/>
        <v>-3.3533999999999993</v>
      </c>
      <c r="Y819" t="str">
        <f t="shared" si="37"/>
        <v>Loss</v>
      </c>
      <c r="Z819" t="str">
        <f t="shared" si="38"/>
        <v>High</v>
      </c>
    </row>
    <row r="820" spans="1:26" x14ac:dyDescent="0.35">
      <c r="A820" s="1">
        <v>819</v>
      </c>
      <c r="B820" s="2" t="s">
        <v>2599</v>
      </c>
      <c r="C820" s="3">
        <v>45133</v>
      </c>
      <c r="D820" s="3">
        <v>45137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4.8359999999999985</v>
      </c>
      <c r="S820" s="1">
        <v>2</v>
      </c>
      <c r="T820" s="1">
        <v>0.8</v>
      </c>
      <c r="U820" s="1">
        <v>-12.090000000000003</v>
      </c>
      <c r="V820">
        <f>YEAR(Table1[[#This Row],[Order Date]])</f>
        <v>2023</v>
      </c>
      <c r="W820" t="str">
        <f>TEXT(Table1[[#This Row],[Order Date]],"mmm")</f>
        <v>Jul</v>
      </c>
      <c r="X820">
        <f t="shared" si="36"/>
        <v>-6.0450000000000017</v>
      </c>
      <c r="Y820" t="str">
        <f t="shared" si="37"/>
        <v>Loss</v>
      </c>
      <c r="Z820" t="str">
        <f t="shared" si="38"/>
        <v>High</v>
      </c>
    </row>
    <row r="821" spans="1:26" x14ac:dyDescent="0.35">
      <c r="A821" s="1">
        <v>820</v>
      </c>
      <c r="B821" s="2" t="s">
        <v>2599</v>
      </c>
      <c r="C821" s="3">
        <v>45133</v>
      </c>
      <c r="D821" s="3">
        <v>45137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16.783999999999995</v>
      </c>
      <c r="S821" s="1">
        <v>4</v>
      </c>
      <c r="T821" s="1">
        <v>0.8</v>
      </c>
      <c r="U821" s="1">
        <v>-26.854400000000012</v>
      </c>
      <c r="V821">
        <f>YEAR(Table1[[#This Row],[Order Date]])</f>
        <v>2023</v>
      </c>
      <c r="W821" t="str">
        <f>TEXT(Table1[[#This Row],[Order Date]],"mmm")</f>
        <v>Jul</v>
      </c>
      <c r="X821">
        <f t="shared" si="36"/>
        <v>-6.7136000000000031</v>
      </c>
      <c r="Y821" t="str">
        <f t="shared" si="37"/>
        <v>Loss</v>
      </c>
      <c r="Z821" t="str">
        <f t="shared" si="38"/>
        <v>High</v>
      </c>
    </row>
    <row r="822" spans="1:26" x14ac:dyDescent="0.35">
      <c r="A822" s="1">
        <v>821</v>
      </c>
      <c r="B822" s="2" t="s">
        <v>2599</v>
      </c>
      <c r="C822" s="3">
        <v>45133</v>
      </c>
      <c r="D822" s="3">
        <v>45137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8.879999999999999</v>
      </c>
      <c r="S822" s="1">
        <v>5</v>
      </c>
      <c r="T822" s="1">
        <v>0.8</v>
      </c>
      <c r="U822" s="1">
        <v>-13.32</v>
      </c>
      <c r="V822">
        <f>YEAR(Table1[[#This Row],[Order Date]])</f>
        <v>2023</v>
      </c>
      <c r="W822" t="str">
        <f>TEXT(Table1[[#This Row],[Order Date]],"mmm")</f>
        <v>Jul</v>
      </c>
      <c r="X822">
        <f t="shared" si="36"/>
        <v>-2.6640000000000001</v>
      </c>
      <c r="Y822" t="str">
        <f t="shared" si="37"/>
        <v>Loss</v>
      </c>
      <c r="Z822" t="str">
        <f t="shared" si="38"/>
        <v>High</v>
      </c>
    </row>
    <row r="823" spans="1:26" x14ac:dyDescent="0.35">
      <c r="A823" s="1">
        <v>822</v>
      </c>
      <c r="B823" s="2" t="s">
        <v>2599</v>
      </c>
      <c r="C823" s="3">
        <v>45133</v>
      </c>
      <c r="D823" s="3">
        <v>45137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2177.5839999999994</v>
      </c>
      <c r="S823" s="1">
        <v>8</v>
      </c>
      <c r="T823" s="1">
        <v>0.8</v>
      </c>
      <c r="U823" s="1">
        <v>-3701.8928000000014</v>
      </c>
      <c r="V823">
        <f>YEAR(Table1[[#This Row],[Order Date]])</f>
        <v>2023</v>
      </c>
      <c r="W823" t="str">
        <f>TEXT(Table1[[#This Row],[Order Date]],"mmm")</f>
        <v>Jul</v>
      </c>
      <c r="X823">
        <f t="shared" si="36"/>
        <v>-462.73660000000018</v>
      </c>
      <c r="Y823" t="str">
        <f t="shared" si="37"/>
        <v>Loss</v>
      </c>
      <c r="Z823" t="str">
        <f t="shared" si="38"/>
        <v>High</v>
      </c>
    </row>
    <row r="824" spans="1:26" x14ac:dyDescent="0.35">
      <c r="A824" s="1">
        <v>823</v>
      </c>
      <c r="B824" s="2" t="s">
        <v>2586</v>
      </c>
      <c r="C824" s="3">
        <v>45133</v>
      </c>
      <c r="D824" s="3">
        <v>45139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162.88999999999999</v>
      </c>
      <c r="S824" s="1">
        <v>13</v>
      </c>
      <c r="T824" s="1">
        <v>0</v>
      </c>
      <c r="U824" s="1">
        <v>76.558299999999988</v>
      </c>
      <c r="V824">
        <f>YEAR(Table1[[#This Row],[Order Date]])</f>
        <v>2023</v>
      </c>
      <c r="W824" t="str">
        <f>TEXT(Table1[[#This Row],[Order Date]],"mmm")</f>
        <v>Jul</v>
      </c>
      <c r="X824">
        <f t="shared" si="36"/>
        <v>5.8890999999999991</v>
      </c>
      <c r="Y824" t="str">
        <f t="shared" si="37"/>
        <v>Profit</v>
      </c>
      <c r="Z824" t="str">
        <f t="shared" si="38"/>
        <v>No Discount</v>
      </c>
    </row>
    <row r="825" spans="1:26" x14ac:dyDescent="0.35">
      <c r="A825" s="1">
        <v>824</v>
      </c>
      <c r="B825" s="2" t="s">
        <v>2612</v>
      </c>
      <c r="C825" s="3">
        <v>45133</v>
      </c>
      <c r="D825" s="3">
        <v>45137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123.55199999999999</v>
      </c>
      <c r="S825" s="1">
        <v>3</v>
      </c>
      <c r="T825" s="1">
        <v>0.2</v>
      </c>
      <c r="U825" s="1">
        <v>-29.343599999999995</v>
      </c>
      <c r="V825">
        <f>YEAR(Table1[[#This Row],[Order Date]])</f>
        <v>2023</v>
      </c>
      <c r="W825" t="str">
        <f>TEXT(Table1[[#This Row],[Order Date]],"mmm")</f>
        <v>Jul</v>
      </c>
      <c r="X825">
        <f t="shared" si="36"/>
        <v>-9.7811999999999983</v>
      </c>
      <c r="Y825" t="str">
        <f t="shared" si="37"/>
        <v>Loss</v>
      </c>
      <c r="Z825" t="str">
        <f t="shared" si="38"/>
        <v>Low</v>
      </c>
    </row>
    <row r="826" spans="1:26" x14ac:dyDescent="0.35">
      <c r="A826" s="1">
        <v>825</v>
      </c>
      <c r="B826" s="2" t="s">
        <v>2617</v>
      </c>
      <c r="C826" s="3">
        <v>45133</v>
      </c>
      <c r="D826" s="3">
        <v>45139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</v>
      </c>
      <c r="T826" s="1">
        <v>0</v>
      </c>
      <c r="U826" s="1">
        <v>34.698299999999996</v>
      </c>
      <c r="V826">
        <f>YEAR(Table1[[#This Row],[Order Date]])</f>
        <v>2023</v>
      </c>
      <c r="W826" t="str">
        <f>TEXT(Table1[[#This Row],[Order Date]],"mmm")</f>
        <v>Jul</v>
      </c>
      <c r="X826">
        <f t="shared" si="36"/>
        <v>4.9568999999999992</v>
      </c>
      <c r="Y826" t="str">
        <f t="shared" si="37"/>
        <v>Profit</v>
      </c>
      <c r="Z826" t="str">
        <f t="shared" si="38"/>
        <v>No Discount</v>
      </c>
    </row>
    <row r="827" spans="1:26" x14ac:dyDescent="0.35">
      <c r="A827" s="1">
        <v>826</v>
      </c>
      <c r="B827" s="2" t="s">
        <v>2599</v>
      </c>
      <c r="C827" s="3">
        <v>45133</v>
      </c>
      <c r="D827" s="3">
        <v>45137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431.13600000000002</v>
      </c>
      <c r="S827" s="1">
        <v>9</v>
      </c>
      <c r="T827" s="1">
        <v>0.2</v>
      </c>
      <c r="U827" s="1">
        <v>-26.946000000000012</v>
      </c>
      <c r="V827">
        <f>YEAR(Table1[[#This Row],[Order Date]])</f>
        <v>2023</v>
      </c>
      <c r="W827" t="str">
        <f>TEXT(Table1[[#This Row],[Order Date]],"mmm")</f>
        <v>Jul</v>
      </c>
      <c r="X827">
        <f t="shared" si="36"/>
        <v>-2.9940000000000015</v>
      </c>
      <c r="Y827" t="str">
        <f t="shared" si="37"/>
        <v>Loss</v>
      </c>
      <c r="Z827" t="str">
        <f t="shared" si="38"/>
        <v>Low</v>
      </c>
    </row>
    <row r="828" spans="1:26" x14ac:dyDescent="0.35">
      <c r="A828" s="1">
        <v>827</v>
      </c>
      <c r="B828" s="2" t="s">
        <v>2592</v>
      </c>
      <c r="C828" s="3">
        <v>45133</v>
      </c>
      <c r="D828" s="3">
        <v>45140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</v>
      </c>
      <c r="T828" s="1">
        <v>0</v>
      </c>
      <c r="U828" s="1">
        <v>70.097700000000003</v>
      </c>
      <c r="V828">
        <f>YEAR(Table1[[#This Row],[Order Date]])</f>
        <v>2023</v>
      </c>
      <c r="W828" t="str">
        <f>TEXT(Table1[[#This Row],[Order Date]],"mmm")</f>
        <v>Jul</v>
      </c>
      <c r="X828">
        <f t="shared" si="36"/>
        <v>23.3659</v>
      </c>
      <c r="Y828" t="str">
        <f t="shared" si="37"/>
        <v>Profit</v>
      </c>
      <c r="Z828" t="str">
        <f t="shared" si="38"/>
        <v>No Discount</v>
      </c>
    </row>
    <row r="829" spans="1:26" x14ac:dyDescent="0.35">
      <c r="A829" s="1">
        <v>828</v>
      </c>
      <c r="B829" s="2" t="s">
        <v>2592</v>
      </c>
      <c r="C829" s="3">
        <v>45133</v>
      </c>
      <c r="D829" s="3">
        <v>45140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911.98400000000004</v>
      </c>
      <c r="S829" s="1">
        <v>2</v>
      </c>
      <c r="T829" s="1">
        <v>0.2</v>
      </c>
      <c r="U829" s="1">
        <v>113.99799999999991</v>
      </c>
      <c r="V829">
        <f>YEAR(Table1[[#This Row],[Order Date]])</f>
        <v>2023</v>
      </c>
      <c r="W829" t="str">
        <f>TEXT(Table1[[#This Row],[Order Date]],"mmm")</f>
        <v>Jul</v>
      </c>
      <c r="X829">
        <f t="shared" si="36"/>
        <v>56.998999999999953</v>
      </c>
      <c r="Y829" t="str">
        <f t="shared" si="37"/>
        <v>Profit</v>
      </c>
      <c r="Z829" t="str">
        <f t="shared" si="38"/>
        <v>Low</v>
      </c>
    </row>
    <row r="830" spans="1:26" x14ac:dyDescent="0.35">
      <c r="A830" s="1">
        <v>829</v>
      </c>
      <c r="B830" s="2" t="s">
        <v>2625</v>
      </c>
      <c r="C830" s="3">
        <v>45134</v>
      </c>
      <c r="D830" s="3">
        <v>45140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</v>
      </c>
      <c r="T830" s="1">
        <v>0</v>
      </c>
      <c r="U830" s="1">
        <v>32.232199999999999</v>
      </c>
      <c r="V830">
        <f>YEAR(Table1[[#This Row],[Order Date]])</f>
        <v>2023</v>
      </c>
      <c r="W830" t="str">
        <f>TEXT(Table1[[#This Row],[Order Date]],"mmm")</f>
        <v>Jul</v>
      </c>
      <c r="X830">
        <f t="shared" si="36"/>
        <v>2.9301999999999997</v>
      </c>
      <c r="Y830" t="str">
        <f t="shared" si="37"/>
        <v>Profit</v>
      </c>
      <c r="Z830" t="str">
        <f t="shared" si="38"/>
        <v>No Discount</v>
      </c>
    </row>
    <row r="831" spans="1:26" x14ac:dyDescent="0.35">
      <c r="A831" s="1">
        <v>830</v>
      </c>
      <c r="B831" s="2" t="s">
        <v>2630</v>
      </c>
      <c r="C831" s="3">
        <v>45134</v>
      </c>
      <c r="D831" s="3">
        <v>45137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276.27999999999997</v>
      </c>
      <c r="S831" s="1">
        <v>2</v>
      </c>
      <c r="T831" s="1">
        <v>0</v>
      </c>
      <c r="U831" s="1">
        <v>0</v>
      </c>
      <c r="V831">
        <f>YEAR(Table1[[#This Row],[Order Date]])</f>
        <v>2023</v>
      </c>
      <c r="W831" t="str">
        <f>TEXT(Table1[[#This Row],[Order Date]],"mmm")</f>
        <v>Jul</v>
      </c>
      <c r="X831">
        <f t="shared" si="36"/>
        <v>0</v>
      </c>
      <c r="Y831" t="str">
        <f t="shared" si="37"/>
        <v>Break-even</v>
      </c>
      <c r="Z831" t="str">
        <f t="shared" si="38"/>
        <v>No Discount</v>
      </c>
    </row>
    <row r="832" spans="1:26" x14ac:dyDescent="0.35">
      <c r="A832" s="1">
        <v>831</v>
      </c>
      <c r="B832" s="2" t="s">
        <v>2633</v>
      </c>
      <c r="C832" s="3">
        <v>45134</v>
      </c>
      <c r="D832" s="3">
        <v>45136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</v>
      </c>
      <c r="S832" s="1">
        <v>2</v>
      </c>
      <c r="T832" s="1">
        <v>0</v>
      </c>
      <c r="U832" s="1">
        <v>38.080000000000013</v>
      </c>
      <c r="V832">
        <f>YEAR(Table1[[#This Row],[Order Date]])</f>
        <v>2023</v>
      </c>
      <c r="W832" t="str">
        <f>TEXT(Table1[[#This Row],[Order Date]],"mmm")</f>
        <v>Jul</v>
      </c>
      <c r="X832">
        <f t="shared" si="36"/>
        <v>19.040000000000006</v>
      </c>
      <c r="Y832" t="str">
        <f t="shared" si="37"/>
        <v>Profit</v>
      </c>
      <c r="Z832" t="str">
        <f t="shared" si="38"/>
        <v>No Discount</v>
      </c>
    </row>
    <row r="833" spans="1:26" x14ac:dyDescent="0.35">
      <c r="A833" s="1">
        <v>832</v>
      </c>
      <c r="B833" s="2" t="s">
        <v>2636</v>
      </c>
      <c r="C833" s="3">
        <v>45135</v>
      </c>
      <c r="D833" s="3">
        <v>45135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129.88800000000001</v>
      </c>
      <c r="S833" s="1">
        <v>6</v>
      </c>
      <c r="T833" s="1">
        <v>0.2</v>
      </c>
      <c r="U833" s="1">
        <v>12.988799999999991</v>
      </c>
      <c r="V833">
        <f>YEAR(Table1[[#This Row],[Order Date]])</f>
        <v>2023</v>
      </c>
      <c r="W833" t="str">
        <f>TEXT(Table1[[#This Row],[Order Date]],"mmm")</f>
        <v>Jul</v>
      </c>
      <c r="X833">
        <f t="shared" si="36"/>
        <v>2.1647999999999983</v>
      </c>
      <c r="Y833" t="str">
        <f t="shared" si="37"/>
        <v>Profit</v>
      </c>
      <c r="Z833" t="str">
        <f t="shared" si="38"/>
        <v>Low</v>
      </c>
    </row>
    <row r="834" spans="1:26" x14ac:dyDescent="0.35">
      <c r="A834" s="1">
        <v>833</v>
      </c>
      <c r="B834" s="2" t="s">
        <v>2636</v>
      </c>
      <c r="C834" s="3">
        <v>45135</v>
      </c>
      <c r="D834" s="3">
        <v>45135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>
        <f>YEAR(Table1[[#This Row],[Order Date]])</f>
        <v>2023</v>
      </c>
      <c r="W834" t="str">
        <f>TEXT(Table1[[#This Row],[Order Date]],"mmm")</f>
        <v>Jul</v>
      </c>
      <c r="X834">
        <f t="shared" ref="X834:X897" si="39">IFERROR(U834/S834,0)</f>
        <v>2.3597999999999999</v>
      </c>
      <c r="Y834" t="str">
        <f t="shared" ref="Y834:Y897" si="40">IF(U834&gt;0,"Profit",IF(U834&lt;0,"Loss","Break-even"))</f>
        <v>Profit</v>
      </c>
      <c r="Z834" t="str">
        <f t="shared" ref="Z834:Z897" si="41">IF(T834=0,"No Discount",IF(T834&lt;=0.2,"Low",IF(T834&lt;=0.4,"Medium","High")))</f>
        <v>Low</v>
      </c>
    </row>
    <row r="835" spans="1:26" x14ac:dyDescent="0.35">
      <c r="A835" s="1">
        <v>834</v>
      </c>
      <c r="B835" s="2" t="s">
        <v>2636</v>
      </c>
      <c r="C835" s="3">
        <v>45135</v>
      </c>
      <c r="D835" s="3">
        <v>45135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14.320000000000002</v>
      </c>
      <c r="S835" s="1">
        <v>5</v>
      </c>
      <c r="T835" s="1">
        <v>0.2</v>
      </c>
      <c r="U835" s="1">
        <v>5.1910000000000007</v>
      </c>
      <c r="V835">
        <f>YEAR(Table1[[#This Row],[Order Date]])</f>
        <v>2023</v>
      </c>
      <c r="W835" t="str">
        <f>TEXT(Table1[[#This Row],[Order Date]],"mmm")</f>
        <v>Jul</v>
      </c>
      <c r="X835">
        <f t="shared" si="39"/>
        <v>1.0382000000000002</v>
      </c>
      <c r="Y835" t="str">
        <f t="shared" si="40"/>
        <v>Profit</v>
      </c>
      <c r="Z835" t="str">
        <f t="shared" si="41"/>
        <v>Low</v>
      </c>
    </row>
    <row r="836" spans="1:26" x14ac:dyDescent="0.35">
      <c r="A836" s="1">
        <v>835</v>
      </c>
      <c r="B836" s="2" t="s">
        <v>2643</v>
      </c>
      <c r="C836" s="3">
        <v>45137</v>
      </c>
      <c r="D836" s="3">
        <v>45143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</v>
      </c>
      <c r="T836" s="1">
        <v>0</v>
      </c>
      <c r="U836" s="1">
        <v>259.88959999999997</v>
      </c>
      <c r="V836">
        <f>YEAR(Table1[[#This Row],[Order Date]])</f>
        <v>2023</v>
      </c>
      <c r="W836" t="str">
        <f>TEXT(Table1[[#This Row],[Order Date]],"mmm")</f>
        <v>Jul</v>
      </c>
      <c r="X836">
        <f t="shared" si="39"/>
        <v>32.486199999999997</v>
      </c>
      <c r="Y836" t="str">
        <f t="shared" si="40"/>
        <v>Profit</v>
      </c>
      <c r="Z836" t="str">
        <f t="shared" si="41"/>
        <v>No Discount</v>
      </c>
    </row>
    <row r="837" spans="1:26" x14ac:dyDescent="0.35">
      <c r="A837" s="1">
        <v>836</v>
      </c>
      <c r="B837" s="2" t="s">
        <v>2648</v>
      </c>
      <c r="C837" s="3">
        <v>45139</v>
      </c>
      <c r="D837" s="3">
        <v>45143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</v>
      </c>
      <c r="T837" s="1">
        <v>0.2</v>
      </c>
      <c r="U837" s="1">
        <v>12.135200000000001</v>
      </c>
      <c r="V837">
        <f>YEAR(Table1[[#This Row],[Order Date]])</f>
        <v>2023</v>
      </c>
      <c r="W837" t="str">
        <f>TEXT(Table1[[#This Row],[Order Date]],"mmm")</f>
        <v>Aug</v>
      </c>
      <c r="X837">
        <f t="shared" si="39"/>
        <v>3.0338000000000003</v>
      </c>
      <c r="Y837" t="str">
        <f t="shared" si="40"/>
        <v>Profit</v>
      </c>
      <c r="Z837" t="str">
        <f t="shared" si="41"/>
        <v>Low</v>
      </c>
    </row>
    <row r="838" spans="1:26" x14ac:dyDescent="0.35">
      <c r="A838" s="1">
        <v>837</v>
      </c>
      <c r="B838" s="2" t="s">
        <v>2648</v>
      </c>
      <c r="C838" s="3">
        <v>45139</v>
      </c>
      <c r="D838" s="3">
        <v>45143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62.920000000000009</v>
      </c>
      <c r="S838" s="1">
        <v>1</v>
      </c>
      <c r="T838" s="1">
        <v>0.2</v>
      </c>
      <c r="U838" s="1">
        <v>10.224499999999994</v>
      </c>
      <c r="V838">
        <f>YEAR(Table1[[#This Row],[Order Date]])</f>
        <v>2023</v>
      </c>
      <c r="W838" t="str">
        <f>TEXT(Table1[[#This Row],[Order Date]],"mmm")</f>
        <v>Aug</v>
      </c>
      <c r="X838">
        <f t="shared" si="39"/>
        <v>10.224499999999994</v>
      </c>
      <c r="Y838" t="str">
        <f t="shared" si="40"/>
        <v>Profit</v>
      </c>
      <c r="Z838" t="str">
        <f t="shared" si="41"/>
        <v>Low</v>
      </c>
    </row>
    <row r="839" spans="1:26" x14ac:dyDescent="0.35">
      <c r="A839" s="1">
        <v>838</v>
      </c>
      <c r="B839" s="2" t="s">
        <v>2650</v>
      </c>
      <c r="C839" s="3">
        <v>45139</v>
      </c>
      <c r="D839" s="3">
        <v>45141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19.752000000000002</v>
      </c>
      <c r="S839" s="1">
        <v>3</v>
      </c>
      <c r="T839" s="1">
        <v>0.2</v>
      </c>
      <c r="U839" s="1">
        <v>6.9131999999999998</v>
      </c>
      <c r="V839">
        <f>YEAR(Table1[[#This Row],[Order Date]])</f>
        <v>2023</v>
      </c>
      <c r="W839" t="str">
        <f>TEXT(Table1[[#This Row],[Order Date]],"mmm")</f>
        <v>Aug</v>
      </c>
      <c r="X839">
        <f t="shared" si="39"/>
        <v>2.3043999999999998</v>
      </c>
      <c r="Y839" t="str">
        <f t="shared" si="40"/>
        <v>Profit</v>
      </c>
      <c r="Z839" t="str">
        <f t="shared" si="41"/>
        <v>Low</v>
      </c>
    </row>
    <row r="840" spans="1:26" x14ac:dyDescent="0.35">
      <c r="A840" s="1">
        <v>839</v>
      </c>
      <c r="B840" s="2" t="s">
        <v>2655</v>
      </c>
      <c r="C840" s="3">
        <v>45139</v>
      </c>
      <c r="D840" s="3">
        <v>45144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</v>
      </c>
      <c r="T840" s="1">
        <v>0.2</v>
      </c>
      <c r="U840" s="1">
        <v>1.9169999999999998</v>
      </c>
      <c r="V840">
        <f>YEAR(Table1[[#This Row],[Order Date]])</f>
        <v>2023</v>
      </c>
      <c r="W840" t="str">
        <f>TEXT(Table1[[#This Row],[Order Date]],"mmm")</f>
        <v>Aug</v>
      </c>
      <c r="X840">
        <f t="shared" si="39"/>
        <v>0.95849999999999991</v>
      </c>
      <c r="Y840" t="str">
        <f t="shared" si="40"/>
        <v>Profit</v>
      </c>
      <c r="Z840" t="str">
        <f t="shared" si="41"/>
        <v>Low</v>
      </c>
    </row>
    <row r="841" spans="1:26" x14ac:dyDescent="0.35">
      <c r="A841" s="1">
        <v>840</v>
      </c>
      <c r="B841" s="2" t="s">
        <v>2648</v>
      </c>
      <c r="C841" s="3">
        <v>45139</v>
      </c>
      <c r="D841" s="3">
        <v>45143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</v>
      </c>
      <c r="T841" s="1">
        <v>0.2</v>
      </c>
      <c r="U841" s="1">
        <v>5.9210999999999983</v>
      </c>
      <c r="V841">
        <f>YEAR(Table1[[#This Row],[Order Date]])</f>
        <v>2023</v>
      </c>
      <c r="W841" t="str">
        <f>TEXT(Table1[[#This Row],[Order Date]],"mmm")</f>
        <v>Aug</v>
      </c>
      <c r="X841">
        <f t="shared" si="39"/>
        <v>1.9736999999999993</v>
      </c>
      <c r="Y841" t="str">
        <f t="shared" si="40"/>
        <v>Profit</v>
      </c>
      <c r="Z841" t="str">
        <f t="shared" si="41"/>
        <v>Low</v>
      </c>
    </row>
    <row r="842" spans="1:26" x14ac:dyDescent="0.35">
      <c r="A842" s="1">
        <v>841</v>
      </c>
      <c r="B842" s="2" t="s">
        <v>2648</v>
      </c>
      <c r="C842" s="3">
        <v>45139</v>
      </c>
      <c r="D842" s="3">
        <v>45143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78.304000000000002</v>
      </c>
      <c r="S842" s="1">
        <v>2</v>
      </c>
      <c r="T842" s="1">
        <v>0.2</v>
      </c>
      <c r="U842" s="1">
        <v>29.363999999999997</v>
      </c>
      <c r="V842">
        <f>YEAR(Table1[[#This Row],[Order Date]])</f>
        <v>2023</v>
      </c>
      <c r="W842" t="str">
        <f>TEXT(Table1[[#This Row],[Order Date]],"mmm")</f>
        <v>Aug</v>
      </c>
      <c r="X842">
        <f t="shared" si="39"/>
        <v>14.681999999999999</v>
      </c>
      <c r="Y842" t="str">
        <f t="shared" si="40"/>
        <v>Profit</v>
      </c>
      <c r="Z842" t="str">
        <f t="shared" si="41"/>
        <v>Low</v>
      </c>
    </row>
    <row r="843" spans="1:26" x14ac:dyDescent="0.35">
      <c r="A843" s="1">
        <v>842</v>
      </c>
      <c r="B843" s="2" t="s">
        <v>2664</v>
      </c>
      <c r="C843" s="3">
        <v>45140</v>
      </c>
      <c r="D843" s="3">
        <v>45146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</v>
      </c>
      <c r="T843" s="1">
        <v>0</v>
      </c>
      <c r="U843" s="1">
        <v>12.548999999999999</v>
      </c>
      <c r="V843">
        <f>YEAR(Table1[[#This Row],[Order Date]])</f>
        <v>2023</v>
      </c>
      <c r="W843" t="str">
        <f>TEXT(Table1[[#This Row],[Order Date]],"mmm")</f>
        <v>Aug</v>
      </c>
      <c r="X843">
        <f t="shared" si="39"/>
        <v>2.5097999999999998</v>
      </c>
      <c r="Y843" t="str">
        <f t="shared" si="40"/>
        <v>Profit</v>
      </c>
      <c r="Z843" t="str">
        <f t="shared" si="41"/>
        <v>No Discount</v>
      </c>
    </row>
    <row r="844" spans="1:26" x14ac:dyDescent="0.35">
      <c r="A844" s="1">
        <v>843</v>
      </c>
      <c r="B844" s="2" t="s">
        <v>2664</v>
      </c>
      <c r="C844" s="3">
        <v>45140</v>
      </c>
      <c r="D844" s="3">
        <v>45146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</v>
      </c>
      <c r="T844" s="1">
        <v>0</v>
      </c>
      <c r="U844" s="1">
        <v>226.36260000000004</v>
      </c>
      <c r="V844">
        <f>YEAR(Table1[[#This Row],[Order Date]])</f>
        <v>2023</v>
      </c>
      <c r="W844" t="str">
        <f>TEXT(Table1[[#This Row],[Order Date]],"mmm")</f>
        <v>Aug</v>
      </c>
      <c r="X844">
        <f t="shared" si="39"/>
        <v>113.18130000000002</v>
      </c>
      <c r="Y844" t="str">
        <f t="shared" si="40"/>
        <v>Profit</v>
      </c>
      <c r="Z844" t="str">
        <f t="shared" si="41"/>
        <v>No Discount</v>
      </c>
    </row>
    <row r="845" spans="1:26" x14ac:dyDescent="0.35">
      <c r="A845" s="1">
        <v>844</v>
      </c>
      <c r="B845" s="2" t="s">
        <v>2664</v>
      </c>
      <c r="C845" s="3">
        <v>45140</v>
      </c>
      <c r="D845" s="3">
        <v>45146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</v>
      </c>
      <c r="T845" s="1">
        <v>0</v>
      </c>
      <c r="U845" s="1">
        <v>9.1160000000000014</v>
      </c>
      <c r="V845">
        <f>YEAR(Table1[[#This Row],[Order Date]])</f>
        <v>2023</v>
      </c>
      <c r="W845" t="str">
        <f>TEXT(Table1[[#This Row],[Order Date]],"mmm")</f>
        <v>Aug</v>
      </c>
      <c r="X845">
        <f t="shared" si="39"/>
        <v>4.5580000000000007</v>
      </c>
      <c r="Y845" t="str">
        <f t="shared" si="40"/>
        <v>Profit</v>
      </c>
      <c r="Z845" t="str">
        <f t="shared" si="41"/>
        <v>No Discount</v>
      </c>
    </row>
    <row r="846" spans="1:26" x14ac:dyDescent="0.35">
      <c r="A846" s="1">
        <v>845</v>
      </c>
      <c r="B846" s="2" t="s">
        <v>2671</v>
      </c>
      <c r="C846" s="3">
        <v>45141</v>
      </c>
      <c r="D846" s="3">
        <v>45143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</v>
      </c>
      <c r="T846" s="1">
        <v>0.5</v>
      </c>
      <c r="U846" s="1">
        <v>-161.875</v>
      </c>
      <c r="V846">
        <f>YEAR(Table1[[#This Row],[Order Date]])</f>
        <v>2023</v>
      </c>
      <c r="W846" t="str">
        <f>TEXT(Table1[[#This Row],[Order Date]],"mmm")</f>
        <v>Aug</v>
      </c>
      <c r="X846">
        <f t="shared" si="39"/>
        <v>-80.9375</v>
      </c>
      <c r="Y846" t="str">
        <f t="shared" si="40"/>
        <v>Loss</v>
      </c>
      <c r="Z846" t="str">
        <f t="shared" si="41"/>
        <v>High</v>
      </c>
    </row>
    <row r="847" spans="1:26" x14ac:dyDescent="0.35">
      <c r="A847" s="1">
        <v>846</v>
      </c>
      <c r="B847" s="2" t="s">
        <v>2671</v>
      </c>
      <c r="C847" s="3">
        <v>45141</v>
      </c>
      <c r="D847" s="3">
        <v>45143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</v>
      </c>
      <c r="T847" s="1">
        <v>0.2</v>
      </c>
      <c r="U847" s="1">
        <v>0.29249999999999987</v>
      </c>
      <c r="V847">
        <f>YEAR(Table1[[#This Row],[Order Date]])</f>
        <v>2023</v>
      </c>
      <c r="W847" t="str">
        <f>TEXT(Table1[[#This Row],[Order Date]],"mmm")</f>
        <v>Aug</v>
      </c>
      <c r="X847">
        <f t="shared" si="39"/>
        <v>0.29249999999999987</v>
      </c>
      <c r="Y847" t="str">
        <f t="shared" si="40"/>
        <v>Profit</v>
      </c>
      <c r="Z847" t="str">
        <f t="shared" si="41"/>
        <v>Low</v>
      </c>
    </row>
    <row r="848" spans="1:26" x14ac:dyDescent="0.35">
      <c r="A848" s="1">
        <v>847</v>
      </c>
      <c r="B848" s="2" t="s">
        <v>2676</v>
      </c>
      <c r="C848" s="3">
        <v>45141</v>
      </c>
      <c r="D848" s="3">
        <v>45146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</v>
      </c>
      <c r="T848" s="1">
        <v>0</v>
      </c>
      <c r="U848" s="1">
        <v>18.781199999999998</v>
      </c>
      <c r="V848">
        <f>YEAR(Table1[[#This Row],[Order Date]])</f>
        <v>2023</v>
      </c>
      <c r="W848" t="str">
        <f>TEXT(Table1[[#This Row],[Order Date]],"mmm")</f>
        <v>Aug</v>
      </c>
      <c r="X848">
        <f t="shared" si="39"/>
        <v>9.3905999999999992</v>
      </c>
      <c r="Y848" t="str">
        <f t="shared" si="40"/>
        <v>Profit</v>
      </c>
      <c r="Z848" t="str">
        <f t="shared" si="41"/>
        <v>No Discount</v>
      </c>
    </row>
    <row r="849" spans="1:26" x14ac:dyDescent="0.35">
      <c r="A849" s="1">
        <v>848</v>
      </c>
      <c r="B849" s="2" t="s">
        <v>2681</v>
      </c>
      <c r="C849" s="3">
        <v>45141</v>
      </c>
      <c r="D849" s="3">
        <v>45143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93.024000000000001</v>
      </c>
      <c r="S849" s="1">
        <v>3</v>
      </c>
      <c r="T849" s="1">
        <v>0.2</v>
      </c>
      <c r="U849" s="1">
        <v>33.721199999999996</v>
      </c>
      <c r="V849">
        <f>YEAR(Table1[[#This Row],[Order Date]])</f>
        <v>2023</v>
      </c>
      <c r="W849" t="str">
        <f>TEXT(Table1[[#This Row],[Order Date]],"mmm")</f>
        <v>Aug</v>
      </c>
      <c r="X849">
        <f t="shared" si="39"/>
        <v>11.240399999999999</v>
      </c>
      <c r="Y849" t="str">
        <f t="shared" si="40"/>
        <v>Profit</v>
      </c>
      <c r="Z849" t="str">
        <f t="shared" si="41"/>
        <v>Low</v>
      </c>
    </row>
    <row r="850" spans="1:26" x14ac:dyDescent="0.35">
      <c r="A850" s="1">
        <v>849</v>
      </c>
      <c r="B850" s="2" t="s">
        <v>2676</v>
      </c>
      <c r="C850" s="3">
        <v>45141</v>
      </c>
      <c r="D850" s="3">
        <v>45146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</v>
      </c>
      <c r="T850" s="1">
        <v>0</v>
      </c>
      <c r="U850" s="1">
        <v>5.7672000000000008</v>
      </c>
      <c r="V850">
        <f>YEAR(Table1[[#This Row],[Order Date]])</f>
        <v>2023</v>
      </c>
      <c r="W850" t="str">
        <f>TEXT(Table1[[#This Row],[Order Date]],"mmm")</f>
        <v>Aug</v>
      </c>
      <c r="X850">
        <f t="shared" si="39"/>
        <v>2.8836000000000004</v>
      </c>
      <c r="Y850" t="str">
        <f t="shared" si="40"/>
        <v>Profit</v>
      </c>
      <c r="Z850" t="str">
        <f t="shared" si="41"/>
        <v>No Discount</v>
      </c>
    </row>
    <row r="851" spans="1:26" x14ac:dyDescent="0.35">
      <c r="A851" s="1">
        <v>850</v>
      </c>
      <c r="B851" s="2" t="s">
        <v>2676</v>
      </c>
      <c r="C851" s="3">
        <v>45141</v>
      </c>
      <c r="D851" s="3">
        <v>45146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102.30000000000001</v>
      </c>
      <c r="S851" s="1">
        <v>10</v>
      </c>
      <c r="T851" s="1">
        <v>0</v>
      </c>
      <c r="U851" s="1">
        <v>26.598000000000006</v>
      </c>
      <c r="V851">
        <f>YEAR(Table1[[#This Row],[Order Date]])</f>
        <v>2023</v>
      </c>
      <c r="W851" t="str">
        <f>TEXT(Table1[[#This Row],[Order Date]],"mmm")</f>
        <v>Aug</v>
      </c>
      <c r="X851">
        <f t="shared" si="39"/>
        <v>2.6598000000000006</v>
      </c>
      <c r="Y851" t="str">
        <f t="shared" si="40"/>
        <v>Profit</v>
      </c>
      <c r="Z851" t="str">
        <f t="shared" si="41"/>
        <v>No Discount</v>
      </c>
    </row>
    <row r="852" spans="1:26" x14ac:dyDescent="0.35">
      <c r="A852" s="1">
        <v>851</v>
      </c>
      <c r="B852" s="2" t="s">
        <v>2686</v>
      </c>
      <c r="C852" s="3">
        <v>45142</v>
      </c>
      <c r="D852" s="3">
        <v>45146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</v>
      </c>
      <c r="T852" s="1">
        <v>0</v>
      </c>
      <c r="U852" s="1">
        <v>27.529200000000003</v>
      </c>
      <c r="V852">
        <f>YEAR(Table1[[#This Row],[Order Date]])</f>
        <v>2023</v>
      </c>
      <c r="W852" t="str">
        <f>TEXT(Table1[[#This Row],[Order Date]],"mmm")</f>
        <v>Aug</v>
      </c>
      <c r="X852">
        <f t="shared" si="39"/>
        <v>13.764600000000002</v>
      </c>
      <c r="Y852" t="str">
        <f t="shared" si="40"/>
        <v>Profit</v>
      </c>
      <c r="Z852" t="str">
        <f t="shared" si="41"/>
        <v>No Discount</v>
      </c>
    </row>
    <row r="853" spans="1:26" x14ac:dyDescent="0.35">
      <c r="A853" s="1">
        <v>852</v>
      </c>
      <c r="B853" s="2" t="s">
        <v>2691</v>
      </c>
      <c r="C853" s="3">
        <v>45142</v>
      </c>
      <c r="D853" s="3">
        <v>45147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</v>
      </c>
      <c r="T853" s="1">
        <v>0</v>
      </c>
      <c r="U853" s="1">
        <v>305.13000000000011</v>
      </c>
      <c r="V853">
        <f>YEAR(Table1[[#This Row],[Order Date]])</f>
        <v>2023</v>
      </c>
      <c r="W853" t="str">
        <f>TEXT(Table1[[#This Row],[Order Date]],"mmm")</f>
        <v>Aug</v>
      </c>
      <c r="X853">
        <f t="shared" si="39"/>
        <v>101.71000000000004</v>
      </c>
      <c r="Y853" t="str">
        <f t="shared" si="40"/>
        <v>Profit</v>
      </c>
      <c r="Z853" t="str">
        <f t="shared" si="41"/>
        <v>No Discount</v>
      </c>
    </row>
    <row r="854" spans="1:26" x14ac:dyDescent="0.35">
      <c r="A854" s="1">
        <v>853</v>
      </c>
      <c r="B854" s="2" t="s">
        <v>2691</v>
      </c>
      <c r="C854" s="3">
        <v>45142</v>
      </c>
      <c r="D854" s="3">
        <v>45147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16.399999999999999</v>
      </c>
      <c r="S854" s="1">
        <v>5</v>
      </c>
      <c r="T854" s="1">
        <v>0</v>
      </c>
      <c r="U854" s="1">
        <v>4.2639999999999993</v>
      </c>
      <c r="V854">
        <f>YEAR(Table1[[#This Row],[Order Date]])</f>
        <v>2023</v>
      </c>
      <c r="W854" t="str">
        <f>TEXT(Table1[[#This Row],[Order Date]],"mmm")</f>
        <v>Aug</v>
      </c>
      <c r="X854">
        <f t="shared" si="39"/>
        <v>0.85279999999999989</v>
      </c>
      <c r="Y854" t="str">
        <f t="shared" si="40"/>
        <v>Profit</v>
      </c>
      <c r="Z854" t="str">
        <f t="shared" si="41"/>
        <v>No Discount</v>
      </c>
    </row>
    <row r="855" spans="1:26" x14ac:dyDescent="0.35">
      <c r="A855" s="1">
        <v>854</v>
      </c>
      <c r="B855" s="2" t="s">
        <v>2691</v>
      </c>
      <c r="C855" s="3">
        <v>45142</v>
      </c>
      <c r="D855" s="3">
        <v>45147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13.184000000000001</v>
      </c>
      <c r="S855" s="1">
        <v>1</v>
      </c>
      <c r="T855" s="1">
        <v>0.2</v>
      </c>
      <c r="U855" s="1">
        <v>4.7792000000000003</v>
      </c>
      <c r="V855">
        <f>YEAR(Table1[[#This Row],[Order Date]])</f>
        <v>2023</v>
      </c>
      <c r="W855" t="str">
        <f>TEXT(Table1[[#This Row],[Order Date]],"mmm")</f>
        <v>Aug</v>
      </c>
      <c r="X855">
        <f t="shared" si="39"/>
        <v>4.7792000000000003</v>
      </c>
      <c r="Y855" t="str">
        <f t="shared" si="40"/>
        <v>Profit</v>
      </c>
      <c r="Z855" t="str">
        <f t="shared" si="41"/>
        <v>Low</v>
      </c>
    </row>
    <row r="856" spans="1:26" x14ac:dyDescent="0.35">
      <c r="A856" s="1">
        <v>855</v>
      </c>
      <c r="B856" s="2" t="s">
        <v>2691</v>
      </c>
      <c r="C856" s="3">
        <v>45142</v>
      </c>
      <c r="D856" s="3">
        <v>45147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</v>
      </c>
      <c r="T856" s="1">
        <v>0</v>
      </c>
      <c r="U856" s="1">
        <v>219.44159999999999</v>
      </c>
      <c r="V856">
        <f>YEAR(Table1[[#This Row],[Order Date]])</f>
        <v>2023</v>
      </c>
      <c r="W856" t="str">
        <f>TEXT(Table1[[#This Row],[Order Date]],"mmm")</f>
        <v>Aug</v>
      </c>
      <c r="X856">
        <f t="shared" si="39"/>
        <v>27.430199999999999</v>
      </c>
      <c r="Y856" t="str">
        <f t="shared" si="40"/>
        <v>Profit</v>
      </c>
      <c r="Z856" t="str">
        <f t="shared" si="41"/>
        <v>No Discount</v>
      </c>
    </row>
    <row r="857" spans="1:26" x14ac:dyDescent="0.35">
      <c r="A857" s="1">
        <v>856</v>
      </c>
      <c r="B857" s="2" t="s">
        <v>2686</v>
      </c>
      <c r="C857" s="3">
        <v>45142</v>
      </c>
      <c r="D857" s="3">
        <v>45146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</v>
      </c>
      <c r="T857" s="1">
        <v>0</v>
      </c>
      <c r="U857" s="1">
        <v>124.6752</v>
      </c>
      <c r="V857">
        <f>YEAR(Table1[[#This Row],[Order Date]])</f>
        <v>2023</v>
      </c>
      <c r="W857" t="str">
        <f>TEXT(Table1[[#This Row],[Order Date]],"mmm")</f>
        <v>Aug</v>
      </c>
      <c r="X857">
        <f t="shared" si="39"/>
        <v>9.5904000000000007</v>
      </c>
      <c r="Y857" t="str">
        <f t="shared" si="40"/>
        <v>Profit</v>
      </c>
      <c r="Z857" t="str">
        <f t="shared" si="41"/>
        <v>No Discount</v>
      </c>
    </row>
    <row r="858" spans="1:26" x14ac:dyDescent="0.35">
      <c r="A858" s="1">
        <v>857</v>
      </c>
      <c r="B858" s="2" t="s">
        <v>2691</v>
      </c>
      <c r="C858" s="3">
        <v>45142</v>
      </c>
      <c r="D858" s="3">
        <v>45147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</v>
      </c>
      <c r="T858" s="1">
        <v>0</v>
      </c>
      <c r="U858" s="1">
        <v>7.9449999999999932</v>
      </c>
      <c r="V858">
        <f>YEAR(Table1[[#This Row],[Order Date]])</f>
        <v>2023</v>
      </c>
      <c r="W858" t="str">
        <f>TEXT(Table1[[#This Row],[Order Date]],"mmm")</f>
        <v>Aug</v>
      </c>
      <c r="X858">
        <f t="shared" si="39"/>
        <v>1.5889999999999986</v>
      </c>
      <c r="Y858" t="str">
        <f t="shared" si="40"/>
        <v>Profit</v>
      </c>
      <c r="Z858" t="str">
        <f t="shared" si="41"/>
        <v>No Discount</v>
      </c>
    </row>
    <row r="859" spans="1:26" x14ac:dyDescent="0.35">
      <c r="A859" s="1">
        <v>858</v>
      </c>
      <c r="B859" s="2" t="s">
        <v>2686</v>
      </c>
      <c r="C859" s="3">
        <v>45142</v>
      </c>
      <c r="D859" s="3">
        <v>45146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</v>
      </c>
      <c r="T859" s="1">
        <v>0</v>
      </c>
      <c r="U859" s="1">
        <v>104.7222</v>
      </c>
      <c r="V859">
        <f>YEAR(Table1[[#This Row],[Order Date]])</f>
        <v>2023</v>
      </c>
      <c r="W859" t="str">
        <f>TEXT(Table1[[#This Row],[Order Date]],"mmm")</f>
        <v>Aug</v>
      </c>
      <c r="X859">
        <f t="shared" si="39"/>
        <v>11.6358</v>
      </c>
      <c r="Y859" t="str">
        <f t="shared" si="40"/>
        <v>Profit</v>
      </c>
      <c r="Z859" t="str">
        <f t="shared" si="41"/>
        <v>No Discount</v>
      </c>
    </row>
    <row r="860" spans="1:26" x14ac:dyDescent="0.35">
      <c r="A860" s="1">
        <v>859</v>
      </c>
      <c r="B860" s="2" t="s">
        <v>2691</v>
      </c>
      <c r="C860" s="3">
        <v>45142</v>
      </c>
      <c r="D860" s="3">
        <v>45147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399.96000000000004</v>
      </c>
      <c r="S860" s="1">
        <v>5</v>
      </c>
      <c r="T860" s="1">
        <v>0.2</v>
      </c>
      <c r="U860" s="1">
        <v>34.996499999999969</v>
      </c>
      <c r="V860">
        <f>YEAR(Table1[[#This Row],[Order Date]])</f>
        <v>2023</v>
      </c>
      <c r="W860" t="str">
        <f>TEXT(Table1[[#This Row],[Order Date]],"mmm")</f>
        <v>Aug</v>
      </c>
      <c r="X860">
        <f t="shared" si="39"/>
        <v>6.9992999999999936</v>
      </c>
      <c r="Y860" t="str">
        <f t="shared" si="40"/>
        <v>Profit</v>
      </c>
      <c r="Z860" t="str">
        <f t="shared" si="41"/>
        <v>Low</v>
      </c>
    </row>
    <row r="861" spans="1:26" x14ac:dyDescent="0.35">
      <c r="A861" s="1">
        <v>860</v>
      </c>
      <c r="B861" s="2" t="s">
        <v>2707</v>
      </c>
      <c r="C861" s="3">
        <v>45143</v>
      </c>
      <c r="D861" s="3">
        <v>45145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1133.3499999999999</v>
      </c>
      <c r="S861" s="1">
        <v>5</v>
      </c>
      <c r="T861" s="1">
        <v>0</v>
      </c>
      <c r="U861" s="1">
        <v>294.67100000000005</v>
      </c>
      <c r="V861">
        <f>YEAR(Table1[[#This Row],[Order Date]])</f>
        <v>2023</v>
      </c>
      <c r="W861" t="str">
        <f>TEXT(Table1[[#This Row],[Order Date]],"mmm")</f>
        <v>Aug</v>
      </c>
      <c r="X861">
        <f t="shared" si="39"/>
        <v>58.934200000000011</v>
      </c>
      <c r="Y861" t="str">
        <f t="shared" si="40"/>
        <v>Profit</v>
      </c>
      <c r="Z861" t="str">
        <f t="shared" si="41"/>
        <v>No Discount</v>
      </c>
    </row>
    <row r="862" spans="1:26" x14ac:dyDescent="0.35">
      <c r="A862" s="1">
        <v>861</v>
      </c>
      <c r="B862" s="2" t="s">
        <v>2712</v>
      </c>
      <c r="C862" s="3">
        <v>45143</v>
      </c>
      <c r="D862" s="3">
        <v>45147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340.14400000000006</v>
      </c>
      <c r="S862" s="1">
        <v>7</v>
      </c>
      <c r="T862" s="1">
        <v>0.2</v>
      </c>
      <c r="U862" s="1">
        <v>21.259</v>
      </c>
      <c r="V862">
        <f>YEAR(Table1[[#This Row],[Order Date]])</f>
        <v>2023</v>
      </c>
      <c r="W862" t="str">
        <f>TEXT(Table1[[#This Row],[Order Date]],"mmm")</f>
        <v>Aug</v>
      </c>
      <c r="X862">
        <f t="shared" si="39"/>
        <v>3.0369999999999999</v>
      </c>
      <c r="Y862" t="str">
        <f t="shared" si="40"/>
        <v>Profit</v>
      </c>
      <c r="Z862" t="str">
        <f t="shared" si="41"/>
        <v>Low</v>
      </c>
    </row>
    <row r="863" spans="1:26" x14ac:dyDescent="0.35">
      <c r="A863" s="1">
        <v>862</v>
      </c>
      <c r="B863" s="2" t="s">
        <v>2717</v>
      </c>
      <c r="C863" s="3">
        <v>45143</v>
      </c>
      <c r="D863" s="3">
        <v>45150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489.22999999999996</v>
      </c>
      <c r="S863" s="1">
        <v>2</v>
      </c>
      <c r="T863" s="1">
        <v>0.3</v>
      </c>
      <c r="U863" s="1">
        <v>41.933999999999997</v>
      </c>
      <c r="V863">
        <f>YEAR(Table1[[#This Row],[Order Date]])</f>
        <v>2023</v>
      </c>
      <c r="W863" t="str">
        <f>TEXT(Table1[[#This Row],[Order Date]],"mmm")</f>
        <v>Aug</v>
      </c>
      <c r="X863">
        <f t="shared" si="39"/>
        <v>20.966999999999999</v>
      </c>
      <c r="Y863" t="str">
        <f t="shared" si="40"/>
        <v>Profit</v>
      </c>
      <c r="Z863" t="str">
        <f t="shared" si="41"/>
        <v>Medium</v>
      </c>
    </row>
    <row r="864" spans="1:26" x14ac:dyDescent="0.35">
      <c r="A864" s="1">
        <v>863</v>
      </c>
      <c r="B864" s="2" t="s">
        <v>2707</v>
      </c>
      <c r="C864" s="3">
        <v>45143</v>
      </c>
      <c r="D864" s="3">
        <v>45145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</v>
      </c>
      <c r="T864" s="1">
        <v>0</v>
      </c>
      <c r="U864" s="1">
        <v>22.251600000000003</v>
      </c>
      <c r="V864">
        <f>YEAR(Table1[[#This Row],[Order Date]])</f>
        <v>2023</v>
      </c>
      <c r="W864" t="str">
        <f>TEXT(Table1[[#This Row],[Order Date]],"mmm")</f>
        <v>Aug</v>
      </c>
      <c r="X864">
        <f t="shared" si="39"/>
        <v>7.4172000000000011</v>
      </c>
      <c r="Y864" t="str">
        <f t="shared" si="40"/>
        <v>Profit</v>
      </c>
      <c r="Z864" t="str">
        <f t="shared" si="41"/>
        <v>No Discount</v>
      </c>
    </row>
    <row r="865" spans="1:26" x14ac:dyDescent="0.35">
      <c r="A865" s="1">
        <v>864</v>
      </c>
      <c r="B865" s="2" t="s">
        <v>2707</v>
      </c>
      <c r="C865" s="3">
        <v>45143</v>
      </c>
      <c r="D865" s="3">
        <v>45145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  <c r="V865">
        <f>YEAR(Table1[[#This Row],[Order Date]])</f>
        <v>2023</v>
      </c>
      <c r="W865" t="str">
        <f>TEXT(Table1[[#This Row],[Order Date]],"mmm")</f>
        <v>Aug</v>
      </c>
      <c r="X865">
        <f t="shared" si="39"/>
        <v>1.0032000000000001</v>
      </c>
      <c r="Y865" t="str">
        <f t="shared" si="40"/>
        <v>Profit</v>
      </c>
      <c r="Z865" t="str">
        <f t="shared" si="41"/>
        <v>No Discount</v>
      </c>
    </row>
    <row r="866" spans="1:26" x14ac:dyDescent="0.35">
      <c r="A866" s="1">
        <v>865</v>
      </c>
      <c r="B866" s="2" t="s">
        <v>2725</v>
      </c>
      <c r="C866" s="3">
        <v>45143</v>
      </c>
      <c r="D866" s="3">
        <v>45149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15.959999999999999</v>
      </c>
      <c r="S866" s="1">
        <v>7</v>
      </c>
      <c r="T866" s="1">
        <v>0</v>
      </c>
      <c r="U866" s="1">
        <v>7.0224000000000011</v>
      </c>
      <c r="V866">
        <f>YEAR(Table1[[#This Row],[Order Date]])</f>
        <v>2023</v>
      </c>
      <c r="W866" t="str">
        <f>TEXT(Table1[[#This Row],[Order Date]],"mmm")</f>
        <v>Aug</v>
      </c>
      <c r="X866">
        <f t="shared" si="39"/>
        <v>1.0032000000000001</v>
      </c>
      <c r="Y866" t="str">
        <f t="shared" si="40"/>
        <v>Profit</v>
      </c>
      <c r="Z866" t="str">
        <f t="shared" si="41"/>
        <v>No Discount</v>
      </c>
    </row>
    <row r="867" spans="1:26" x14ac:dyDescent="0.35">
      <c r="A867" s="1">
        <v>866</v>
      </c>
      <c r="B867" s="2" t="s">
        <v>2726</v>
      </c>
      <c r="C867" s="3">
        <v>45143</v>
      </c>
      <c r="D867" s="3">
        <v>45149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</v>
      </c>
      <c r="T867" s="1">
        <v>0</v>
      </c>
      <c r="U867" s="1">
        <v>12.874400000000001</v>
      </c>
      <c r="V867">
        <f>YEAR(Table1[[#This Row],[Order Date]])</f>
        <v>2023</v>
      </c>
      <c r="W867" t="str">
        <f>TEXT(Table1[[#This Row],[Order Date]],"mmm")</f>
        <v>Aug</v>
      </c>
      <c r="X867">
        <f t="shared" si="39"/>
        <v>6.4372000000000007</v>
      </c>
      <c r="Y867" t="str">
        <f t="shared" si="40"/>
        <v>Profit</v>
      </c>
      <c r="Z867" t="str">
        <f t="shared" si="41"/>
        <v>No Discount</v>
      </c>
    </row>
    <row r="868" spans="1:26" x14ac:dyDescent="0.35">
      <c r="A868" s="1">
        <v>867</v>
      </c>
      <c r="B868" s="2" t="s">
        <v>2712</v>
      </c>
      <c r="C868" s="3">
        <v>45143</v>
      </c>
      <c r="D868" s="3">
        <v>45147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</v>
      </c>
      <c r="T868" s="1">
        <v>0</v>
      </c>
      <c r="U868" s="1">
        <v>9.841800000000001</v>
      </c>
      <c r="V868">
        <f>YEAR(Table1[[#This Row],[Order Date]])</f>
        <v>2023</v>
      </c>
      <c r="W868" t="str">
        <f>TEXT(Table1[[#This Row],[Order Date]],"mmm")</f>
        <v>Aug</v>
      </c>
      <c r="X868">
        <f t="shared" si="39"/>
        <v>3.2806000000000002</v>
      </c>
      <c r="Y868" t="str">
        <f t="shared" si="40"/>
        <v>Profit</v>
      </c>
      <c r="Z868" t="str">
        <f t="shared" si="41"/>
        <v>No Discount</v>
      </c>
    </row>
    <row r="869" spans="1:26" x14ac:dyDescent="0.35">
      <c r="A869" s="1">
        <v>868</v>
      </c>
      <c r="B869" s="2" t="s">
        <v>2712</v>
      </c>
      <c r="C869" s="3">
        <v>45143</v>
      </c>
      <c r="D869" s="3">
        <v>45147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</v>
      </c>
      <c r="T869" s="1">
        <v>0</v>
      </c>
      <c r="U869" s="1">
        <v>53.260799999999996</v>
      </c>
      <c r="V869">
        <f>YEAR(Table1[[#This Row],[Order Date]])</f>
        <v>2023</v>
      </c>
      <c r="W869" t="str">
        <f>TEXT(Table1[[#This Row],[Order Date]],"mmm")</f>
        <v>Aug</v>
      </c>
      <c r="X869">
        <f t="shared" si="39"/>
        <v>26.630399999999998</v>
      </c>
      <c r="Y869" t="str">
        <f t="shared" si="40"/>
        <v>Profit</v>
      </c>
      <c r="Z869" t="str">
        <f t="shared" si="41"/>
        <v>No Discount</v>
      </c>
    </row>
    <row r="870" spans="1:26" x14ac:dyDescent="0.35">
      <c r="A870" s="1">
        <v>869</v>
      </c>
      <c r="B870" s="2" t="s">
        <v>2726</v>
      </c>
      <c r="C870" s="3">
        <v>45143</v>
      </c>
      <c r="D870" s="3">
        <v>45149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</v>
      </c>
      <c r="T870" s="1">
        <v>0</v>
      </c>
      <c r="U870" s="1">
        <v>0.63119999999999798</v>
      </c>
      <c r="V870">
        <f>YEAR(Table1[[#This Row],[Order Date]])</f>
        <v>2023</v>
      </c>
      <c r="W870" t="str">
        <f>TEXT(Table1[[#This Row],[Order Date]],"mmm")</f>
        <v>Aug</v>
      </c>
      <c r="X870">
        <f t="shared" si="39"/>
        <v>0.31559999999999899</v>
      </c>
      <c r="Y870" t="str">
        <f t="shared" si="40"/>
        <v>Profit</v>
      </c>
      <c r="Z870" t="str">
        <f t="shared" si="41"/>
        <v>No Discount</v>
      </c>
    </row>
    <row r="871" spans="1:26" x14ac:dyDescent="0.35">
      <c r="A871" s="1">
        <v>870</v>
      </c>
      <c r="B871" s="2" t="s">
        <v>2726</v>
      </c>
      <c r="C871" s="3">
        <v>45143</v>
      </c>
      <c r="D871" s="3">
        <v>45149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</v>
      </c>
      <c r="T871" s="1">
        <v>0</v>
      </c>
      <c r="U871" s="1">
        <v>1.6359999999999992</v>
      </c>
      <c r="V871">
        <f>YEAR(Table1[[#This Row],[Order Date]])</f>
        <v>2023</v>
      </c>
      <c r="W871" t="str">
        <f>TEXT(Table1[[#This Row],[Order Date]],"mmm")</f>
        <v>Aug</v>
      </c>
      <c r="X871">
        <f t="shared" si="39"/>
        <v>1.6359999999999992</v>
      </c>
      <c r="Y871" t="str">
        <f t="shared" si="40"/>
        <v>Profit</v>
      </c>
      <c r="Z871" t="str">
        <f t="shared" si="41"/>
        <v>No Discount</v>
      </c>
    </row>
    <row r="872" spans="1:26" x14ac:dyDescent="0.35">
      <c r="A872" s="1">
        <v>871</v>
      </c>
      <c r="B872" s="2" t="s">
        <v>2725</v>
      </c>
      <c r="C872" s="3">
        <v>45143</v>
      </c>
      <c r="D872" s="3">
        <v>45149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</v>
      </c>
      <c r="T872" s="1">
        <v>0</v>
      </c>
      <c r="U872" s="1">
        <v>36.717300000000009</v>
      </c>
      <c r="V872">
        <f>YEAR(Table1[[#This Row],[Order Date]])</f>
        <v>2023</v>
      </c>
      <c r="W872" t="str">
        <f>TEXT(Table1[[#This Row],[Order Date]],"mmm")</f>
        <v>Aug</v>
      </c>
      <c r="X872">
        <f t="shared" si="39"/>
        <v>36.717300000000009</v>
      </c>
      <c r="Y872" t="str">
        <f t="shared" si="40"/>
        <v>Profit</v>
      </c>
      <c r="Z872" t="str">
        <f t="shared" si="41"/>
        <v>No Discount</v>
      </c>
    </row>
    <row r="873" spans="1:26" x14ac:dyDescent="0.35">
      <c r="A873" s="1">
        <v>872</v>
      </c>
      <c r="B873" s="2" t="s">
        <v>2736</v>
      </c>
      <c r="C873" s="3">
        <v>45144</v>
      </c>
      <c r="D873" s="3">
        <v>45149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</v>
      </c>
      <c r="T873" s="1">
        <v>0</v>
      </c>
      <c r="U873" s="1">
        <v>22.647599999999997</v>
      </c>
      <c r="V873">
        <f>YEAR(Table1[[#This Row],[Order Date]])</f>
        <v>2023</v>
      </c>
      <c r="W873" t="str">
        <f>TEXT(Table1[[#This Row],[Order Date]],"mmm")</f>
        <v>Aug</v>
      </c>
      <c r="X873">
        <f t="shared" si="39"/>
        <v>7.549199999999999</v>
      </c>
      <c r="Y873" t="str">
        <f t="shared" si="40"/>
        <v>Profit</v>
      </c>
      <c r="Z873" t="str">
        <f t="shared" si="41"/>
        <v>No Discount</v>
      </c>
    </row>
    <row r="874" spans="1:26" x14ac:dyDescent="0.35">
      <c r="A874" s="1">
        <v>873</v>
      </c>
      <c r="B874" s="2" t="s">
        <v>2739</v>
      </c>
      <c r="C874" s="3">
        <v>45144</v>
      </c>
      <c r="D874" s="3">
        <v>45149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</v>
      </c>
      <c r="T874" s="1">
        <v>0</v>
      </c>
      <c r="U874" s="1">
        <v>83.991600000000005</v>
      </c>
      <c r="V874">
        <f>YEAR(Table1[[#This Row],[Order Date]])</f>
        <v>2023</v>
      </c>
      <c r="W874" t="str">
        <f>TEXT(Table1[[#This Row],[Order Date]],"mmm")</f>
        <v>Aug</v>
      </c>
      <c r="X874">
        <f t="shared" si="39"/>
        <v>41.995800000000003</v>
      </c>
      <c r="Y874" t="str">
        <f t="shared" si="40"/>
        <v>Profit</v>
      </c>
      <c r="Z874" t="str">
        <f t="shared" si="41"/>
        <v>No Discount</v>
      </c>
    </row>
    <row r="875" spans="1:26" x14ac:dyDescent="0.35">
      <c r="A875" s="1">
        <v>874</v>
      </c>
      <c r="B875" s="2" t="s">
        <v>2744</v>
      </c>
      <c r="C875" s="3">
        <v>45146</v>
      </c>
      <c r="D875" s="3">
        <v>45148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155.45600000000002</v>
      </c>
      <c r="S875" s="1">
        <v>4</v>
      </c>
      <c r="T875" s="1">
        <v>0.2</v>
      </c>
      <c r="U875" s="1">
        <v>-7.7727999999999895</v>
      </c>
      <c r="V875">
        <f>YEAR(Table1[[#This Row],[Order Date]])</f>
        <v>2023</v>
      </c>
      <c r="W875" t="str">
        <f>TEXT(Table1[[#This Row],[Order Date]],"mmm")</f>
        <v>Aug</v>
      </c>
      <c r="X875">
        <f t="shared" si="39"/>
        <v>-1.9431999999999974</v>
      </c>
      <c r="Y875" t="str">
        <f t="shared" si="40"/>
        <v>Loss</v>
      </c>
      <c r="Z875" t="str">
        <f t="shared" si="41"/>
        <v>Low</v>
      </c>
    </row>
    <row r="876" spans="1:26" x14ac:dyDescent="0.35">
      <c r="A876" s="1">
        <v>875</v>
      </c>
      <c r="B876" s="2" t="s">
        <v>2749</v>
      </c>
      <c r="C876" s="3">
        <v>45146</v>
      </c>
      <c r="D876" s="3">
        <v>45152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</v>
      </c>
      <c r="T876" s="1">
        <v>0.2</v>
      </c>
      <c r="U876" s="1">
        <v>-3.0344000000000122</v>
      </c>
      <c r="V876">
        <f>YEAR(Table1[[#This Row],[Order Date]])</f>
        <v>2023</v>
      </c>
      <c r="W876" t="str">
        <f>TEXT(Table1[[#This Row],[Order Date]],"mmm")</f>
        <v>Aug</v>
      </c>
      <c r="X876">
        <f t="shared" si="39"/>
        <v>-0.75860000000000305</v>
      </c>
      <c r="Y876" t="str">
        <f t="shared" si="40"/>
        <v>Loss</v>
      </c>
      <c r="Z876" t="str">
        <f t="shared" si="41"/>
        <v>Low</v>
      </c>
    </row>
    <row r="877" spans="1:26" x14ac:dyDescent="0.35">
      <c r="A877" s="1">
        <v>876</v>
      </c>
      <c r="B877" s="2" t="s">
        <v>2754</v>
      </c>
      <c r="C877" s="3">
        <v>45146</v>
      </c>
      <c r="D877" s="3">
        <v>45153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</v>
      </c>
      <c r="T877" s="1">
        <v>0</v>
      </c>
      <c r="U877" s="1">
        <v>91.772800000000018</v>
      </c>
      <c r="V877">
        <f>YEAR(Table1[[#This Row],[Order Date]])</f>
        <v>2023</v>
      </c>
      <c r="W877" t="str">
        <f>TEXT(Table1[[#This Row],[Order Date]],"mmm")</f>
        <v>Aug</v>
      </c>
      <c r="X877">
        <f t="shared" si="39"/>
        <v>11.471600000000002</v>
      </c>
      <c r="Y877" t="str">
        <f t="shared" si="40"/>
        <v>Profit</v>
      </c>
      <c r="Z877" t="str">
        <f t="shared" si="41"/>
        <v>No Discount</v>
      </c>
    </row>
    <row r="878" spans="1:26" x14ac:dyDescent="0.35">
      <c r="A878" s="1">
        <v>877</v>
      </c>
      <c r="B878" s="2" t="s">
        <v>2757</v>
      </c>
      <c r="C878" s="3">
        <v>45146</v>
      </c>
      <c r="D878" s="3">
        <v>45150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</v>
      </c>
      <c r="T878" s="1">
        <v>0</v>
      </c>
      <c r="U878" s="1">
        <v>22.629600000000003</v>
      </c>
      <c r="V878">
        <f>YEAR(Table1[[#This Row],[Order Date]])</f>
        <v>2023</v>
      </c>
      <c r="W878" t="str">
        <f>TEXT(Table1[[#This Row],[Order Date]],"mmm")</f>
        <v>Aug</v>
      </c>
      <c r="X878">
        <f t="shared" si="39"/>
        <v>3.7716000000000007</v>
      </c>
      <c r="Y878" t="str">
        <f t="shared" si="40"/>
        <v>Profit</v>
      </c>
      <c r="Z878" t="str">
        <f t="shared" si="41"/>
        <v>No Discount</v>
      </c>
    </row>
    <row r="879" spans="1:26" x14ac:dyDescent="0.35">
      <c r="A879" s="1">
        <v>878</v>
      </c>
      <c r="B879" s="2" t="s">
        <v>2757</v>
      </c>
      <c r="C879" s="3">
        <v>45146</v>
      </c>
      <c r="D879" s="3">
        <v>45150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</v>
      </c>
      <c r="T879" s="1">
        <v>0.1</v>
      </c>
      <c r="U879" s="1">
        <v>37.229999999999983</v>
      </c>
      <c r="V879">
        <f>YEAR(Table1[[#This Row],[Order Date]])</f>
        <v>2023</v>
      </c>
      <c r="W879" t="str">
        <f>TEXT(Table1[[#This Row],[Order Date]],"mmm")</f>
        <v>Aug</v>
      </c>
      <c r="X879">
        <f t="shared" si="39"/>
        <v>12.409999999999995</v>
      </c>
      <c r="Y879" t="str">
        <f t="shared" si="40"/>
        <v>Profit</v>
      </c>
      <c r="Z879" t="str">
        <f t="shared" si="41"/>
        <v>Low</v>
      </c>
    </row>
    <row r="880" spans="1:26" x14ac:dyDescent="0.35">
      <c r="A880" s="1">
        <v>879</v>
      </c>
      <c r="B880" s="2" t="s">
        <v>2754</v>
      </c>
      <c r="C880" s="3">
        <v>45146</v>
      </c>
      <c r="D880" s="3">
        <v>45153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</v>
      </c>
      <c r="T880" s="1">
        <v>0</v>
      </c>
      <c r="U880" s="1">
        <v>22.074799999999996</v>
      </c>
      <c r="V880">
        <f>YEAR(Table1[[#This Row],[Order Date]])</f>
        <v>2023</v>
      </c>
      <c r="W880" t="str">
        <f>TEXT(Table1[[#This Row],[Order Date]],"mmm")</f>
        <v>Aug</v>
      </c>
      <c r="X880">
        <f t="shared" si="39"/>
        <v>11.037399999999998</v>
      </c>
      <c r="Y880" t="str">
        <f t="shared" si="40"/>
        <v>Profit</v>
      </c>
      <c r="Z880" t="str">
        <f t="shared" si="41"/>
        <v>No Discount</v>
      </c>
    </row>
    <row r="881" spans="1:26" x14ac:dyDescent="0.35">
      <c r="A881" s="1">
        <v>880</v>
      </c>
      <c r="B881" s="2" t="s">
        <v>2757</v>
      </c>
      <c r="C881" s="3">
        <v>45146</v>
      </c>
      <c r="D881" s="3">
        <v>45150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38.339999999999996</v>
      </c>
      <c r="S881" s="1">
        <v>3</v>
      </c>
      <c r="T881" s="1">
        <v>0</v>
      </c>
      <c r="U881" s="1">
        <v>17.253</v>
      </c>
      <c r="V881">
        <f>YEAR(Table1[[#This Row],[Order Date]])</f>
        <v>2023</v>
      </c>
      <c r="W881" t="str">
        <f>TEXT(Table1[[#This Row],[Order Date]],"mmm")</f>
        <v>Aug</v>
      </c>
      <c r="X881">
        <f t="shared" si="39"/>
        <v>5.7510000000000003</v>
      </c>
      <c r="Y881" t="str">
        <f t="shared" si="40"/>
        <v>Profit</v>
      </c>
      <c r="Z881" t="str">
        <f t="shared" si="41"/>
        <v>No Discount</v>
      </c>
    </row>
    <row r="882" spans="1:26" x14ac:dyDescent="0.35">
      <c r="A882" s="1">
        <v>881</v>
      </c>
      <c r="B882" s="2" t="s">
        <v>2769</v>
      </c>
      <c r="C882" s="3">
        <v>45146</v>
      </c>
      <c r="D882" s="3">
        <v>45149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</v>
      </c>
      <c r="T882" s="1">
        <v>0</v>
      </c>
      <c r="U882" s="1">
        <v>110.05279999999999</v>
      </c>
      <c r="V882">
        <f>YEAR(Table1[[#This Row],[Order Date]])</f>
        <v>2023</v>
      </c>
      <c r="W882" t="str">
        <f>TEXT(Table1[[#This Row],[Order Date]],"mmm")</f>
        <v>Aug</v>
      </c>
      <c r="X882">
        <f t="shared" si="39"/>
        <v>10.004799999999999</v>
      </c>
      <c r="Y882" t="str">
        <f t="shared" si="40"/>
        <v>Profit</v>
      </c>
      <c r="Z882" t="str">
        <f t="shared" si="41"/>
        <v>No Discount</v>
      </c>
    </row>
    <row r="883" spans="1:26" x14ac:dyDescent="0.35">
      <c r="A883" s="1">
        <v>882</v>
      </c>
      <c r="B883" s="2" t="s">
        <v>2749</v>
      </c>
      <c r="C883" s="3">
        <v>45146</v>
      </c>
      <c r="D883" s="3">
        <v>45152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95.976000000000013</v>
      </c>
      <c r="S883" s="1">
        <v>3</v>
      </c>
      <c r="T883" s="1">
        <v>0.2</v>
      </c>
      <c r="U883" s="1">
        <v>-10.797300000000011</v>
      </c>
      <c r="V883">
        <f>YEAR(Table1[[#This Row],[Order Date]])</f>
        <v>2023</v>
      </c>
      <c r="W883" t="str">
        <f>TEXT(Table1[[#This Row],[Order Date]],"mmm")</f>
        <v>Aug</v>
      </c>
      <c r="X883">
        <f t="shared" si="39"/>
        <v>-3.5991000000000035</v>
      </c>
      <c r="Y883" t="str">
        <f t="shared" si="40"/>
        <v>Loss</v>
      </c>
      <c r="Z883" t="str">
        <f t="shared" si="41"/>
        <v>Low</v>
      </c>
    </row>
    <row r="884" spans="1:26" x14ac:dyDescent="0.35">
      <c r="A884" s="1">
        <v>883</v>
      </c>
      <c r="B884" s="2" t="s">
        <v>2757</v>
      </c>
      <c r="C884" s="3">
        <v>45146</v>
      </c>
      <c r="D884" s="3">
        <v>45150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</v>
      </c>
      <c r="T884" s="1">
        <v>0</v>
      </c>
      <c r="U884" s="1">
        <v>274.995</v>
      </c>
      <c r="V884">
        <f>YEAR(Table1[[#This Row],[Order Date]])</f>
        <v>2023</v>
      </c>
      <c r="W884" t="str">
        <f>TEXT(Table1[[#This Row],[Order Date]],"mmm")</f>
        <v>Aug</v>
      </c>
      <c r="X884">
        <f t="shared" si="39"/>
        <v>274.995</v>
      </c>
      <c r="Y884" t="str">
        <f t="shared" si="40"/>
        <v>Profit</v>
      </c>
      <c r="Z884" t="str">
        <f t="shared" si="41"/>
        <v>No Discount</v>
      </c>
    </row>
    <row r="885" spans="1:26" x14ac:dyDescent="0.35">
      <c r="A885" s="1">
        <v>884</v>
      </c>
      <c r="B885" s="2" t="s">
        <v>2754</v>
      </c>
      <c r="C885" s="3">
        <v>45146</v>
      </c>
      <c r="D885" s="3">
        <v>45153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>
        <f>YEAR(Table1[[#This Row],[Order Date]])</f>
        <v>2023</v>
      </c>
      <c r="W885" t="str">
        <f>TEXT(Table1[[#This Row],[Order Date]],"mmm")</f>
        <v>Aug</v>
      </c>
      <c r="X885">
        <f t="shared" si="39"/>
        <v>144.99710000000002</v>
      </c>
      <c r="Y885" t="str">
        <f t="shared" si="40"/>
        <v>Profit</v>
      </c>
      <c r="Z885" t="str">
        <f t="shared" si="41"/>
        <v>Low</v>
      </c>
    </row>
    <row r="886" spans="1:26" x14ac:dyDescent="0.35">
      <c r="A886" s="1">
        <v>885</v>
      </c>
      <c r="B886" s="2" t="s">
        <v>2757</v>
      </c>
      <c r="C886" s="3">
        <v>45146</v>
      </c>
      <c r="D886" s="3">
        <v>45150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</v>
      </c>
      <c r="T886" s="1">
        <v>0</v>
      </c>
      <c r="U886" s="1">
        <v>83.994400000000013</v>
      </c>
      <c r="V886">
        <f>YEAR(Table1[[#This Row],[Order Date]])</f>
        <v>2023</v>
      </c>
      <c r="W886" t="str">
        <f>TEXT(Table1[[#This Row],[Order Date]],"mmm")</f>
        <v>Aug</v>
      </c>
      <c r="X886">
        <f t="shared" si="39"/>
        <v>41.997200000000007</v>
      </c>
      <c r="Y886" t="str">
        <f t="shared" si="40"/>
        <v>Profit</v>
      </c>
      <c r="Z886" t="str">
        <f t="shared" si="41"/>
        <v>No Discount</v>
      </c>
    </row>
    <row r="887" spans="1:26" x14ac:dyDescent="0.35">
      <c r="A887" s="1">
        <v>886</v>
      </c>
      <c r="B887" s="2" t="s">
        <v>2754</v>
      </c>
      <c r="C887" s="3">
        <v>45146</v>
      </c>
      <c r="D887" s="3">
        <v>45153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445.96000000000004</v>
      </c>
      <c r="S887" s="1">
        <v>5</v>
      </c>
      <c r="T887" s="1">
        <v>0.2</v>
      </c>
      <c r="U887" s="1">
        <v>55.744999999999948</v>
      </c>
      <c r="V887">
        <f>YEAR(Table1[[#This Row],[Order Date]])</f>
        <v>2023</v>
      </c>
      <c r="W887" t="str">
        <f>TEXT(Table1[[#This Row],[Order Date]],"mmm")</f>
        <v>Aug</v>
      </c>
      <c r="X887">
        <f t="shared" si="39"/>
        <v>11.14899999999999</v>
      </c>
      <c r="Y887" t="str">
        <f t="shared" si="40"/>
        <v>Profit</v>
      </c>
      <c r="Z887" t="str">
        <f t="shared" si="41"/>
        <v>Low</v>
      </c>
    </row>
    <row r="888" spans="1:26" x14ac:dyDescent="0.35">
      <c r="A888" s="1">
        <v>887</v>
      </c>
      <c r="B888" s="2" t="s">
        <v>2781</v>
      </c>
      <c r="C888" s="3">
        <v>45146</v>
      </c>
      <c r="D888" s="3">
        <v>45148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>
        <v>113.92</v>
      </c>
      <c r="S888" s="4">
        <v>2</v>
      </c>
      <c r="T888" s="4">
        <v>0</v>
      </c>
      <c r="U888" s="4">
        <v>33.04</v>
      </c>
      <c r="V888">
        <f>YEAR(Table1[[#This Row],[Order Date]])</f>
        <v>2023</v>
      </c>
      <c r="W888" t="str">
        <f>TEXT(Table1[[#This Row],[Order Date]],"mmm")</f>
        <v>Aug</v>
      </c>
      <c r="X888">
        <f t="shared" si="39"/>
        <v>16.52</v>
      </c>
      <c r="Y888" t="str">
        <f t="shared" si="40"/>
        <v>Profit</v>
      </c>
      <c r="Z888" t="str">
        <f t="shared" si="41"/>
        <v>No Discount</v>
      </c>
    </row>
    <row r="889" spans="1:26" x14ac:dyDescent="0.35">
      <c r="A889" s="1">
        <v>888</v>
      </c>
      <c r="B889" s="2" t="s">
        <v>2781</v>
      </c>
      <c r="C889" s="3">
        <v>45146</v>
      </c>
      <c r="D889" s="3">
        <v>45148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>
        <v>39.659999999999997</v>
      </c>
      <c r="S889" s="4">
        <v>2</v>
      </c>
      <c r="T889" s="4">
        <v>0</v>
      </c>
      <c r="U889" s="4">
        <v>11.9</v>
      </c>
      <c r="V889">
        <f>YEAR(Table1[[#This Row],[Order Date]])</f>
        <v>2023</v>
      </c>
      <c r="W889" t="str">
        <f>TEXT(Table1[[#This Row],[Order Date]],"mmm")</f>
        <v>Aug</v>
      </c>
      <c r="X889">
        <f t="shared" si="39"/>
        <v>5.95</v>
      </c>
      <c r="Y889" t="str">
        <f t="shared" si="40"/>
        <v>Profit</v>
      </c>
      <c r="Z889" t="str">
        <f t="shared" si="41"/>
        <v>No Discount</v>
      </c>
    </row>
    <row r="890" spans="1:26" x14ac:dyDescent="0.35">
      <c r="A890" s="1">
        <v>889</v>
      </c>
      <c r="B890" s="2" t="s">
        <v>2781</v>
      </c>
      <c r="C890" s="3">
        <v>45146</v>
      </c>
      <c r="D890" s="3">
        <v>45148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>
        <v>447.86</v>
      </c>
      <c r="S890" s="4">
        <v>7</v>
      </c>
      <c r="T890" s="4">
        <v>0</v>
      </c>
      <c r="U890" s="4">
        <v>210.49</v>
      </c>
      <c r="V890">
        <f>YEAR(Table1[[#This Row],[Order Date]])</f>
        <v>2023</v>
      </c>
      <c r="W890" t="str">
        <f>TEXT(Table1[[#This Row],[Order Date]],"mmm")</f>
        <v>Aug</v>
      </c>
      <c r="X890">
        <f t="shared" si="39"/>
        <v>30.07</v>
      </c>
      <c r="Y890" t="str">
        <f t="shared" si="40"/>
        <v>Profit</v>
      </c>
      <c r="Z890" t="str">
        <f t="shared" si="41"/>
        <v>No Discount</v>
      </c>
    </row>
    <row r="891" spans="1:26" x14ac:dyDescent="0.35">
      <c r="A891" s="1">
        <v>890</v>
      </c>
      <c r="B891" s="2" t="s">
        <v>2791</v>
      </c>
      <c r="C891" s="3">
        <v>45147</v>
      </c>
      <c r="D891" s="3">
        <v>45151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9.3450000000000024</v>
      </c>
      <c r="S891" s="1">
        <v>5</v>
      </c>
      <c r="T891" s="1">
        <v>0.7</v>
      </c>
      <c r="U891" s="1">
        <v>-6.5414999999999992</v>
      </c>
      <c r="V891">
        <f>YEAR(Table1[[#This Row],[Order Date]])</f>
        <v>2023</v>
      </c>
      <c r="W891" t="str">
        <f>TEXT(Table1[[#This Row],[Order Date]],"mmm")</f>
        <v>Aug</v>
      </c>
      <c r="X891">
        <f t="shared" si="39"/>
        <v>-1.3082999999999998</v>
      </c>
      <c r="Y891" t="str">
        <f t="shared" si="40"/>
        <v>Loss</v>
      </c>
      <c r="Z891" t="str">
        <f t="shared" si="41"/>
        <v>High</v>
      </c>
    </row>
    <row r="892" spans="1:26" x14ac:dyDescent="0.35">
      <c r="A892" s="1">
        <v>891</v>
      </c>
      <c r="B892" s="2" t="s">
        <v>2792</v>
      </c>
      <c r="C892" s="3">
        <v>45147</v>
      </c>
      <c r="D892" s="3">
        <v>45151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>
        <f>YEAR(Table1[[#This Row],[Order Date]])</f>
        <v>2023</v>
      </c>
      <c r="W892" t="str">
        <f>TEXT(Table1[[#This Row],[Order Date]],"mmm")</f>
        <v>Aug</v>
      </c>
      <c r="X892">
        <f t="shared" si="39"/>
        <v>91.997499999999988</v>
      </c>
      <c r="Y892" t="str">
        <f t="shared" si="40"/>
        <v>Profit</v>
      </c>
      <c r="Z892" t="str">
        <f t="shared" si="41"/>
        <v>Low</v>
      </c>
    </row>
    <row r="893" spans="1:26" x14ac:dyDescent="0.35">
      <c r="A893" s="1">
        <v>892</v>
      </c>
      <c r="B893" s="2" t="s">
        <v>2791</v>
      </c>
      <c r="C893" s="3">
        <v>45147</v>
      </c>
      <c r="D893" s="3">
        <v>45151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4.4640000000000004</v>
      </c>
      <c r="S893" s="1">
        <v>3</v>
      </c>
      <c r="T893" s="1">
        <v>0.2</v>
      </c>
      <c r="U893" s="1">
        <v>-0.94859999999999989</v>
      </c>
      <c r="V893">
        <f>YEAR(Table1[[#This Row],[Order Date]])</f>
        <v>2023</v>
      </c>
      <c r="W893" t="str">
        <f>TEXT(Table1[[#This Row],[Order Date]],"mmm")</f>
        <v>Aug</v>
      </c>
      <c r="X893">
        <f t="shared" si="39"/>
        <v>-0.31619999999999998</v>
      </c>
      <c r="Y893" t="str">
        <f t="shared" si="40"/>
        <v>Loss</v>
      </c>
      <c r="Z893" t="str">
        <f t="shared" si="41"/>
        <v>Low</v>
      </c>
    </row>
    <row r="894" spans="1:26" x14ac:dyDescent="0.35">
      <c r="A894" s="1">
        <v>893</v>
      </c>
      <c r="B894" s="2" t="s">
        <v>2799</v>
      </c>
      <c r="C894" s="3">
        <v>45147</v>
      </c>
      <c r="D894" s="3">
        <v>45154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</v>
      </c>
      <c r="T894" s="1">
        <v>0</v>
      </c>
      <c r="U894" s="1">
        <v>9.6047999999999991</v>
      </c>
      <c r="V894">
        <f>YEAR(Table1[[#This Row],[Order Date]])</f>
        <v>2023</v>
      </c>
      <c r="W894" t="str">
        <f>TEXT(Table1[[#This Row],[Order Date]],"mmm")</f>
        <v>Aug</v>
      </c>
      <c r="X894">
        <f t="shared" si="39"/>
        <v>1.2005999999999999</v>
      </c>
      <c r="Y894" t="str">
        <f t="shared" si="40"/>
        <v>Profit</v>
      </c>
      <c r="Z894" t="str">
        <f t="shared" si="41"/>
        <v>No Discount</v>
      </c>
    </row>
    <row r="895" spans="1:26" x14ac:dyDescent="0.35">
      <c r="A895" s="1">
        <v>894</v>
      </c>
      <c r="B895" s="2" t="s">
        <v>2804</v>
      </c>
      <c r="C895" s="3">
        <v>45147</v>
      </c>
      <c r="D895" s="3">
        <v>45152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</v>
      </c>
      <c r="T895" s="1">
        <v>0</v>
      </c>
      <c r="U895" s="1">
        <v>2.6909999999999998</v>
      </c>
      <c r="V895">
        <f>YEAR(Table1[[#This Row],[Order Date]])</f>
        <v>2023</v>
      </c>
      <c r="W895" t="str">
        <f>TEXT(Table1[[#This Row],[Order Date]],"mmm")</f>
        <v>Aug</v>
      </c>
      <c r="X895">
        <f t="shared" si="39"/>
        <v>2.6909999999999998</v>
      </c>
      <c r="Y895" t="str">
        <f t="shared" si="40"/>
        <v>Profit</v>
      </c>
      <c r="Z895" t="str">
        <f t="shared" si="41"/>
        <v>No Discount</v>
      </c>
    </row>
    <row r="896" spans="1:26" x14ac:dyDescent="0.35">
      <c r="A896" s="1">
        <v>895</v>
      </c>
      <c r="B896" s="2" t="s">
        <v>2809</v>
      </c>
      <c r="C896" s="3">
        <v>45147</v>
      </c>
      <c r="D896" s="3">
        <v>45154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15.552000000000003</v>
      </c>
      <c r="S896" s="1">
        <v>3</v>
      </c>
      <c r="T896" s="1">
        <v>0.2</v>
      </c>
      <c r="U896" s="1">
        <v>5.4432</v>
      </c>
      <c r="V896">
        <f>YEAR(Table1[[#This Row],[Order Date]])</f>
        <v>2023</v>
      </c>
      <c r="W896" t="str">
        <f>TEXT(Table1[[#This Row],[Order Date]],"mmm")</f>
        <v>Aug</v>
      </c>
      <c r="X896">
        <f t="shared" si="39"/>
        <v>1.8144</v>
      </c>
      <c r="Y896" t="str">
        <f t="shared" si="40"/>
        <v>Profit</v>
      </c>
      <c r="Z896" t="str">
        <f t="shared" si="41"/>
        <v>Low</v>
      </c>
    </row>
    <row r="897" spans="1:26" x14ac:dyDescent="0.35">
      <c r="A897" s="1">
        <v>896</v>
      </c>
      <c r="B897" s="2" t="s">
        <v>2814</v>
      </c>
      <c r="C897" s="3">
        <v>45147</v>
      </c>
      <c r="D897" s="3">
        <v>45151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219.16800000000001</v>
      </c>
      <c r="S897" s="1">
        <v>2</v>
      </c>
      <c r="T897" s="1">
        <v>0.2</v>
      </c>
      <c r="U897" s="1">
        <v>-43.833600000000018</v>
      </c>
      <c r="V897">
        <f>YEAR(Table1[[#This Row],[Order Date]])</f>
        <v>2023</v>
      </c>
      <c r="W897" t="str">
        <f>TEXT(Table1[[#This Row],[Order Date]],"mmm")</f>
        <v>Aug</v>
      </c>
      <c r="X897">
        <f t="shared" si="39"/>
        <v>-21.916800000000009</v>
      </c>
      <c r="Y897" t="str">
        <f t="shared" si="40"/>
        <v>Loss</v>
      </c>
      <c r="Z897" t="str">
        <f t="shared" si="41"/>
        <v>Low</v>
      </c>
    </row>
    <row r="898" spans="1:26" x14ac:dyDescent="0.35">
      <c r="A898" s="1">
        <v>897</v>
      </c>
      <c r="B898" s="2" t="s">
        <v>2814</v>
      </c>
      <c r="C898" s="3">
        <v>45147</v>
      </c>
      <c r="D898" s="3">
        <v>45151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1091.1680000000001</v>
      </c>
      <c r="S898" s="1">
        <v>4</v>
      </c>
      <c r="T898" s="1">
        <v>0.2</v>
      </c>
      <c r="U898" s="1">
        <v>68.197999999999979</v>
      </c>
      <c r="V898">
        <f>YEAR(Table1[[#This Row],[Order Date]])</f>
        <v>2023</v>
      </c>
      <c r="W898" t="str">
        <f>TEXT(Table1[[#This Row],[Order Date]],"mmm")</f>
        <v>Aug</v>
      </c>
      <c r="X898">
        <f t="shared" ref="X898:X961" si="42">IFERROR(U898/S898,0)</f>
        <v>17.049499999999995</v>
      </c>
      <c r="Y898" t="str">
        <f t="shared" ref="Y898:Y961" si="43">IF(U898&gt;0,"Profit",IF(U898&lt;0,"Loss","Break-even"))</f>
        <v>Profit</v>
      </c>
      <c r="Z898" t="str">
        <f t="shared" ref="Z898:Z961" si="44">IF(T898=0,"No Discount",IF(T898&lt;=0.2,"Low",IF(T898&lt;=0.4,"Medium","High")))</f>
        <v>Low</v>
      </c>
    </row>
    <row r="899" spans="1:26" x14ac:dyDescent="0.35">
      <c r="A899" s="1">
        <v>898</v>
      </c>
      <c r="B899" s="2" t="s">
        <v>2809</v>
      </c>
      <c r="C899" s="3">
        <v>45147</v>
      </c>
      <c r="D899" s="3">
        <v>45154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178.38400000000001</v>
      </c>
      <c r="S899" s="1">
        <v>2</v>
      </c>
      <c r="T899" s="1">
        <v>0.2</v>
      </c>
      <c r="U899" s="1">
        <v>22.297999999999973</v>
      </c>
      <c r="V899">
        <f>YEAR(Table1[[#This Row],[Order Date]])</f>
        <v>2023</v>
      </c>
      <c r="W899" t="str">
        <f>TEXT(Table1[[#This Row],[Order Date]],"mmm")</f>
        <v>Aug</v>
      </c>
      <c r="X899">
        <f t="shared" si="42"/>
        <v>11.148999999999987</v>
      </c>
      <c r="Y899" t="str">
        <f t="shared" si="43"/>
        <v>Profit</v>
      </c>
      <c r="Z899" t="str">
        <f t="shared" si="44"/>
        <v>Low</v>
      </c>
    </row>
    <row r="900" spans="1:26" x14ac:dyDescent="0.35">
      <c r="A900" s="1">
        <v>899</v>
      </c>
      <c r="B900" s="2" t="s">
        <v>2820</v>
      </c>
      <c r="C900" s="3">
        <v>45149</v>
      </c>
      <c r="D900" s="3">
        <v>45153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</v>
      </c>
      <c r="T900" s="1">
        <v>0</v>
      </c>
      <c r="U900" s="1">
        <v>5.4340000000000002</v>
      </c>
      <c r="V900">
        <f>YEAR(Table1[[#This Row],[Order Date]])</f>
        <v>2023</v>
      </c>
      <c r="W900" t="str">
        <f>TEXT(Table1[[#This Row],[Order Date]],"mmm")</f>
        <v>Aug</v>
      </c>
      <c r="X900">
        <f t="shared" si="42"/>
        <v>5.4340000000000002</v>
      </c>
      <c r="Y900" t="str">
        <f t="shared" si="43"/>
        <v>Profit</v>
      </c>
      <c r="Z900" t="str">
        <f t="shared" si="44"/>
        <v>No Discount</v>
      </c>
    </row>
    <row r="901" spans="1:26" x14ac:dyDescent="0.35">
      <c r="A901" s="1">
        <v>900</v>
      </c>
      <c r="B901" s="2" t="s">
        <v>2820</v>
      </c>
      <c r="C901" s="3">
        <v>45149</v>
      </c>
      <c r="D901" s="3">
        <v>45153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</v>
      </c>
      <c r="T901" s="1">
        <v>0</v>
      </c>
      <c r="U901" s="1">
        <v>10.652200000000001</v>
      </c>
      <c r="V901">
        <f>YEAR(Table1[[#This Row],[Order Date]])</f>
        <v>2023</v>
      </c>
      <c r="W901" t="str">
        <f>TEXT(Table1[[#This Row],[Order Date]],"mmm")</f>
        <v>Aug</v>
      </c>
      <c r="X901">
        <f t="shared" si="42"/>
        <v>10.652200000000001</v>
      </c>
      <c r="Y901" t="str">
        <f t="shared" si="43"/>
        <v>Profit</v>
      </c>
      <c r="Z901" t="str">
        <f t="shared" si="44"/>
        <v>No Discount</v>
      </c>
    </row>
    <row r="902" spans="1:26" x14ac:dyDescent="0.35">
      <c r="A902" s="1">
        <v>901</v>
      </c>
      <c r="B902" s="2" t="s">
        <v>2820</v>
      </c>
      <c r="C902" s="3">
        <v>45149</v>
      </c>
      <c r="D902" s="3">
        <v>45153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</v>
      </c>
      <c r="T902" s="1">
        <v>0</v>
      </c>
      <c r="U902" s="1">
        <v>10.7912</v>
      </c>
      <c r="V902">
        <f>YEAR(Table1[[#This Row],[Order Date]])</f>
        <v>2023</v>
      </c>
      <c r="W902" t="str">
        <f>TEXT(Table1[[#This Row],[Order Date]],"mmm")</f>
        <v>Aug</v>
      </c>
      <c r="X902">
        <f t="shared" si="42"/>
        <v>5.3956</v>
      </c>
      <c r="Y902" t="str">
        <f t="shared" si="43"/>
        <v>Profit</v>
      </c>
      <c r="Z902" t="str">
        <f t="shared" si="44"/>
        <v>No Discount</v>
      </c>
    </row>
    <row r="903" spans="1:26" x14ac:dyDescent="0.35">
      <c r="A903" s="1">
        <v>902</v>
      </c>
      <c r="B903" s="2" t="s">
        <v>2827</v>
      </c>
      <c r="C903" s="3">
        <v>45149</v>
      </c>
      <c r="D903" s="3">
        <v>45154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</v>
      </c>
      <c r="T903" s="1">
        <v>0</v>
      </c>
      <c r="U903" s="1">
        <v>18.766999999999996</v>
      </c>
      <c r="V903">
        <f>YEAR(Table1[[#This Row],[Order Date]])</f>
        <v>2023</v>
      </c>
      <c r="W903" t="str">
        <f>TEXT(Table1[[#This Row],[Order Date]],"mmm")</f>
        <v>Aug</v>
      </c>
      <c r="X903">
        <f t="shared" si="42"/>
        <v>18.766999999999996</v>
      </c>
      <c r="Y903" t="str">
        <f t="shared" si="43"/>
        <v>Profit</v>
      </c>
      <c r="Z903" t="str">
        <f t="shared" si="44"/>
        <v>No Discount</v>
      </c>
    </row>
    <row r="904" spans="1:26" x14ac:dyDescent="0.35">
      <c r="A904" s="1">
        <v>903</v>
      </c>
      <c r="B904" s="2" t="s">
        <v>2830</v>
      </c>
      <c r="C904" s="3">
        <v>45150</v>
      </c>
      <c r="D904" s="3">
        <v>45154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</v>
      </c>
      <c r="T904" s="1">
        <v>0</v>
      </c>
      <c r="U904" s="1">
        <v>31.612800000000004</v>
      </c>
      <c r="V904">
        <f>YEAR(Table1[[#This Row],[Order Date]])</f>
        <v>2023</v>
      </c>
      <c r="W904" t="str">
        <f>TEXT(Table1[[#This Row],[Order Date]],"mmm")</f>
        <v>Aug</v>
      </c>
      <c r="X904">
        <f t="shared" si="42"/>
        <v>10.537600000000001</v>
      </c>
      <c r="Y904" t="str">
        <f t="shared" si="43"/>
        <v>Profit</v>
      </c>
      <c r="Z904" t="str">
        <f t="shared" si="44"/>
        <v>No Discount</v>
      </c>
    </row>
    <row r="905" spans="1:26" x14ac:dyDescent="0.35">
      <c r="A905" s="1">
        <v>904</v>
      </c>
      <c r="B905" s="2" t="s">
        <v>2833</v>
      </c>
      <c r="C905" s="3">
        <v>45150</v>
      </c>
      <c r="D905" s="3">
        <v>45154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211.24799999999999</v>
      </c>
      <c r="S905" s="1">
        <v>6</v>
      </c>
      <c r="T905" s="1">
        <v>0.2</v>
      </c>
      <c r="U905" s="1">
        <v>15.843599999999995</v>
      </c>
      <c r="V905">
        <f>YEAR(Table1[[#This Row],[Order Date]])</f>
        <v>2023</v>
      </c>
      <c r="W905" t="str">
        <f>TEXT(Table1[[#This Row],[Order Date]],"mmm")</f>
        <v>Aug</v>
      </c>
      <c r="X905">
        <f t="shared" si="42"/>
        <v>2.6405999999999992</v>
      </c>
      <c r="Y905" t="str">
        <f t="shared" si="43"/>
        <v>Profit</v>
      </c>
      <c r="Z905" t="str">
        <f t="shared" si="44"/>
        <v>Low</v>
      </c>
    </row>
    <row r="906" spans="1:26" x14ac:dyDescent="0.35">
      <c r="A906" s="1">
        <v>905</v>
      </c>
      <c r="B906" s="2" t="s">
        <v>2833</v>
      </c>
      <c r="C906" s="3">
        <v>45150</v>
      </c>
      <c r="D906" s="3">
        <v>45154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</v>
      </c>
      <c r="T906" s="1">
        <v>0.2</v>
      </c>
      <c r="U906" s="1">
        <v>4.196499999999995</v>
      </c>
      <c r="V906">
        <f>YEAR(Table1[[#This Row],[Order Date]])</f>
        <v>2023</v>
      </c>
      <c r="W906" t="str">
        <f>TEXT(Table1[[#This Row],[Order Date]],"mmm")</f>
        <v>Aug</v>
      </c>
      <c r="X906">
        <f t="shared" si="42"/>
        <v>0.83929999999999905</v>
      </c>
      <c r="Y906" t="str">
        <f t="shared" si="43"/>
        <v>Profit</v>
      </c>
      <c r="Z906" t="str">
        <f t="shared" si="44"/>
        <v>Low</v>
      </c>
    </row>
    <row r="907" spans="1:26" x14ac:dyDescent="0.35">
      <c r="A907" s="1">
        <v>906</v>
      </c>
      <c r="B907" s="2" t="s">
        <v>2840</v>
      </c>
      <c r="C907" s="3">
        <v>45150</v>
      </c>
      <c r="D907" s="3">
        <v>45151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</v>
      </c>
      <c r="T907" s="1">
        <v>0</v>
      </c>
      <c r="U907" s="1">
        <v>6.7392000000000003</v>
      </c>
      <c r="V907">
        <f>YEAR(Table1[[#This Row],[Order Date]])</f>
        <v>2023</v>
      </c>
      <c r="W907" t="str">
        <f>TEXT(Table1[[#This Row],[Order Date]],"mmm")</f>
        <v>Aug</v>
      </c>
      <c r="X907">
        <f t="shared" si="42"/>
        <v>2.2464</v>
      </c>
      <c r="Y907" t="str">
        <f t="shared" si="43"/>
        <v>Profit</v>
      </c>
      <c r="Z907" t="str">
        <f t="shared" si="44"/>
        <v>No Discount</v>
      </c>
    </row>
    <row r="908" spans="1:26" x14ac:dyDescent="0.35">
      <c r="A908" s="1">
        <v>907</v>
      </c>
      <c r="B908" s="2" t="s">
        <v>2843</v>
      </c>
      <c r="C908" s="3">
        <v>45150</v>
      </c>
      <c r="D908" s="3">
        <v>45154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</v>
      </c>
      <c r="T908" s="1">
        <v>0</v>
      </c>
      <c r="U908" s="1">
        <v>98.105000000000004</v>
      </c>
      <c r="V908">
        <f>YEAR(Table1[[#This Row],[Order Date]])</f>
        <v>2023</v>
      </c>
      <c r="W908" t="str">
        <f>TEXT(Table1[[#This Row],[Order Date]],"mmm")</f>
        <v>Aug</v>
      </c>
      <c r="X908">
        <f t="shared" si="42"/>
        <v>14.015000000000001</v>
      </c>
      <c r="Y908" t="str">
        <f t="shared" si="43"/>
        <v>Profit</v>
      </c>
      <c r="Z908" t="str">
        <f t="shared" si="44"/>
        <v>No Discount</v>
      </c>
    </row>
    <row r="909" spans="1:26" x14ac:dyDescent="0.35">
      <c r="A909" s="1">
        <v>908</v>
      </c>
      <c r="B909" s="2" t="s">
        <v>2833</v>
      </c>
      <c r="C909" s="3">
        <v>45150</v>
      </c>
      <c r="D909" s="3">
        <v>45154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</v>
      </c>
      <c r="T909" s="1">
        <v>0.2</v>
      </c>
      <c r="U909" s="1">
        <v>0.99629999999999996</v>
      </c>
      <c r="V909">
        <f>YEAR(Table1[[#This Row],[Order Date]])</f>
        <v>2023</v>
      </c>
      <c r="W909" t="str">
        <f>TEXT(Table1[[#This Row],[Order Date]],"mmm")</f>
        <v>Aug</v>
      </c>
      <c r="X909">
        <f t="shared" si="42"/>
        <v>0.99629999999999996</v>
      </c>
      <c r="Y909" t="str">
        <f t="shared" si="43"/>
        <v>Profit</v>
      </c>
      <c r="Z909" t="str">
        <f t="shared" si="44"/>
        <v>Low</v>
      </c>
    </row>
    <row r="910" spans="1:26" x14ac:dyDescent="0.35">
      <c r="A910" s="1">
        <v>909</v>
      </c>
      <c r="B910" s="2" t="s">
        <v>2833</v>
      </c>
      <c r="C910" s="3">
        <v>45150</v>
      </c>
      <c r="D910" s="3">
        <v>45154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31.104000000000006</v>
      </c>
      <c r="S910" s="1">
        <v>6</v>
      </c>
      <c r="T910" s="1">
        <v>0.2</v>
      </c>
      <c r="U910" s="1">
        <v>10.8864</v>
      </c>
      <c r="V910">
        <f>YEAR(Table1[[#This Row],[Order Date]])</f>
        <v>2023</v>
      </c>
      <c r="W910" t="str">
        <f>TEXT(Table1[[#This Row],[Order Date]],"mmm")</f>
        <v>Aug</v>
      </c>
      <c r="X910">
        <f t="shared" si="42"/>
        <v>1.8144</v>
      </c>
      <c r="Y910" t="str">
        <f t="shared" si="43"/>
        <v>Profit</v>
      </c>
      <c r="Z910" t="str">
        <f t="shared" si="44"/>
        <v>Low</v>
      </c>
    </row>
    <row r="911" spans="1:26" x14ac:dyDescent="0.35">
      <c r="A911" s="1">
        <v>910</v>
      </c>
      <c r="B911" s="2" t="s">
        <v>2833</v>
      </c>
      <c r="C911" s="3">
        <v>45150</v>
      </c>
      <c r="D911" s="3">
        <v>45154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5.5520000000000005</v>
      </c>
      <c r="S911" s="1">
        <v>2</v>
      </c>
      <c r="T911" s="1">
        <v>0.2</v>
      </c>
      <c r="U911" s="1">
        <v>-1.0410000000000006</v>
      </c>
      <c r="V911">
        <f>YEAR(Table1[[#This Row],[Order Date]])</f>
        <v>2023</v>
      </c>
      <c r="W911" t="str">
        <f>TEXT(Table1[[#This Row],[Order Date]],"mmm")</f>
        <v>Aug</v>
      </c>
      <c r="X911">
        <f t="shared" si="42"/>
        <v>-0.5205000000000003</v>
      </c>
      <c r="Y911" t="str">
        <f t="shared" si="43"/>
        <v>Loss</v>
      </c>
      <c r="Z911" t="str">
        <f t="shared" si="44"/>
        <v>Low</v>
      </c>
    </row>
    <row r="912" spans="1:26" x14ac:dyDescent="0.35">
      <c r="A912" s="1">
        <v>911</v>
      </c>
      <c r="B912" s="2" t="s">
        <v>2840</v>
      </c>
      <c r="C912" s="3">
        <v>45150</v>
      </c>
      <c r="D912" s="3">
        <v>45151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</v>
      </c>
      <c r="T912" s="1">
        <v>0</v>
      </c>
      <c r="U912" s="1">
        <v>98.139599999999987</v>
      </c>
      <c r="V912">
        <f>YEAR(Table1[[#This Row],[Order Date]])</f>
        <v>2023</v>
      </c>
      <c r="W912" t="str">
        <f>TEXT(Table1[[#This Row],[Order Date]],"mmm")</f>
        <v>Aug</v>
      </c>
      <c r="X912">
        <f t="shared" si="42"/>
        <v>7.549199999999999</v>
      </c>
      <c r="Y912" t="str">
        <f t="shared" si="43"/>
        <v>Profit</v>
      </c>
      <c r="Z912" t="str">
        <f t="shared" si="44"/>
        <v>No Discount</v>
      </c>
    </row>
    <row r="913" spans="1:26" x14ac:dyDescent="0.35">
      <c r="A913" s="1">
        <v>912</v>
      </c>
      <c r="B913" s="2" t="s">
        <v>2833</v>
      </c>
      <c r="C913" s="3">
        <v>45150</v>
      </c>
      <c r="D913" s="3">
        <v>45154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</v>
      </c>
      <c r="T913" s="1">
        <v>0.2</v>
      </c>
      <c r="U913" s="1">
        <v>41.718599999999995</v>
      </c>
      <c r="V913">
        <f>YEAR(Table1[[#This Row],[Order Date]])</f>
        <v>2023</v>
      </c>
      <c r="W913" t="str">
        <f>TEXT(Table1[[#This Row],[Order Date]],"mmm")</f>
        <v>Aug</v>
      </c>
      <c r="X913">
        <f t="shared" si="42"/>
        <v>5.9597999999999995</v>
      </c>
      <c r="Y913" t="str">
        <f t="shared" si="43"/>
        <v>Profit</v>
      </c>
      <c r="Z913" t="str">
        <f t="shared" si="44"/>
        <v>Low</v>
      </c>
    </row>
    <row r="914" spans="1:26" x14ac:dyDescent="0.35">
      <c r="A914" s="1">
        <v>913</v>
      </c>
      <c r="B914" s="2" t="s">
        <v>2830</v>
      </c>
      <c r="C914" s="3">
        <v>45150</v>
      </c>
      <c r="D914" s="3">
        <v>45154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806.33600000000001</v>
      </c>
      <c r="S914" s="1">
        <v>8</v>
      </c>
      <c r="T914" s="1">
        <v>0.2</v>
      </c>
      <c r="U914" s="1">
        <v>50.396000000000015</v>
      </c>
      <c r="V914">
        <f>YEAR(Table1[[#This Row],[Order Date]])</f>
        <v>2023</v>
      </c>
      <c r="W914" t="str">
        <f>TEXT(Table1[[#This Row],[Order Date]],"mmm")</f>
        <v>Aug</v>
      </c>
      <c r="X914">
        <f t="shared" si="42"/>
        <v>6.2995000000000019</v>
      </c>
      <c r="Y914" t="str">
        <f t="shared" si="43"/>
        <v>Profit</v>
      </c>
      <c r="Z914" t="str">
        <f t="shared" si="44"/>
        <v>Low</v>
      </c>
    </row>
    <row r="915" spans="1:26" x14ac:dyDescent="0.35">
      <c r="A915" s="1">
        <v>914</v>
      </c>
      <c r="B915" s="2" t="s">
        <v>2854</v>
      </c>
      <c r="C915" s="3">
        <v>45153</v>
      </c>
      <c r="D915" s="3">
        <v>45157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</v>
      </c>
      <c r="T915" s="1">
        <v>0.2</v>
      </c>
      <c r="U915" s="1">
        <v>-12.196000000000005</v>
      </c>
      <c r="V915">
        <f>YEAR(Table1[[#This Row],[Order Date]])</f>
        <v>2023</v>
      </c>
      <c r="W915" t="str">
        <f>TEXT(Table1[[#This Row],[Order Date]],"mmm")</f>
        <v>Aug</v>
      </c>
      <c r="X915">
        <f t="shared" si="42"/>
        <v>-3.0490000000000013</v>
      </c>
      <c r="Y915" t="str">
        <f t="shared" si="43"/>
        <v>Loss</v>
      </c>
      <c r="Z915" t="str">
        <f t="shared" si="44"/>
        <v>Low</v>
      </c>
    </row>
    <row r="916" spans="1:26" x14ac:dyDescent="0.35">
      <c r="A916" s="1">
        <v>915</v>
      </c>
      <c r="B916" s="2" t="s">
        <v>2854</v>
      </c>
      <c r="C916" s="3">
        <v>45153</v>
      </c>
      <c r="D916" s="3">
        <v>45157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</v>
      </c>
      <c r="T916" s="1">
        <v>0</v>
      </c>
      <c r="U916" s="1">
        <v>42.814799999999998</v>
      </c>
      <c r="V916">
        <f>YEAR(Table1[[#This Row],[Order Date]])</f>
        <v>2023</v>
      </c>
      <c r="W916" t="str">
        <f>TEXT(Table1[[#This Row],[Order Date]],"mmm")</f>
        <v>Aug</v>
      </c>
      <c r="X916">
        <f t="shared" si="42"/>
        <v>14.271599999999999</v>
      </c>
      <c r="Y916" t="str">
        <f t="shared" si="43"/>
        <v>Profit</v>
      </c>
      <c r="Z916" t="str">
        <f t="shared" si="44"/>
        <v>No Discount</v>
      </c>
    </row>
    <row r="917" spans="1:26" x14ac:dyDescent="0.35">
      <c r="A917" s="1">
        <v>916</v>
      </c>
      <c r="B917" s="2" t="s">
        <v>2859</v>
      </c>
      <c r="C917" s="3">
        <v>45153</v>
      </c>
      <c r="D917" s="3">
        <v>45155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</v>
      </c>
      <c r="T917" s="1">
        <v>0.2</v>
      </c>
      <c r="U917" s="1">
        <v>17.126999999999988</v>
      </c>
      <c r="V917">
        <f>YEAR(Table1[[#This Row],[Order Date]])</f>
        <v>2023</v>
      </c>
      <c r="W917" t="str">
        <f>TEXT(Table1[[#This Row],[Order Date]],"mmm")</f>
        <v>Aug</v>
      </c>
      <c r="X917">
        <f t="shared" si="42"/>
        <v>3.4253999999999976</v>
      </c>
      <c r="Y917" t="str">
        <f t="shared" si="43"/>
        <v>Profit</v>
      </c>
      <c r="Z917" t="str">
        <f t="shared" si="44"/>
        <v>Low</v>
      </c>
    </row>
    <row r="918" spans="1:26" x14ac:dyDescent="0.35">
      <c r="A918" s="1">
        <v>917</v>
      </c>
      <c r="B918" s="2" t="s">
        <v>2863</v>
      </c>
      <c r="C918" s="3">
        <v>45153</v>
      </c>
      <c r="D918" s="3">
        <v>45156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</v>
      </c>
      <c r="T918" s="1">
        <v>0</v>
      </c>
      <c r="U918" s="1">
        <v>30.211199999999998</v>
      </c>
      <c r="V918">
        <f>YEAR(Table1[[#This Row],[Order Date]])</f>
        <v>2023</v>
      </c>
      <c r="W918" t="str">
        <f>TEXT(Table1[[#This Row],[Order Date]],"mmm")</f>
        <v>Aug</v>
      </c>
      <c r="X918">
        <f t="shared" si="42"/>
        <v>10.070399999999999</v>
      </c>
      <c r="Y918" t="str">
        <f t="shared" si="43"/>
        <v>Profit</v>
      </c>
      <c r="Z918" t="str">
        <f t="shared" si="44"/>
        <v>No Discount</v>
      </c>
    </row>
    <row r="919" spans="1:26" x14ac:dyDescent="0.35">
      <c r="A919" s="1">
        <v>918</v>
      </c>
      <c r="B919" s="2" t="s">
        <v>2854</v>
      </c>
      <c r="C919" s="3">
        <v>45153</v>
      </c>
      <c r="D919" s="3">
        <v>45157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17.856000000000002</v>
      </c>
      <c r="S919" s="1">
        <v>4</v>
      </c>
      <c r="T919" s="1">
        <v>0.2</v>
      </c>
      <c r="U919" s="1">
        <v>6.2495999999999992</v>
      </c>
      <c r="V919">
        <f>YEAR(Table1[[#This Row],[Order Date]])</f>
        <v>2023</v>
      </c>
      <c r="W919" t="str">
        <f>TEXT(Table1[[#This Row],[Order Date]],"mmm")</f>
        <v>Aug</v>
      </c>
      <c r="X919">
        <f t="shared" si="42"/>
        <v>1.5623999999999998</v>
      </c>
      <c r="Y919" t="str">
        <f t="shared" si="43"/>
        <v>Profit</v>
      </c>
      <c r="Z919" t="str">
        <f t="shared" si="44"/>
        <v>Low</v>
      </c>
    </row>
    <row r="920" spans="1:26" x14ac:dyDescent="0.35">
      <c r="A920" s="1">
        <v>919</v>
      </c>
      <c r="B920" s="2" t="s">
        <v>2869</v>
      </c>
      <c r="C920" s="3">
        <v>45153</v>
      </c>
      <c r="D920" s="3">
        <v>45156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30.959999999999994</v>
      </c>
      <c r="S920" s="1">
        <v>8</v>
      </c>
      <c r="T920" s="1">
        <v>0.8</v>
      </c>
      <c r="U920" s="1">
        <v>-52.632000000000019</v>
      </c>
      <c r="V920">
        <f>YEAR(Table1[[#This Row],[Order Date]])</f>
        <v>2023</v>
      </c>
      <c r="W920" t="str">
        <f>TEXT(Table1[[#This Row],[Order Date]],"mmm")</f>
        <v>Aug</v>
      </c>
      <c r="X920">
        <f t="shared" si="42"/>
        <v>-6.5790000000000024</v>
      </c>
      <c r="Y920" t="str">
        <f t="shared" si="43"/>
        <v>Loss</v>
      </c>
      <c r="Z920" t="str">
        <f t="shared" si="44"/>
        <v>High</v>
      </c>
    </row>
    <row r="921" spans="1:26" x14ac:dyDescent="0.35">
      <c r="A921" s="1">
        <v>920</v>
      </c>
      <c r="B921" s="2" t="s">
        <v>2854</v>
      </c>
      <c r="C921" s="3">
        <v>45153</v>
      </c>
      <c r="D921" s="3">
        <v>45157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46.440000000000005</v>
      </c>
      <c r="S921" s="1">
        <v>3</v>
      </c>
      <c r="T921" s="1">
        <v>0.2</v>
      </c>
      <c r="U921" s="1">
        <v>15.092999999999998</v>
      </c>
      <c r="V921">
        <f>YEAR(Table1[[#This Row],[Order Date]])</f>
        <v>2023</v>
      </c>
      <c r="W921" t="str">
        <f>TEXT(Table1[[#This Row],[Order Date]],"mmm")</f>
        <v>Aug</v>
      </c>
      <c r="X921">
        <f t="shared" si="42"/>
        <v>5.0309999999999997</v>
      </c>
      <c r="Y921" t="str">
        <f t="shared" si="43"/>
        <v>Profit</v>
      </c>
      <c r="Z921" t="str">
        <f t="shared" si="44"/>
        <v>Low</v>
      </c>
    </row>
    <row r="922" spans="1:26" x14ac:dyDescent="0.35">
      <c r="A922" s="1">
        <v>921</v>
      </c>
      <c r="B922" s="2" t="s">
        <v>2854</v>
      </c>
      <c r="C922" s="3">
        <v>45153</v>
      </c>
      <c r="D922" s="3">
        <v>45157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</v>
      </c>
      <c r="T922" s="1">
        <v>0</v>
      </c>
      <c r="U922" s="1">
        <v>41.822999999999993</v>
      </c>
      <c r="V922">
        <f>YEAR(Table1[[#This Row],[Order Date]])</f>
        <v>2023</v>
      </c>
      <c r="W922" t="str">
        <f>TEXT(Table1[[#This Row],[Order Date]],"mmm")</f>
        <v>Aug</v>
      </c>
      <c r="X922">
        <f t="shared" si="42"/>
        <v>13.940999999999997</v>
      </c>
      <c r="Y922" t="str">
        <f t="shared" si="43"/>
        <v>Profit</v>
      </c>
      <c r="Z922" t="str">
        <f t="shared" si="44"/>
        <v>No Discount</v>
      </c>
    </row>
    <row r="923" spans="1:26" x14ac:dyDescent="0.35">
      <c r="A923" s="1">
        <v>922</v>
      </c>
      <c r="B923" s="2" t="s">
        <v>2859</v>
      </c>
      <c r="C923" s="3">
        <v>45153</v>
      </c>
      <c r="D923" s="3">
        <v>45155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91.360000000000014</v>
      </c>
      <c r="S923" s="1">
        <v>5</v>
      </c>
      <c r="T923" s="1">
        <v>0.2</v>
      </c>
      <c r="U923" s="1">
        <v>29.691999999999993</v>
      </c>
      <c r="V923">
        <f>YEAR(Table1[[#This Row],[Order Date]])</f>
        <v>2023</v>
      </c>
      <c r="W923" t="str">
        <f>TEXT(Table1[[#This Row],[Order Date]],"mmm")</f>
        <v>Aug</v>
      </c>
      <c r="X923">
        <f t="shared" si="42"/>
        <v>5.9383999999999988</v>
      </c>
      <c r="Y923" t="str">
        <f t="shared" si="43"/>
        <v>Profit</v>
      </c>
      <c r="Z923" t="str">
        <f t="shared" si="44"/>
        <v>Low</v>
      </c>
    </row>
    <row r="924" spans="1:26" x14ac:dyDescent="0.35">
      <c r="A924" s="1">
        <v>923</v>
      </c>
      <c r="B924" s="2" t="s">
        <v>2874</v>
      </c>
      <c r="C924" s="3">
        <v>45154</v>
      </c>
      <c r="D924" s="3">
        <v>45158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853.09199999999987</v>
      </c>
      <c r="S924" s="1">
        <v>6</v>
      </c>
      <c r="T924" s="1">
        <v>0.4</v>
      </c>
      <c r="U924" s="1">
        <v>-227.49120000000016</v>
      </c>
      <c r="V924">
        <f>YEAR(Table1[[#This Row],[Order Date]])</f>
        <v>2023</v>
      </c>
      <c r="W924" t="str">
        <f>TEXT(Table1[[#This Row],[Order Date]],"mmm")</f>
        <v>Aug</v>
      </c>
      <c r="X924">
        <f t="shared" si="42"/>
        <v>-37.915200000000027</v>
      </c>
      <c r="Y924" t="str">
        <f t="shared" si="43"/>
        <v>Loss</v>
      </c>
      <c r="Z924" t="str">
        <f t="shared" si="44"/>
        <v>Medium</v>
      </c>
    </row>
    <row r="925" spans="1:26" x14ac:dyDescent="0.35">
      <c r="A925" s="1">
        <v>924</v>
      </c>
      <c r="B925" s="2" t="s">
        <v>2877</v>
      </c>
      <c r="C925" s="3">
        <v>45155</v>
      </c>
      <c r="D925" s="3">
        <v>45159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</v>
      </c>
      <c r="T925" s="1">
        <v>0</v>
      </c>
      <c r="U925" s="1">
        <v>8.2615999999999996</v>
      </c>
      <c r="V925">
        <f>YEAR(Table1[[#This Row],[Order Date]])</f>
        <v>2023</v>
      </c>
      <c r="W925" t="str">
        <f>TEXT(Table1[[#This Row],[Order Date]],"mmm")</f>
        <v>Aug</v>
      </c>
      <c r="X925">
        <f t="shared" si="42"/>
        <v>2.0653999999999999</v>
      </c>
      <c r="Y925" t="str">
        <f t="shared" si="43"/>
        <v>Profit</v>
      </c>
      <c r="Z925" t="str">
        <f t="shared" si="44"/>
        <v>No Discount</v>
      </c>
    </row>
    <row r="926" spans="1:26" x14ac:dyDescent="0.35">
      <c r="A926" s="1">
        <v>925</v>
      </c>
      <c r="B926" s="2" t="s">
        <v>2877</v>
      </c>
      <c r="C926" s="3">
        <v>45155</v>
      </c>
      <c r="D926" s="3">
        <v>45159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</v>
      </c>
      <c r="T926" s="1">
        <v>0</v>
      </c>
      <c r="U926" s="1">
        <v>4.5611999999999995</v>
      </c>
      <c r="V926">
        <f>YEAR(Table1[[#This Row],[Order Date]])</f>
        <v>2023</v>
      </c>
      <c r="W926" t="str">
        <f>TEXT(Table1[[#This Row],[Order Date]],"mmm")</f>
        <v>Aug</v>
      </c>
      <c r="X926">
        <f t="shared" si="42"/>
        <v>0.65159999999999996</v>
      </c>
      <c r="Y926" t="str">
        <f t="shared" si="43"/>
        <v>Profit</v>
      </c>
      <c r="Z926" t="str">
        <f t="shared" si="44"/>
        <v>No Discount</v>
      </c>
    </row>
    <row r="927" spans="1:26" x14ac:dyDescent="0.35">
      <c r="A927" s="1">
        <v>926</v>
      </c>
      <c r="B927" s="2" t="s">
        <v>2877</v>
      </c>
      <c r="C927" s="3">
        <v>45155</v>
      </c>
      <c r="D927" s="3">
        <v>45159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</v>
      </c>
      <c r="T927" s="1">
        <v>0</v>
      </c>
      <c r="U927" s="1">
        <v>52.531999999999996</v>
      </c>
      <c r="V927">
        <f>YEAR(Table1[[#This Row],[Order Date]])</f>
        <v>2023</v>
      </c>
      <c r="W927" t="str">
        <f>TEXT(Table1[[#This Row],[Order Date]],"mmm")</f>
        <v>Aug</v>
      </c>
      <c r="X927">
        <f t="shared" si="42"/>
        <v>10.506399999999999</v>
      </c>
      <c r="Y927" t="str">
        <f t="shared" si="43"/>
        <v>Profit</v>
      </c>
      <c r="Z927" t="str">
        <f t="shared" si="44"/>
        <v>No Discount</v>
      </c>
    </row>
    <row r="928" spans="1:26" x14ac:dyDescent="0.35">
      <c r="A928" s="1">
        <v>927</v>
      </c>
      <c r="B928" s="2" t="s">
        <v>2884</v>
      </c>
      <c r="C928" s="3">
        <v>45155</v>
      </c>
      <c r="D928" s="3">
        <v>45161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15.552000000000003</v>
      </c>
      <c r="S928" s="1">
        <v>3</v>
      </c>
      <c r="T928" s="1">
        <v>0.2</v>
      </c>
      <c r="U928" s="1">
        <v>5.4432</v>
      </c>
      <c r="V928">
        <f>YEAR(Table1[[#This Row],[Order Date]])</f>
        <v>2023</v>
      </c>
      <c r="W928" t="str">
        <f>TEXT(Table1[[#This Row],[Order Date]],"mmm")</f>
        <v>Aug</v>
      </c>
      <c r="X928">
        <f t="shared" si="42"/>
        <v>1.8144</v>
      </c>
      <c r="Y928" t="str">
        <f t="shared" si="43"/>
        <v>Profit</v>
      </c>
      <c r="Z928" t="str">
        <f t="shared" si="44"/>
        <v>Low</v>
      </c>
    </row>
    <row r="929" spans="1:26" x14ac:dyDescent="0.35">
      <c r="A929" s="1">
        <v>928</v>
      </c>
      <c r="B929" s="2" t="s">
        <v>2877</v>
      </c>
      <c r="C929" s="3">
        <v>45155</v>
      </c>
      <c r="D929" s="3">
        <v>45159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</v>
      </c>
      <c r="T929" s="1">
        <v>0</v>
      </c>
      <c r="U929" s="1">
        <v>122.38559999999998</v>
      </c>
      <c r="V929">
        <f>YEAR(Table1[[#This Row],[Order Date]])</f>
        <v>2023</v>
      </c>
      <c r="W929" t="str">
        <f>TEXT(Table1[[#This Row],[Order Date]],"mmm")</f>
        <v>Aug</v>
      </c>
      <c r="X929">
        <f t="shared" si="42"/>
        <v>30.596399999999996</v>
      </c>
      <c r="Y929" t="str">
        <f t="shared" si="43"/>
        <v>Profit</v>
      </c>
      <c r="Z929" t="str">
        <f t="shared" si="44"/>
        <v>No Discount</v>
      </c>
    </row>
    <row r="930" spans="1:26" x14ac:dyDescent="0.35">
      <c r="A930" s="1">
        <v>929</v>
      </c>
      <c r="B930" s="2" t="s">
        <v>2889</v>
      </c>
      <c r="C930" s="3">
        <v>45157</v>
      </c>
      <c r="D930" s="3">
        <v>45164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  <c r="V930">
        <f>YEAR(Table1[[#This Row],[Order Date]])</f>
        <v>2023</v>
      </c>
      <c r="W930" t="str">
        <f>TEXT(Table1[[#This Row],[Order Date]],"mmm")</f>
        <v>Aug</v>
      </c>
      <c r="X930">
        <f t="shared" si="42"/>
        <v>19.1646</v>
      </c>
      <c r="Y930" t="str">
        <f t="shared" si="43"/>
        <v>Profit</v>
      </c>
      <c r="Z930" t="str">
        <f t="shared" si="44"/>
        <v>No Discount</v>
      </c>
    </row>
    <row r="931" spans="1:26" x14ac:dyDescent="0.35">
      <c r="A931" s="1">
        <v>930</v>
      </c>
      <c r="B931" s="2" t="s">
        <v>2892</v>
      </c>
      <c r="C931" s="3">
        <v>45157</v>
      </c>
      <c r="D931" s="3">
        <v>45159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</v>
      </c>
      <c r="T931" s="1">
        <v>0</v>
      </c>
      <c r="U931" s="1">
        <v>26.031600000000012</v>
      </c>
      <c r="V931">
        <f>YEAR(Table1[[#This Row],[Order Date]])</f>
        <v>2023</v>
      </c>
      <c r="W931" t="str">
        <f>TEXT(Table1[[#This Row],[Order Date]],"mmm")</f>
        <v>Aug</v>
      </c>
      <c r="X931">
        <f t="shared" si="42"/>
        <v>3.7188000000000017</v>
      </c>
      <c r="Y931" t="str">
        <f t="shared" si="43"/>
        <v>Profit</v>
      </c>
      <c r="Z931" t="str">
        <f t="shared" si="44"/>
        <v>No Discount</v>
      </c>
    </row>
    <row r="932" spans="1:26" x14ac:dyDescent="0.35">
      <c r="A932" s="1">
        <v>931</v>
      </c>
      <c r="B932" s="2" t="s">
        <v>2893</v>
      </c>
      <c r="C932" s="3">
        <v>45157</v>
      </c>
      <c r="D932" s="3">
        <v>45162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</v>
      </c>
      <c r="T932" s="1">
        <v>0.2</v>
      </c>
      <c r="U932" s="1">
        <v>1.7419999999999987</v>
      </c>
      <c r="V932">
        <f>YEAR(Table1[[#This Row],[Order Date]])</f>
        <v>2023</v>
      </c>
      <c r="W932" t="str">
        <f>TEXT(Table1[[#This Row],[Order Date]],"mmm")</f>
        <v>Aug</v>
      </c>
      <c r="X932">
        <f t="shared" si="42"/>
        <v>0.87099999999999933</v>
      </c>
      <c r="Y932" t="str">
        <f t="shared" si="43"/>
        <v>Profit</v>
      </c>
      <c r="Z932" t="str">
        <f t="shared" si="44"/>
        <v>Low</v>
      </c>
    </row>
    <row r="933" spans="1:26" x14ac:dyDescent="0.35">
      <c r="A933" s="1">
        <v>932</v>
      </c>
      <c r="B933" s="2" t="s">
        <v>2892</v>
      </c>
      <c r="C933" s="3">
        <v>45157</v>
      </c>
      <c r="D933" s="3">
        <v>45159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69.456000000000003</v>
      </c>
      <c r="S933" s="1">
        <v>2</v>
      </c>
      <c r="T933" s="1">
        <v>0.2</v>
      </c>
      <c r="U933" s="1">
        <v>22.573199999999996</v>
      </c>
      <c r="V933">
        <f>YEAR(Table1[[#This Row],[Order Date]])</f>
        <v>2023</v>
      </c>
      <c r="W933" t="str">
        <f>TEXT(Table1[[#This Row],[Order Date]],"mmm")</f>
        <v>Aug</v>
      </c>
      <c r="X933">
        <f t="shared" si="42"/>
        <v>11.286599999999998</v>
      </c>
      <c r="Y933" t="str">
        <f t="shared" si="43"/>
        <v>Profit</v>
      </c>
      <c r="Z933" t="str">
        <f t="shared" si="44"/>
        <v>Low</v>
      </c>
    </row>
    <row r="934" spans="1:26" x14ac:dyDescent="0.35">
      <c r="A934" s="1">
        <v>933</v>
      </c>
      <c r="B934" s="2" t="s">
        <v>2898</v>
      </c>
      <c r="C934" s="3">
        <v>45157</v>
      </c>
      <c r="D934" s="3">
        <v>45159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76.77600000000001</v>
      </c>
      <c r="S934" s="1">
        <v>4</v>
      </c>
      <c r="T934" s="1">
        <v>0.7</v>
      </c>
      <c r="U934" s="1">
        <v>-58.861599999999981</v>
      </c>
      <c r="V934">
        <f>YEAR(Table1[[#This Row],[Order Date]])</f>
        <v>2023</v>
      </c>
      <c r="W934" t="str">
        <f>TEXT(Table1[[#This Row],[Order Date]],"mmm")</f>
        <v>Aug</v>
      </c>
      <c r="X934">
        <f t="shared" si="42"/>
        <v>-14.715399999999995</v>
      </c>
      <c r="Y934" t="str">
        <f t="shared" si="43"/>
        <v>Loss</v>
      </c>
      <c r="Z934" t="str">
        <f t="shared" si="44"/>
        <v>High</v>
      </c>
    </row>
    <row r="935" spans="1:26" x14ac:dyDescent="0.35">
      <c r="A935" s="1">
        <v>934</v>
      </c>
      <c r="B935" s="2" t="s">
        <v>2899</v>
      </c>
      <c r="C935" s="3">
        <v>45157</v>
      </c>
      <c r="D935" s="3">
        <v>45161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344.90999999999997</v>
      </c>
      <c r="S935" s="1">
        <v>3</v>
      </c>
      <c r="T935" s="1">
        <v>0</v>
      </c>
      <c r="U935" s="1">
        <v>10.347300000000004</v>
      </c>
      <c r="V935">
        <f>YEAR(Table1[[#This Row],[Order Date]])</f>
        <v>2023</v>
      </c>
      <c r="W935" t="str">
        <f>TEXT(Table1[[#This Row],[Order Date]],"mmm")</f>
        <v>Aug</v>
      </c>
      <c r="X935">
        <f t="shared" si="42"/>
        <v>3.4491000000000014</v>
      </c>
      <c r="Y935" t="str">
        <f t="shared" si="43"/>
        <v>Profit</v>
      </c>
      <c r="Z935" t="str">
        <f t="shared" si="44"/>
        <v>No Discount</v>
      </c>
    </row>
    <row r="936" spans="1:26" x14ac:dyDescent="0.35">
      <c r="A936" s="1">
        <v>935</v>
      </c>
      <c r="B936" s="2" t="s">
        <v>2898</v>
      </c>
      <c r="C936" s="3">
        <v>45157</v>
      </c>
      <c r="D936" s="3">
        <v>45159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9.1840000000000011</v>
      </c>
      <c r="S936" s="1">
        <v>2</v>
      </c>
      <c r="T936" s="1">
        <v>0.2</v>
      </c>
      <c r="U936" s="1">
        <v>1.1479999999999988</v>
      </c>
      <c r="V936">
        <f>YEAR(Table1[[#This Row],[Order Date]])</f>
        <v>2023</v>
      </c>
      <c r="W936" t="str">
        <f>TEXT(Table1[[#This Row],[Order Date]],"mmm")</f>
        <v>Aug</v>
      </c>
      <c r="X936">
        <f t="shared" si="42"/>
        <v>0.5739999999999994</v>
      </c>
      <c r="Y936" t="str">
        <f t="shared" si="43"/>
        <v>Profit</v>
      </c>
      <c r="Z936" t="str">
        <f t="shared" si="44"/>
        <v>Low</v>
      </c>
    </row>
    <row r="937" spans="1:26" x14ac:dyDescent="0.35">
      <c r="A937" s="1">
        <v>936</v>
      </c>
      <c r="B937" s="2" t="s">
        <v>2902</v>
      </c>
      <c r="C937" s="3">
        <v>45157</v>
      </c>
      <c r="D937" s="3">
        <v>45161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7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>
        <v>19.440000000000001</v>
      </c>
      <c r="S937" s="4">
        <v>3</v>
      </c>
      <c r="T937" s="4">
        <v>0</v>
      </c>
      <c r="U937" s="4">
        <v>9.33</v>
      </c>
      <c r="V937">
        <f>YEAR(Table1[[#This Row],[Order Date]])</f>
        <v>2023</v>
      </c>
      <c r="W937" t="str">
        <f>TEXT(Table1[[#This Row],[Order Date]],"mmm")</f>
        <v>Aug</v>
      </c>
      <c r="X937">
        <f t="shared" si="42"/>
        <v>3.11</v>
      </c>
      <c r="Y937" t="str">
        <f t="shared" si="43"/>
        <v>Profit</v>
      </c>
      <c r="Z937" t="str">
        <f t="shared" si="44"/>
        <v>No Discount</v>
      </c>
    </row>
    <row r="938" spans="1:26" x14ac:dyDescent="0.35">
      <c r="A938" s="1">
        <v>937</v>
      </c>
      <c r="B938" s="2" t="s">
        <v>2906</v>
      </c>
      <c r="C938" s="3">
        <v>45157</v>
      </c>
      <c r="D938" s="3">
        <v>45162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7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>
        <v>387.99</v>
      </c>
      <c r="S938" s="4">
        <v>1</v>
      </c>
      <c r="T938" s="4">
        <v>0</v>
      </c>
      <c r="U938" s="4">
        <v>182.36</v>
      </c>
      <c r="V938">
        <f>YEAR(Table1[[#This Row],[Order Date]])</f>
        <v>2023</v>
      </c>
      <c r="W938" t="str">
        <f>TEXT(Table1[[#This Row],[Order Date]],"mmm")</f>
        <v>Aug</v>
      </c>
      <c r="X938">
        <f t="shared" si="42"/>
        <v>182.36</v>
      </c>
      <c r="Y938" t="str">
        <f t="shared" si="43"/>
        <v>Profit</v>
      </c>
      <c r="Z938" t="str">
        <f t="shared" si="44"/>
        <v>No Discount</v>
      </c>
    </row>
    <row r="939" spans="1:26" x14ac:dyDescent="0.35">
      <c r="A939" s="1">
        <v>938</v>
      </c>
      <c r="B939" s="2" t="s">
        <v>2909</v>
      </c>
      <c r="C939" s="3">
        <v>45158</v>
      </c>
      <c r="D939" s="3">
        <v>45163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500.23999999999995</v>
      </c>
      <c r="S939" s="1">
        <v>13</v>
      </c>
      <c r="T939" s="1">
        <v>0</v>
      </c>
      <c r="U939" s="1">
        <v>145.06959999999992</v>
      </c>
      <c r="V939">
        <f>YEAR(Table1[[#This Row],[Order Date]])</f>
        <v>2023</v>
      </c>
      <c r="W939" t="str">
        <f>TEXT(Table1[[#This Row],[Order Date]],"mmm")</f>
        <v>Aug</v>
      </c>
      <c r="X939">
        <f t="shared" si="42"/>
        <v>11.159199999999995</v>
      </c>
      <c r="Y939" t="str">
        <f t="shared" si="43"/>
        <v>Profit</v>
      </c>
      <c r="Z939" t="str">
        <f t="shared" si="44"/>
        <v>No Discount</v>
      </c>
    </row>
    <row r="940" spans="1:26" x14ac:dyDescent="0.35">
      <c r="A940" s="1">
        <v>939</v>
      </c>
      <c r="B940" s="2" t="s">
        <v>2911</v>
      </c>
      <c r="C940" s="3">
        <v>45158</v>
      </c>
      <c r="D940" s="3">
        <v>45163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421.37200000000001</v>
      </c>
      <c r="S940" s="1">
        <v>2</v>
      </c>
      <c r="T940" s="1">
        <v>0.3</v>
      </c>
      <c r="U940" s="1">
        <v>-6.0196000000000538</v>
      </c>
      <c r="V940">
        <f>YEAR(Table1[[#This Row],[Order Date]])</f>
        <v>2023</v>
      </c>
      <c r="W940" t="str">
        <f>TEXT(Table1[[#This Row],[Order Date]],"mmm")</f>
        <v>Aug</v>
      </c>
      <c r="X940">
        <f t="shared" si="42"/>
        <v>-3.0098000000000269</v>
      </c>
      <c r="Y940" t="str">
        <f t="shared" si="43"/>
        <v>Loss</v>
      </c>
      <c r="Z940" t="str">
        <f t="shared" si="44"/>
        <v>Medium</v>
      </c>
    </row>
    <row r="941" spans="1:26" x14ac:dyDescent="0.35">
      <c r="A941" s="1">
        <v>940</v>
      </c>
      <c r="B941" s="2" t="s">
        <v>2909</v>
      </c>
      <c r="C941" s="3">
        <v>45158</v>
      </c>
      <c r="D941" s="3">
        <v>45163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</v>
      </c>
      <c r="T941" s="1">
        <v>0</v>
      </c>
      <c r="U941" s="1">
        <v>421.58529999999996</v>
      </c>
      <c r="V941">
        <f>YEAR(Table1[[#This Row],[Order Date]])</f>
        <v>2023</v>
      </c>
      <c r="W941" t="str">
        <f>TEXT(Table1[[#This Row],[Order Date]],"mmm")</f>
        <v>Aug</v>
      </c>
      <c r="X941">
        <f t="shared" si="42"/>
        <v>421.58529999999996</v>
      </c>
      <c r="Y941" t="str">
        <f t="shared" si="43"/>
        <v>Profit</v>
      </c>
      <c r="Z941" t="str">
        <f t="shared" si="44"/>
        <v>No Discount</v>
      </c>
    </row>
    <row r="942" spans="1:26" x14ac:dyDescent="0.35">
      <c r="A942" s="1">
        <v>941</v>
      </c>
      <c r="B942" s="2" t="s">
        <v>2909</v>
      </c>
      <c r="C942" s="3">
        <v>45158</v>
      </c>
      <c r="D942" s="3">
        <v>45163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</v>
      </c>
      <c r="T942" s="1">
        <v>0</v>
      </c>
      <c r="U942" s="1">
        <v>9.2552000000000003</v>
      </c>
      <c r="V942">
        <f>YEAR(Table1[[#This Row],[Order Date]])</f>
        <v>2023</v>
      </c>
      <c r="W942" t="str">
        <f>TEXT(Table1[[#This Row],[Order Date]],"mmm")</f>
        <v>Aug</v>
      </c>
      <c r="X942">
        <f t="shared" si="42"/>
        <v>4.6276000000000002</v>
      </c>
      <c r="Y942" t="str">
        <f t="shared" si="43"/>
        <v>Profit</v>
      </c>
      <c r="Z942" t="str">
        <f t="shared" si="44"/>
        <v>No Discount</v>
      </c>
    </row>
    <row r="943" spans="1:26" x14ac:dyDescent="0.35">
      <c r="A943" s="1">
        <v>942</v>
      </c>
      <c r="B943" s="2" t="s">
        <v>2918</v>
      </c>
      <c r="C943" s="3">
        <v>45160</v>
      </c>
      <c r="D943" s="3">
        <v>45163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3.9119999999999999</v>
      </c>
      <c r="S943" s="1">
        <v>1</v>
      </c>
      <c r="T943" s="1">
        <v>0.2</v>
      </c>
      <c r="U943" s="1">
        <v>1.0269000000000001</v>
      </c>
      <c r="V943">
        <f>YEAR(Table1[[#This Row],[Order Date]])</f>
        <v>2023</v>
      </c>
      <c r="W943" t="str">
        <f>TEXT(Table1[[#This Row],[Order Date]],"mmm")</f>
        <v>Aug</v>
      </c>
      <c r="X943">
        <f t="shared" si="42"/>
        <v>1.0269000000000001</v>
      </c>
      <c r="Y943" t="str">
        <f t="shared" si="43"/>
        <v>Profit</v>
      </c>
      <c r="Z943" t="str">
        <f t="shared" si="44"/>
        <v>Low</v>
      </c>
    </row>
    <row r="944" spans="1:26" x14ac:dyDescent="0.35">
      <c r="A944" s="1">
        <v>943</v>
      </c>
      <c r="B944" s="2" t="s">
        <v>2923</v>
      </c>
      <c r="C944" s="3">
        <v>45160</v>
      </c>
      <c r="D944" s="3">
        <v>45163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</v>
      </c>
      <c r="T944" s="1">
        <v>0</v>
      </c>
      <c r="U944" s="1">
        <v>5.6644000000000005</v>
      </c>
      <c r="V944">
        <f>YEAR(Table1[[#This Row],[Order Date]])</f>
        <v>2023</v>
      </c>
      <c r="W944" t="str">
        <f>TEXT(Table1[[#This Row],[Order Date]],"mmm")</f>
        <v>Aug</v>
      </c>
      <c r="X944">
        <f t="shared" si="42"/>
        <v>2.8322000000000003</v>
      </c>
      <c r="Y944" t="str">
        <f t="shared" si="43"/>
        <v>Profit</v>
      </c>
      <c r="Z944" t="str">
        <f t="shared" si="44"/>
        <v>No Discount</v>
      </c>
    </row>
    <row r="945" spans="1:26" x14ac:dyDescent="0.35">
      <c r="A945" s="1">
        <v>944</v>
      </c>
      <c r="B945" s="2" t="s">
        <v>2927</v>
      </c>
      <c r="C945" s="3">
        <v>45160</v>
      </c>
      <c r="D945" s="3">
        <v>45162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7.6320000000000014</v>
      </c>
      <c r="S945" s="1">
        <v>3</v>
      </c>
      <c r="T945" s="1">
        <v>0.2</v>
      </c>
      <c r="U945" s="1">
        <v>-1.8126000000000002</v>
      </c>
      <c r="V945">
        <f>YEAR(Table1[[#This Row],[Order Date]])</f>
        <v>2023</v>
      </c>
      <c r="W945" t="str">
        <f>TEXT(Table1[[#This Row],[Order Date]],"mmm")</f>
        <v>Aug</v>
      </c>
      <c r="X945">
        <f t="shared" si="42"/>
        <v>-0.60420000000000007</v>
      </c>
      <c r="Y945" t="str">
        <f t="shared" si="43"/>
        <v>Loss</v>
      </c>
      <c r="Z945" t="str">
        <f t="shared" si="44"/>
        <v>Low</v>
      </c>
    </row>
    <row r="946" spans="1:26" x14ac:dyDescent="0.35">
      <c r="A946" s="1">
        <v>945</v>
      </c>
      <c r="B946" s="2" t="s">
        <v>2933</v>
      </c>
      <c r="C946" s="3">
        <v>45161</v>
      </c>
      <c r="D946" s="3">
        <v>45165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4.2240000000000002</v>
      </c>
      <c r="S946" s="1">
        <v>3</v>
      </c>
      <c r="T946" s="1">
        <v>0.2</v>
      </c>
      <c r="U946" s="1">
        <v>1.2672000000000003</v>
      </c>
      <c r="V946">
        <f>YEAR(Table1[[#This Row],[Order Date]])</f>
        <v>2023</v>
      </c>
      <c r="W946" t="str">
        <f>TEXT(Table1[[#This Row],[Order Date]],"mmm")</f>
        <v>Aug</v>
      </c>
      <c r="X946">
        <f t="shared" si="42"/>
        <v>0.42240000000000011</v>
      </c>
      <c r="Y946" t="str">
        <f t="shared" si="43"/>
        <v>Profit</v>
      </c>
      <c r="Z946" t="str">
        <f t="shared" si="44"/>
        <v>Low</v>
      </c>
    </row>
    <row r="947" spans="1:26" x14ac:dyDescent="0.35">
      <c r="A947" s="1">
        <v>946</v>
      </c>
      <c r="B947" s="2" t="s">
        <v>2938</v>
      </c>
      <c r="C947" s="3">
        <v>45161</v>
      </c>
      <c r="D947" s="3">
        <v>45165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49.568000000000005</v>
      </c>
      <c r="S947" s="1">
        <v>2</v>
      </c>
      <c r="T947" s="1">
        <v>0.2</v>
      </c>
      <c r="U947" s="1">
        <v>17.348799999999997</v>
      </c>
      <c r="V947">
        <f>YEAR(Table1[[#This Row],[Order Date]])</f>
        <v>2023</v>
      </c>
      <c r="W947" t="str">
        <f>TEXT(Table1[[#This Row],[Order Date]],"mmm")</f>
        <v>Aug</v>
      </c>
      <c r="X947">
        <f t="shared" si="42"/>
        <v>8.6743999999999986</v>
      </c>
      <c r="Y947" t="str">
        <f t="shared" si="43"/>
        <v>Profit</v>
      </c>
      <c r="Z947" t="str">
        <f t="shared" si="44"/>
        <v>Low</v>
      </c>
    </row>
    <row r="948" spans="1:26" x14ac:dyDescent="0.35">
      <c r="A948" s="1">
        <v>947</v>
      </c>
      <c r="B948" s="2" t="s">
        <v>2933</v>
      </c>
      <c r="C948" s="3">
        <v>45161</v>
      </c>
      <c r="D948" s="3">
        <v>45165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31.104000000000006</v>
      </c>
      <c r="S948" s="1">
        <v>6</v>
      </c>
      <c r="T948" s="1">
        <v>0.2</v>
      </c>
      <c r="U948" s="1">
        <v>10.8864</v>
      </c>
      <c r="V948">
        <f>YEAR(Table1[[#This Row],[Order Date]])</f>
        <v>2023</v>
      </c>
      <c r="W948" t="str">
        <f>TEXT(Table1[[#This Row],[Order Date]],"mmm")</f>
        <v>Aug</v>
      </c>
      <c r="X948">
        <f t="shared" si="42"/>
        <v>1.8144</v>
      </c>
      <c r="Y948" t="str">
        <f t="shared" si="43"/>
        <v>Profit</v>
      </c>
      <c r="Z948" t="str">
        <f t="shared" si="44"/>
        <v>Low</v>
      </c>
    </row>
    <row r="949" spans="1:26" x14ac:dyDescent="0.35">
      <c r="A949" s="1">
        <v>948</v>
      </c>
      <c r="B949" s="2" t="s">
        <v>2933</v>
      </c>
      <c r="C949" s="3">
        <v>45161</v>
      </c>
      <c r="D949" s="3">
        <v>45165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223.05600000000001</v>
      </c>
      <c r="S949" s="1">
        <v>9</v>
      </c>
      <c r="T949" s="1">
        <v>0.2</v>
      </c>
      <c r="U949" s="1">
        <v>69.704999999999984</v>
      </c>
      <c r="V949">
        <f>YEAR(Table1[[#This Row],[Order Date]])</f>
        <v>2023</v>
      </c>
      <c r="W949" t="str">
        <f>TEXT(Table1[[#This Row],[Order Date]],"mmm")</f>
        <v>Aug</v>
      </c>
      <c r="X949">
        <f t="shared" si="42"/>
        <v>7.7449999999999983</v>
      </c>
      <c r="Y949" t="str">
        <f t="shared" si="43"/>
        <v>Profit</v>
      </c>
      <c r="Z949" t="str">
        <f t="shared" si="44"/>
        <v>Low</v>
      </c>
    </row>
    <row r="950" spans="1:26" x14ac:dyDescent="0.35">
      <c r="A950" s="1">
        <v>949</v>
      </c>
      <c r="B950" s="2" t="s">
        <v>2933</v>
      </c>
      <c r="C950" s="3">
        <v>45161</v>
      </c>
      <c r="D950" s="3">
        <v>45165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15.552000000000003</v>
      </c>
      <c r="S950" s="1">
        <v>3</v>
      </c>
      <c r="T950" s="1">
        <v>0.2</v>
      </c>
      <c r="U950" s="1">
        <v>5.4432</v>
      </c>
      <c r="V950">
        <f>YEAR(Table1[[#This Row],[Order Date]])</f>
        <v>2023</v>
      </c>
      <c r="W950" t="str">
        <f>TEXT(Table1[[#This Row],[Order Date]],"mmm")</f>
        <v>Aug</v>
      </c>
      <c r="X950">
        <f t="shared" si="42"/>
        <v>1.8144</v>
      </c>
      <c r="Y950" t="str">
        <f t="shared" si="43"/>
        <v>Profit</v>
      </c>
      <c r="Z950" t="str">
        <f t="shared" si="44"/>
        <v>Low</v>
      </c>
    </row>
    <row r="951" spans="1:26" x14ac:dyDescent="0.35">
      <c r="A951" s="1">
        <v>950</v>
      </c>
      <c r="B951" s="2" t="s">
        <v>2947</v>
      </c>
      <c r="C951" s="3">
        <v>45161</v>
      </c>
      <c r="D951" s="3">
        <v>45166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  <c r="V951">
        <f>YEAR(Table1[[#This Row],[Order Date]])</f>
        <v>2023</v>
      </c>
      <c r="W951" t="str">
        <f>TEXT(Table1[[#This Row],[Order Date]],"mmm")</f>
        <v>Aug</v>
      </c>
      <c r="X951">
        <f t="shared" si="42"/>
        <v>3.1752000000000002</v>
      </c>
      <c r="Y951" t="str">
        <f t="shared" si="43"/>
        <v>Profit</v>
      </c>
      <c r="Z951" t="str">
        <f t="shared" si="44"/>
        <v>No Discount</v>
      </c>
    </row>
    <row r="952" spans="1:26" x14ac:dyDescent="0.35">
      <c r="A952" s="1">
        <v>951</v>
      </c>
      <c r="B952" s="2" t="s">
        <v>2951</v>
      </c>
      <c r="C952" s="3">
        <v>45161</v>
      </c>
      <c r="D952" s="3">
        <v>45161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</v>
      </c>
      <c r="T952" s="1">
        <v>0</v>
      </c>
      <c r="U952" s="1">
        <v>12.441600000000001</v>
      </c>
      <c r="V952">
        <f>YEAR(Table1[[#This Row],[Order Date]])</f>
        <v>2023</v>
      </c>
      <c r="W952" t="str">
        <f>TEXT(Table1[[#This Row],[Order Date]],"mmm")</f>
        <v>Aug</v>
      </c>
      <c r="X952">
        <f t="shared" si="42"/>
        <v>3.1104000000000003</v>
      </c>
      <c r="Y952" t="str">
        <f t="shared" si="43"/>
        <v>Profit</v>
      </c>
      <c r="Z952" t="str">
        <f t="shared" si="44"/>
        <v>No Discount</v>
      </c>
    </row>
    <row r="953" spans="1:26" x14ac:dyDescent="0.35">
      <c r="A953" s="1">
        <v>952</v>
      </c>
      <c r="B953" s="2" t="s">
        <v>2951</v>
      </c>
      <c r="C953" s="3">
        <v>45161</v>
      </c>
      <c r="D953" s="3">
        <v>45161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</v>
      </c>
      <c r="T953" s="1">
        <v>0</v>
      </c>
      <c r="U953" s="1">
        <v>22.500800000000002</v>
      </c>
      <c r="V953">
        <f>YEAR(Table1[[#This Row],[Order Date]])</f>
        <v>2023</v>
      </c>
      <c r="W953" t="str">
        <f>TEXT(Table1[[#This Row],[Order Date]],"mmm")</f>
        <v>Aug</v>
      </c>
      <c r="X953">
        <f t="shared" si="42"/>
        <v>5.6252000000000004</v>
      </c>
      <c r="Y953" t="str">
        <f t="shared" si="43"/>
        <v>Profit</v>
      </c>
      <c r="Z953" t="str">
        <f t="shared" si="44"/>
        <v>No Discount</v>
      </c>
    </row>
    <row r="954" spans="1:26" x14ac:dyDescent="0.35">
      <c r="A954" s="1">
        <v>953</v>
      </c>
      <c r="B954" s="2" t="s">
        <v>2933</v>
      </c>
      <c r="C954" s="3">
        <v>45161</v>
      </c>
      <c r="D954" s="3">
        <v>45165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6.8000000000000007</v>
      </c>
      <c r="S954" s="1">
        <v>1</v>
      </c>
      <c r="T954" s="1">
        <v>0.2</v>
      </c>
      <c r="U954" s="1">
        <v>0.50999999999999979</v>
      </c>
      <c r="V954">
        <f>YEAR(Table1[[#This Row],[Order Date]])</f>
        <v>2023</v>
      </c>
      <c r="W954" t="str">
        <f>TEXT(Table1[[#This Row],[Order Date]],"mmm")</f>
        <v>Aug</v>
      </c>
      <c r="X954">
        <f t="shared" si="42"/>
        <v>0.50999999999999979</v>
      </c>
      <c r="Y954" t="str">
        <f t="shared" si="43"/>
        <v>Profit</v>
      </c>
      <c r="Z954" t="str">
        <f t="shared" si="44"/>
        <v>Low</v>
      </c>
    </row>
    <row r="955" spans="1:26" x14ac:dyDescent="0.35">
      <c r="A955" s="1">
        <v>954</v>
      </c>
      <c r="B955" s="2" t="s">
        <v>2933</v>
      </c>
      <c r="C955" s="3">
        <v>45161</v>
      </c>
      <c r="D955" s="3">
        <v>45165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143.64000000000001</v>
      </c>
      <c r="S955" s="1">
        <v>9</v>
      </c>
      <c r="T955" s="1">
        <v>0.2</v>
      </c>
      <c r="U955" s="1">
        <v>10.772999999999989</v>
      </c>
      <c r="V955">
        <f>YEAR(Table1[[#This Row],[Order Date]])</f>
        <v>2023</v>
      </c>
      <c r="W955" t="str">
        <f>TEXT(Table1[[#This Row],[Order Date]],"mmm")</f>
        <v>Aug</v>
      </c>
      <c r="X955">
        <f t="shared" si="42"/>
        <v>1.1969999999999987</v>
      </c>
      <c r="Y955" t="str">
        <f t="shared" si="43"/>
        <v>Profit</v>
      </c>
      <c r="Z955" t="str">
        <f t="shared" si="44"/>
        <v>Low</v>
      </c>
    </row>
    <row r="956" spans="1:26" x14ac:dyDescent="0.35">
      <c r="A956" s="1">
        <v>955</v>
      </c>
      <c r="B956" s="2" t="s">
        <v>2962</v>
      </c>
      <c r="C956" s="3">
        <v>45162</v>
      </c>
      <c r="D956" s="3">
        <v>45164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</v>
      </c>
      <c r="T956" s="1">
        <v>0</v>
      </c>
      <c r="U956" s="1">
        <v>6.3743999999999996</v>
      </c>
      <c r="V956">
        <f>YEAR(Table1[[#This Row],[Order Date]])</f>
        <v>2023</v>
      </c>
      <c r="W956" t="str">
        <f>TEXT(Table1[[#This Row],[Order Date]],"mmm")</f>
        <v>Aug</v>
      </c>
      <c r="X956">
        <f t="shared" si="42"/>
        <v>3.1871999999999998</v>
      </c>
      <c r="Y956" t="str">
        <f t="shared" si="43"/>
        <v>Profit</v>
      </c>
      <c r="Z956" t="str">
        <f t="shared" si="44"/>
        <v>No Discount</v>
      </c>
    </row>
    <row r="957" spans="1:26" x14ac:dyDescent="0.35">
      <c r="A957" s="1">
        <v>956</v>
      </c>
      <c r="B957" s="2" t="s">
        <v>2962</v>
      </c>
      <c r="C957" s="3">
        <v>45162</v>
      </c>
      <c r="D957" s="3">
        <v>45164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12.672000000000001</v>
      </c>
      <c r="S957" s="1">
        <v>3</v>
      </c>
      <c r="T957" s="1">
        <v>0.2</v>
      </c>
      <c r="U957" s="1">
        <v>4.4352000000000009</v>
      </c>
      <c r="V957">
        <f>YEAR(Table1[[#This Row],[Order Date]])</f>
        <v>2023</v>
      </c>
      <c r="W957" t="str">
        <f>TEXT(Table1[[#This Row],[Order Date]],"mmm")</f>
        <v>Aug</v>
      </c>
      <c r="X957">
        <f t="shared" si="42"/>
        <v>1.4784000000000004</v>
      </c>
      <c r="Y957" t="str">
        <f t="shared" si="43"/>
        <v>Profit</v>
      </c>
      <c r="Z957" t="str">
        <f t="shared" si="44"/>
        <v>Low</v>
      </c>
    </row>
    <row r="958" spans="1:26" x14ac:dyDescent="0.35">
      <c r="A958" s="1">
        <v>957</v>
      </c>
      <c r="B958" s="2" t="s">
        <v>2968</v>
      </c>
      <c r="C958" s="3">
        <v>45162</v>
      </c>
      <c r="D958" s="3">
        <v>45162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8.2880000000000003</v>
      </c>
      <c r="S958" s="1">
        <v>2</v>
      </c>
      <c r="T958" s="1">
        <v>0.2</v>
      </c>
      <c r="U958" s="1">
        <v>2.6935999999999991</v>
      </c>
      <c r="V958">
        <f>YEAR(Table1[[#This Row],[Order Date]])</f>
        <v>2023</v>
      </c>
      <c r="W958" t="str">
        <f>TEXT(Table1[[#This Row],[Order Date]],"mmm")</f>
        <v>Aug</v>
      </c>
      <c r="X958">
        <f t="shared" si="42"/>
        <v>1.3467999999999996</v>
      </c>
      <c r="Y958" t="str">
        <f t="shared" si="43"/>
        <v>Profit</v>
      </c>
      <c r="Z958" t="str">
        <f t="shared" si="44"/>
        <v>Low</v>
      </c>
    </row>
    <row r="959" spans="1:26" x14ac:dyDescent="0.35">
      <c r="A959" s="1">
        <v>958</v>
      </c>
      <c r="B959" s="2" t="s">
        <v>2972</v>
      </c>
      <c r="C959" s="3">
        <v>45162</v>
      </c>
      <c r="D959" s="3">
        <v>45164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</v>
      </c>
      <c r="T959" s="1">
        <v>0</v>
      </c>
      <c r="U959" s="1">
        <v>6.63</v>
      </c>
      <c r="V959">
        <f>YEAR(Table1[[#This Row],[Order Date]])</f>
        <v>2023</v>
      </c>
      <c r="W959" t="str">
        <f>TEXT(Table1[[#This Row],[Order Date]],"mmm")</f>
        <v>Aug</v>
      </c>
      <c r="X959">
        <f t="shared" si="42"/>
        <v>2.21</v>
      </c>
      <c r="Y959" t="str">
        <f t="shared" si="43"/>
        <v>Profit</v>
      </c>
      <c r="Z959" t="str">
        <f t="shared" si="44"/>
        <v>No Discount</v>
      </c>
    </row>
    <row r="960" spans="1:26" x14ac:dyDescent="0.35">
      <c r="A960" s="1">
        <v>959</v>
      </c>
      <c r="B960" s="2" t="s">
        <v>2976</v>
      </c>
      <c r="C960" s="3">
        <v>45163</v>
      </c>
      <c r="D960" s="3">
        <v>45167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</v>
      </c>
      <c r="T960" s="1">
        <v>0</v>
      </c>
      <c r="U960" s="1">
        <v>2.6376000000000004</v>
      </c>
      <c r="V960">
        <f>YEAR(Table1[[#This Row],[Order Date]])</f>
        <v>2023</v>
      </c>
      <c r="W960" t="str">
        <f>TEXT(Table1[[#This Row],[Order Date]],"mmm")</f>
        <v>Aug</v>
      </c>
      <c r="X960">
        <f t="shared" si="42"/>
        <v>2.6376000000000004</v>
      </c>
      <c r="Y960" t="str">
        <f t="shared" si="43"/>
        <v>Profit</v>
      </c>
      <c r="Z960" t="str">
        <f t="shared" si="44"/>
        <v>No Discount</v>
      </c>
    </row>
    <row r="961" spans="1:26" x14ac:dyDescent="0.35">
      <c r="A961" s="1">
        <v>960</v>
      </c>
      <c r="B961" s="2" t="s">
        <v>2981</v>
      </c>
      <c r="C961" s="3">
        <v>45163</v>
      </c>
      <c r="D961" s="3">
        <v>45168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6.5280000000000014</v>
      </c>
      <c r="S961" s="1">
        <v>4</v>
      </c>
      <c r="T961" s="1">
        <v>0.7</v>
      </c>
      <c r="U961" s="1">
        <v>-4.5695999999999994</v>
      </c>
      <c r="V961">
        <f>YEAR(Table1[[#This Row],[Order Date]])</f>
        <v>2023</v>
      </c>
      <c r="W961" t="str">
        <f>TEXT(Table1[[#This Row],[Order Date]],"mmm")</f>
        <v>Aug</v>
      </c>
      <c r="X961">
        <f t="shared" si="42"/>
        <v>-1.1423999999999999</v>
      </c>
      <c r="Y961" t="str">
        <f t="shared" si="43"/>
        <v>Loss</v>
      </c>
      <c r="Z961" t="str">
        <f t="shared" si="44"/>
        <v>High</v>
      </c>
    </row>
    <row r="962" spans="1:26" x14ac:dyDescent="0.35">
      <c r="A962" s="1">
        <v>961</v>
      </c>
      <c r="B962" s="2" t="s">
        <v>2981</v>
      </c>
      <c r="C962" s="3">
        <v>45163</v>
      </c>
      <c r="D962" s="3">
        <v>45168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20.856000000000002</v>
      </c>
      <c r="S962" s="1">
        <v>8</v>
      </c>
      <c r="T962" s="1">
        <v>0.7</v>
      </c>
      <c r="U962" s="1">
        <v>-16.684799999999996</v>
      </c>
      <c r="V962">
        <f>YEAR(Table1[[#This Row],[Order Date]])</f>
        <v>2023</v>
      </c>
      <c r="W962" t="str">
        <f>TEXT(Table1[[#This Row],[Order Date]],"mmm")</f>
        <v>Aug</v>
      </c>
      <c r="X962">
        <f t="shared" ref="X962:X1025" si="45">IFERROR(U962/S962,0)</f>
        <v>-2.0855999999999995</v>
      </c>
      <c r="Y962" t="str">
        <f t="shared" ref="Y962:Y1025" si="46">IF(U962&gt;0,"Profit",IF(U962&lt;0,"Loss","Break-even"))</f>
        <v>Loss</v>
      </c>
      <c r="Z962" t="str">
        <f t="shared" ref="Z962:Z1025" si="47">IF(T962=0,"No Discount",IF(T962&lt;=0.2,"Low",IF(T962&lt;=0.4,"Medium","High")))</f>
        <v>High</v>
      </c>
    </row>
    <row r="963" spans="1:26" x14ac:dyDescent="0.35">
      <c r="A963" s="1">
        <v>962</v>
      </c>
      <c r="B963" s="2" t="s">
        <v>2982</v>
      </c>
      <c r="C963" s="3">
        <v>45163</v>
      </c>
      <c r="D963" s="3">
        <v>45167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25.679999999999993</v>
      </c>
      <c r="S963" s="1">
        <v>3</v>
      </c>
      <c r="T963" s="1">
        <v>0.8</v>
      </c>
      <c r="U963" s="1">
        <v>-39.804000000000002</v>
      </c>
      <c r="V963">
        <f>YEAR(Table1[[#This Row],[Order Date]])</f>
        <v>2023</v>
      </c>
      <c r="W963" t="str">
        <f>TEXT(Table1[[#This Row],[Order Date]],"mmm")</f>
        <v>Aug</v>
      </c>
      <c r="X963">
        <f t="shared" si="45"/>
        <v>-13.268000000000001</v>
      </c>
      <c r="Y963" t="str">
        <f t="shared" si="46"/>
        <v>Loss</v>
      </c>
      <c r="Z963" t="str">
        <f t="shared" si="47"/>
        <v>High</v>
      </c>
    </row>
    <row r="964" spans="1:26" x14ac:dyDescent="0.35">
      <c r="A964" s="1">
        <v>963</v>
      </c>
      <c r="B964" s="2" t="s">
        <v>2982</v>
      </c>
      <c r="C964" s="3">
        <v>45163</v>
      </c>
      <c r="D964" s="3">
        <v>45167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12.383999999999997</v>
      </c>
      <c r="S964" s="1">
        <v>3</v>
      </c>
      <c r="T964" s="1">
        <v>0.8</v>
      </c>
      <c r="U964" s="1">
        <v>-19.814400000000003</v>
      </c>
      <c r="V964">
        <f>YEAR(Table1[[#This Row],[Order Date]])</f>
        <v>2023</v>
      </c>
      <c r="W964" t="str">
        <f>TEXT(Table1[[#This Row],[Order Date]],"mmm")</f>
        <v>Aug</v>
      </c>
      <c r="X964">
        <f t="shared" si="45"/>
        <v>-6.6048000000000009</v>
      </c>
      <c r="Y964" t="str">
        <f t="shared" si="46"/>
        <v>Loss</v>
      </c>
      <c r="Z964" t="str">
        <f t="shared" si="47"/>
        <v>High</v>
      </c>
    </row>
    <row r="965" spans="1:26" x14ac:dyDescent="0.35">
      <c r="A965" s="1">
        <v>964</v>
      </c>
      <c r="B965" s="2" t="s">
        <v>2981</v>
      </c>
      <c r="C965" s="3">
        <v>45163</v>
      </c>
      <c r="D965" s="3">
        <v>45168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2.8620000000000005</v>
      </c>
      <c r="S965" s="1">
        <v>3</v>
      </c>
      <c r="T965" s="1">
        <v>0.7</v>
      </c>
      <c r="U965" s="1">
        <v>-2.2896000000000001</v>
      </c>
      <c r="V965">
        <f>YEAR(Table1[[#This Row],[Order Date]])</f>
        <v>2023</v>
      </c>
      <c r="W965" t="str">
        <f>TEXT(Table1[[#This Row],[Order Date]],"mmm")</f>
        <v>Aug</v>
      </c>
      <c r="X965">
        <f t="shared" si="45"/>
        <v>-0.76319999999999999</v>
      </c>
      <c r="Y965" t="str">
        <f t="shared" si="46"/>
        <v>Loss</v>
      </c>
      <c r="Z965" t="str">
        <f t="shared" si="47"/>
        <v>High</v>
      </c>
    </row>
    <row r="966" spans="1:26" x14ac:dyDescent="0.35">
      <c r="A966" s="1">
        <v>965</v>
      </c>
      <c r="B966" s="2" t="s">
        <v>2991</v>
      </c>
      <c r="C966" s="3">
        <v>45163</v>
      </c>
      <c r="D966" s="3">
        <v>45165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  <c r="V966">
        <f>YEAR(Table1[[#This Row],[Order Date]])</f>
        <v>2023</v>
      </c>
      <c r="W966" t="str">
        <f>TEXT(Table1[[#This Row],[Order Date]],"mmm")</f>
        <v>Aug</v>
      </c>
      <c r="X966">
        <f t="shared" si="45"/>
        <v>7.3385999999999996</v>
      </c>
      <c r="Y966" t="str">
        <f t="shared" si="46"/>
        <v>Profit</v>
      </c>
      <c r="Z966" t="str">
        <f t="shared" si="47"/>
        <v>Low</v>
      </c>
    </row>
    <row r="967" spans="1:26" x14ac:dyDescent="0.35">
      <c r="A967" s="1">
        <v>966</v>
      </c>
      <c r="B967" s="2" t="s">
        <v>2991</v>
      </c>
      <c r="C967" s="3">
        <v>45163</v>
      </c>
      <c r="D967" s="3">
        <v>45165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4.7200000000000006</v>
      </c>
      <c r="S967" s="1">
        <v>2</v>
      </c>
      <c r="T967" s="1">
        <v>0.2</v>
      </c>
      <c r="U967" s="1">
        <v>1.6519999999999997</v>
      </c>
      <c r="V967">
        <f>YEAR(Table1[[#This Row],[Order Date]])</f>
        <v>2023</v>
      </c>
      <c r="W967" t="str">
        <f>TEXT(Table1[[#This Row],[Order Date]],"mmm")</f>
        <v>Aug</v>
      </c>
      <c r="X967">
        <f t="shared" si="45"/>
        <v>0.82599999999999985</v>
      </c>
      <c r="Y967" t="str">
        <f t="shared" si="46"/>
        <v>Profit</v>
      </c>
      <c r="Z967" t="str">
        <f t="shared" si="47"/>
        <v>Low</v>
      </c>
    </row>
    <row r="968" spans="1:26" x14ac:dyDescent="0.35">
      <c r="A968" s="1">
        <v>967</v>
      </c>
      <c r="B968" s="2" t="s">
        <v>2991</v>
      </c>
      <c r="C968" s="3">
        <v>45163</v>
      </c>
      <c r="D968" s="3">
        <v>45165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40.096000000000004</v>
      </c>
      <c r="S968" s="1">
        <v>14</v>
      </c>
      <c r="T968" s="1">
        <v>0.2</v>
      </c>
      <c r="U968" s="1">
        <v>14.534799999999997</v>
      </c>
      <c r="V968">
        <f>YEAR(Table1[[#This Row],[Order Date]])</f>
        <v>2023</v>
      </c>
      <c r="W968" t="str">
        <f>TEXT(Table1[[#This Row],[Order Date]],"mmm")</f>
        <v>Aug</v>
      </c>
      <c r="X968">
        <f t="shared" si="45"/>
        <v>1.0381999999999998</v>
      </c>
      <c r="Y968" t="str">
        <f t="shared" si="46"/>
        <v>Profit</v>
      </c>
      <c r="Z968" t="str">
        <f t="shared" si="47"/>
        <v>Low</v>
      </c>
    </row>
    <row r="969" spans="1:26" x14ac:dyDescent="0.35">
      <c r="A969" s="1">
        <v>968</v>
      </c>
      <c r="B969" s="2" t="s">
        <v>2991</v>
      </c>
      <c r="C969" s="3">
        <v>45163</v>
      </c>
      <c r="D969" s="3">
        <v>45165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23.976000000000003</v>
      </c>
      <c r="S969" s="1">
        <v>3</v>
      </c>
      <c r="T969" s="1">
        <v>0.2</v>
      </c>
      <c r="U969" s="1">
        <v>7.4924999999999988</v>
      </c>
      <c r="V969">
        <f>YEAR(Table1[[#This Row],[Order Date]])</f>
        <v>2023</v>
      </c>
      <c r="W969" t="str">
        <f>TEXT(Table1[[#This Row],[Order Date]],"mmm")</f>
        <v>Aug</v>
      </c>
      <c r="X969">
        <f t="shared" si="45"/>
        <v>2.4974999999999996</v>
      </c>
      <c r="Y969" t="str">
        <f t="shared" si="46"/>
        <v>Profit</v>
      </c>
      <c r="Z969" t="str">
        <f t="shared" si="47"/>
        <v>Low</v>
      </c>
    </row>
    <row r="970" spans="1:26" x14ac:dyDescent="0.35">
      <c r="A970" s="1">
        <v>969</v>
      </c>
      <c r="B970" s="2" t="s">
        <v>2976</v>
      </c>
      <c r="C970" s="3">
        <v>45163</v>
      </c>
      <c r="D970" s="3">
        <v>45167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</v>
      </c>
      <c r="T970" s="1">
        <v>0</v>
      </c>
      <c r="U970" s="1">
        <v>12.441600000000001</v>
      </c>
      <c r="V970">
        <f>YEAR(Table1[[#This Row],[Order Date]])</f>
        <v>2023</v>
      </c>
      <c r="W970" t="str">
        <f>TEXT(Table1[[#This Row],[Order Date]],"mmm")</f>
        <v>Aug</v>
      </c>
      <c r="X970">
        <f t="shared" si="45"/>
        <v>3.1104000000000003</v>
      </c>
      <c r="Y970" t="str">
        <f t="shared" si="46"/>
        <v>Profit</v>
      </c>
      <c r="Z970" t="str">
        <f t="shared" si="47"/>
        <v>No Discount</v>
      </c>
    </row>
    <row r="971" spans="1:26" x14ac:dyDescent="0.35">
      <c r="A971" s="1">
        <v>970</v>
      </c>
      <c r="B971" s="2" t="s">
        <v>2976</v>
      </c>
      <c r="C971" s="3">
        <v>45163</v>
      </c>
      <c r="D971" s="3">
        <v>45167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</v>
      </c>
      <c r="T971" s="1">
        <v>0</v>
      </c>
      <c r="U971" s="1">
        <v>13.186800000000005</v>
      </c>
      <c r="V971">
        <f>YEAR(Table1[[#This Row],[Order Date]])</f>
        <v>2023</v>
      </c>
      <c r="W971" t="str">
        <f>TEXT(Table1[[#This Row],[Order Date]],"mmm")</f>
        <v>Aug</v>
      </c>
      <c r="X971">
        <f t="shared" si="45"/>
        <v>3.2967000000000013</v>
      </c>
      <c r="Y971" t="str">
        <f t="shared" si="46"/>
        <v>Profit</v>
      </c>
      <c r="Z971" t="str">
        <f t="shared" si="47"/>
        <v>No Discount</v>
      </c>
    </row>
    <row r="972" spans="1:26" x14ac:dyDescent="0.35">
      <c r="A972" s="1">
        <v>971</v>
      </c>
      <c r="B972" s="2" t="s">
        <v>2976</v>
      </c>
      <c r="C972" s="3">
        <v>45163</v>
      </c>
      <c r="D972" s="3">
        <v>45167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</v>
      </c>
      <c r="T972" s="1">
        <v>0</v>
      </c>
      <c r="U972" s="1">
        <v>30.431999999999995</v>
      </c>
      <c r="V972">
        <f>YEAR(Table1[[#This Row],[Order Date]])</f>
        <v>2023</v>
      </c>
      <c r="W972" t="str">
        <f>TEXT(Table1[[#This Row],[Order Date]],"mmm")</f>
        <v>Aug</v>
      </c>
      <c r="X972">
        <f t="shared" si="45"/>
        <v>6.0863999999999994</v>
      </c>
      <c r="Y972" t="str">
        <f t="shared" si="46"/>
        <v>Profit</v>
      </c>
      <c r="Z972" t="str">
        <f t="shared" si="47"/>
        <v>No Discount</v>
      </c>
    </row>
    <row r="973" spans="1:26" x14ac:dyDescent="0.35">
      <c r="A973" s="1">
        <v>972</v>
      </c>
      <c r="B973" s="2" t="s">
        <v>3004</v>
      </c>
      <c r="C973" s="3">
        <v>45163</v>
      </c>
      <c r="D973" s="3">
        <v>45168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1007.9440000000002</v>
      </c>
      <c r="S973" s="1">
        <v>7</v>
      </c>
      <c r="T973" s="1">
        <v>0.2</v>
      </c>
      <c r="U973" s="1">
        <v>75.595799999999997</v>
      </c>
      <c r="V973">
        <f>YEAR(Table1[[#This Row],[Order Date]])</f>
        <v>2023</v>
      </c>
      <c r="W973" t="str">
        <f>TEXT(Table1[[#This Row],[Order Date]],"mmm")</f>
        <v>Aug</v>
      </c>
      <c r="X973">
        <f t="shared" si="45"/>
        <v>10.7994</v>
      </c>
      <c r="Y973" t="str">
        <f t="shared" si="46"/>
        <v>Profit</v>
      </c>
      <c r="Z973" t="str">
        <f t="shared" si="47"/>
        <v>Low</v>
      </c>
    </row>
    <row r="974" spans="1:26" x14ac:dyDescent="0.35">
      <c r="A974" s="1">
        <v>973</v>
      </c>
      <c r="B974" s="2" t="s">
        <v>3007</v>
      </c>
      <c r="C974" s="3">
        <v>45164</v>
      </c>
      <c r="D974" s="3">
        <v>45170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</v>
      </c>
      <c r="T974" s="1">
        <v>0</v>
      </c>
      <c r="U974" s="1">
        <v>4.0583999999999998</v>
      </c>
      <c r="V974">
        <f>YEAR(Table1[[#This Row],[Order Date]])</f>
        <v>2023</v>
      </c>
      <c r="W974" t="str">
        <f>TEXT(Table1[[#This Row],[Order Date]],"mmm")</f>
        <v>Aug</v>
      </c>
      <c r="X974">
        <f t="shared" si="45"/>
        <v>1.0145999999999999</v>
      </c>
      <c r="Y974" t="str">
        <f t="shared" si="46"/>
        <v>Profit</v>
      </c>
      <c r="Z974" t="str">
        <f t="shared" si="47"/>
        <v>No Discount</v>
      </c>
    </row>
    <row r="975" spans="1:26" x14ac:dyDescent="0.35">
      <c r="A975" s="1">
        <v>974</v>
      </c>
      <c r="B975" s="2" t="s">
        <v>3010</v>
      </c>
      <c r="C975" s="3">
        <v>45164</v>
      </c>
      <c r="D975" s="3">
        <v>45170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</v>
      </c>
      <c r="T975" s="1">
        <v>0</v>
      </c>
      <c r="U975" s="1">
        <v>2.5055999999999998</v>
      </c>
      <c r="V975">
        <f>YEAR(Table1[[#This Row],[Order Date]])</f>
        <v>2023</v>
      </c>
      <c r="W975" t="str">
        <f>TEXT(Table1[[#This Row],[Order Date]],"mmm")</f>
        <v>Aug</v>
      </c>
      <c r="X975">
        <f t="shared" si="45"/>
        <v>0.83519999999999994</v>
      </c>
      <c r="Y975" t="str">
        <f t="shared" si="46"/>
        <v>Profit</v>
      </c>
      <c r="Z975" t="str">
        <f t="shared" si="47"/>
        <v>No Discount</v>
      </c>
    </row>
    <row r="976" spans="1:26" x14ac:dyDescent="0.35">
      <c r="A976" s="1">
        <v>975</v>
      </c>
      <c r="B976" s="2" t="s">
        <v>3007</v>
      </c>
      <c r="C976" s="3">
        <v>45164</v>
      </c>
      <c r="D976" s="3">
        <v>45170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</v>
      </c>
      <c r="T976" s="1">
        <v>0</v>
      </c>
      <c r="U976" s="1">
        <v>8.4966000000000008</v>
      </c>
      <c r="V976">
        <f>YEAR(Table1[[#This Row],[Order Date]])</f>
        <v>2023</v>
      </c>
      <c r="W976" t="str">
        <f>TEXT(Table1[[#This Row],[Order Date]],"mmm")</f>
        <v>Aug</v>
      </c>
      <c r="X976">
        <f t="shared" si="45"/>
        <v>2.8322000000000003</v>
      </c>
      <c r="Y976" t="str">
        <f t="shared" si="46"/>
        <v>Profit</v>
      </c>
      <c r="Z976" t="str">
        <f t="shared" si="47"/>
        <v>No Discount</v>
      </c>
    </row>
    <row r="977" spans="1:26" x14ac:dyDescent="0.35">
      <c r="A977" s="1">
        <v>976</v>
      </c>
      <c r="B977" s="2" t="s">
        <v>3007</v>
      </c>
      <c r="C977" s="3">
        <v>45164</v>
      </c>
      <c r="D977" s="3">
        <v>45170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</v>
      </c>
      <c r="T977" s="1">
        <v>0</v>
      </c>
      <c r="U977" s="1">
        <v>1.5547999999999997</v>
      </c>
      <c r="V977">
        <f>YEAR(Table1[[#This Row],[Order Date]])</f>
        <v>2023</v>
      </c>
      <c r="W977" t="str">
        <f>TEXT(Table1[[#This Row],[Order Date]],"mmm")</f>
        <v>Aug</v>
      </c>
      <c r="X977">
        <f t="shared" si="45"/>
        <v>1.5547999999999997</v>
      </c>
      <c r="Y977" t="str">
        <f t="shared" si="46"/>
        <v>Profit</v>
      </c>
      <c r="Z977" t="str">
        <f t="shared" si="47"/>
        <v>No Discount</v>
      </c>
    </row>
    <row r="978" spans="1:26" x14ac:dyDescent="0.35">
      <c r="A978" s="1">
        <v>977</v>
      </c>
      <c r="B978" s="2" t="s">
        <v>3019</v>
      </c>
      <c r="C978" s="3">
        <v>45164</v>
      </c>
      <c r="D978" s="3">
        <v>45168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</v>
      </c>
      <c r="T978" s="1">
        <v>0</v>
      </c>
      <c r="U978" s="1">
        <v>22.984000000000009</v>
      </c>
      <c r="V978">
        <f>YEAR(Table1[[#This Row],[Order Date]])</f>
        <v>2023</v>
      </c>
      <c r="W978" t="str">
        <f>TEXT(Table1[[#This Row],[Order Date]],"mmm")</f>
        <v>Aug</v>
      </c>
      <c r="X978">
        <f t="shared" si="45"/>
        <v>2.8730000000000011</v>
      </c>
      <c r="Y978" t="str">
        <f t="shared" si="46"/>
        <v>Profit</v>
      </c>
      <c r="Z978" t="str">
        <f t="shared" si="47"/>
        <v>No Discount</v>
      </c>
    </row>
    <row r="979" spans="1:26" x14ac:dyDescent="0.35">
      <c r="A979" s="1">
        <v>978</v>
      </c>
      <c r="B979" s="2" t="s">
        <v>3010</v>
      </c>
      <c r="C979" s="3">
        <v>45164</v>
      </c>
      <c r="D979" s="3">
        <v>45170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</v>
      </c>
      <c r="T979" s="1">
        <v>0</v>
      </c>
      <c r="U979" s="1">
        <v>52.489499999999992</v>
      </c>
      <c r="V979">
        <f>YEAR(Table1[[#This Row],[Order Date]])</f>
        <v>2023</v>
      </c>
      <c r="W979" t="str">
        <f>TEXT(Table1[[#This Row],[Order Date]],"mmm")</f>
        <v>Aug</v>
      </c>
      <c r="X979">
        <f t="shared" si="45"/>
        <v>17.496499999999997</v>
      </c>
      <c r="Y979" t="str">
        <f t="shared" si="46"/>
        <v>Profit</v>
      </c>
      <c r="Z979" t="str">
        <f t="shared" si="47"/>
        <v>No Discount</v>
      </c>
    </row>
    <row r="980" spans="1:26" x14ac:dyDescent="0.35">
      <c r="A980" s="1">
        <v>979</v>
      </c>
      <c r="B980" s="2" t="s">
        <v>3022</v>
      </c>
      <c r="C980" s="3">
        <v>45165</v>
      </c>
      <c r="D980" s="3">
        <v>45167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</v>
      </c>
      <c r="T980" s="1">
        <v>0</v>
      </c>
      <c r="U980" s="1">
        <v>12.521600000000003</v>
      </c>
      <c r="V980">
        <f>YEAR(Table1[[#This Row],[Order Date]])</f>
        <v>2023</v>
      </c>
      <c r="W980" t="str">
        <f>TEXT(Table1[[#This Row],[Order Date]],"mmm")</f>
        <v>Aug</v>
      </c>
      <c r="X980">
        <f t="shared" si="45"/>
        <v>3.1304000000000007</v>
      </c>
      <c r="Y980" t="str">
        <f t="shared" si="46"/>
        <v>Profit</v>
      </c>
      <c r="Z980" t="str">
        <f t="shared" si="47"/>
        <v>No Discount</v>
      </c>
    </row>
    <row r="981" spans="1:26" x14ac:dyDescent="0.35">
      <c r="A981" s="1">
        <v>980</v>
      </c>
      <c r="B981" s="2" t="s">
        <v>3022</v>
      </c>
      <c r="C981" s="3">
        <v>45165</v>
      </c>
      <c r="D981" s="3">
        <v>45167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</v>
      </c>
      <c r="T981" s="1">
        <v>0</v>
      </c>
      <c r="U981" s="1">
        <v>300.73500000000001</v>
      </c>
      <c r="V981">
        <f>YEAR(Table1[[#This Row],[Order Date]])</f>
        <v>2023</v>
      </c>
      <c r="W981" t="str">
        <f>TEXT(Table1[[#This Row],[Order Date]],"mmm")</f>
        <v>Aug</v>
      </c>
      <c r="X981">
        <f t="shared" si="45"/>
        <v>100.245</v>
      </c>
      <c r="Y981" t="str">
        <f t="shared" si="46"/>
        <v>Profit</v>
      </c>
      <c r="Z981" t="str">
        <f t="shared" si="47"/>
        <v>No Discount</v>
      </c>
    </row>
    <row r="982" spans="1:26" x14ac:dyDescent="0.35">
      <c r="A982" s="1">
        <v>981</v>
      </c>
      <c r="B982" s="2" t="s">
        <v>3029</v>
      </c>
      <c r="C982" s="3">
        <v>45165</v>
      </c>
      <c r="D982" s="3">
        <v>45170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</v>
      </c>
      <c r="T982" s="1">
        <v>0</v>
      </c>
      <c r="U982" s="1">
        <v>2.4823999999999993</v>
      </c>
      <c r="V982">
        <f>YEAR(Table1[[#This Row],[Order Date]])</f>
        <v>2023</v>
      </c>
      <c r="W982" t="str">
        <f>TEXT(Table1[[#This Row],[Order Date]],"mmm")</f>
        <v>Aug</v>
      </c>
      <c r="X982">
        <f t="shared" si="45"/>
        <v>1.2411999999999996</v>
      </c>
      <c r="Y982" t="str">
        <f t="shared" si="46"/>
        <v>Profit</v>
      </c>
      <c r="Z982" t="str">
        <f t="shared" si="47"/>
        <v>No Discount</v>
      </c>
    </row>
    <row r="983" spans="1:26" x14ac:dyDescent="0.35">
      <c r="A983" s="1">
        <v>982</v>
      </c>
      <c r="B983" s="2" t="s">
        <v>3029</v>
      </c>
      <c r="C983" s="3">
        <v>45165</v>
      </c>
      <c r="D983" s="3">
        <v>45170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</v>
      </c>
      <c r="T983" s="1">
        <v>0.2</v>
      </c>
      <c r="U983" s="1">
        <v>7.3839999999999986</v>
      </c>
      <c r="V983">
        <f>YEAR(Table1[[#This Row],[Order Date]])</f>
        <v>2023</v>
      </c>
      <c r="W983" t="str">
        <f>TEXT(Table1[[#This Row],[Order Date]],"mmm")</f>
        <v>Aug</v>
      </c>
      <c r="X983">
        <f t="shared" si="45"/>
        <v>1.8459999999999996</v>
      </c>
      <c r="Y983" t="str">
        <f t="shared" si="46"/>
        <v>Profit</v>
      </c>
      <c r="Z983" t="str">
        <f t="shared" si="47"/>
        <v>Low</v>
      </c>
    </row>
    <row r="984" spans="1:26" x14ac:dyDescent="0.35">
      <c r="A984" s="1">
        <v>983</v>
      </c>
      <c r="B984" s="2" t="s">
        <v>3034</v>
      </c>
      <c r="C984" s="3">
        <v>45165</v>
      </c>
      <c r="D984" s="3">
        <v>45168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</v>
      </c>
      <c r="T984" s="1">
        <v>0</v>
      </c>
      <c r="U984" s="1">
        <v>6.4127999999999998</v>
      </c>
      <c r="V984">
        <f>YEAR(Table1[[#This Row],[Order Date]])</f>
        <v>2023</v>
      </c>
      <c r="W984" t="str">
        <f>TEXT(Table1[[#This Row],[Order Date]],"mmm")</f>
        <v>Aug</v>
      </c>
      <c r="X984">
        <f t="shared" si="45"/>
        <v>3.2063999999999999</v>
      </c>
      <c r="Y984" t="str">
        <f t="shared" si="46"/>
        <v>Profit</v>
      </c>
      <c r="Z984" t="str">
        <f t="shared" si="47"/>
        <v>No Discount</v>
      </c>
    </row>
    <row r="985" spans="1:26" x14ac:dyDescent="0.35">
      <c r="A985" s="1">
        <v>984</v>
      </c>
      <c r="B985" s="2" t="s">
        <v>3022</v>
      </c>
      <c r="C985" s="3">
        <v>45165</v>
      </c>
      <c r="D985" s="3">
        <v>45167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579.94999999999993</v>
      </c>
      <c r="S985" s="1">
        <v>5</v>
      </c>
      <c r="T985" s="1">
        <v>0</v>
      </c>
      <c r="U985" s="1">
        <v>168.18549999999993</v>
      </c>
      <c r="V985">
        <f>YEAR(Table1[[#This Row],[Order Date]])</f>
        <v>2023</v>
      </c>
      <c r="W985" t="str">
        <f>TEXT(Table1[[#This Row],[Order Date]],"mmm")</f>
        <v>Aug</v>
      </c>
      <c r="X985">
        <f t="shared" si="45"/>
        <v>33.63709999999999</v>
      </c>
      <c r="Y985" t="str">
        <f t="shared" si="46"/>
        <v>Profit</v>
      </c>
      <c r="Z985" t="str">
        <f t="shared" si="47"/>
        <v>No Discount</v>
      </c>
    </row>
    <row r="986" spans="1:26" x14ac:dyDescent="0.35">
      <c r="A986" s="1">
        <v>985</v>
      </c>
      <c r="B986" s="2" t="s">
        <v>3029</v>
      </c>
      <c r="C986" s="3">
        <v>45165</v>
      </c>
      <c r="D986" s="3">
        <v>45170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213.48000000000002</v>
      </c>
      <c r="S986" s="1">
        <v>3</v>
      </c>
      <c r="T986" s="1">
        <v>0.2</v>
      </c>
      <c r="U986" s="1">
        <v>16.010999999999981</v>
      </c>
      <c r="V986">
        <f>YEAR(Table1[[#This Row],[Order Date]])</f>
        <v>2023</v>
      </c>
      <c r="W986" t="str">
        <f>TEXT(Table1[[#This Row],[Order Date]],"mmm")</f>
        <v>Aug</v>
      </c>
      <c r="X986">
        <f t="shared" si="45"/>
        <v>5.3369999999999935</v>
      </c>
      <c r="Y986" t="str">
        <f t="shared" si="46"/>
        <v>Profit</v>
      </c>
      <c r="Z986" t="str">
        <f t="shared" si="47"/>
        <v>Low</v>
      </c>
    </row>
    <row r="987" spans="1:26" x14ac:dyDescent="0.35">
      <c r="A987" s="1">
        <v>986</v>
      </c>
      <c r="B987" s="2" t="s">
        <v>3039</v>
      </c>
      <c r="C987" s="3">
        <v>45167</v>
      </c>
      <c r="D987" s="3">
        <v>45171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174.05850000000001</v>
      </c>
      <c r="S987" s="1">
        <v>3</v>
      </c>
      <c r="T987" s="1">
        <v>0.45</v>
      </c>
      <c r="U987" s="1">
        <v>-110.76450000000001</v>
      </c>
      <c r="V987">
        <f>YEAR(Table1[[#This Row],[Order Date]])</f>
        <v>2023</v>
      </c>
      <c r="W987" t="str">
        <f>TEXT(Table1[[#This Row],[Order Date]],"mmm")</f>
        <v>Aug</v>
      </c>
      <c r="X987">
        <f t="shared" si="45"/>
        <v>-36.921500000000002</v>
      </c>
      <c r="Y987" t="str">
        <f t="shared" si="46"/>
        <v>Loss</v>
      </c>
      <c r="Z987" t="str">
        <f t="shared" si="47"/>
        <v>High</v>
      </c>
    </row>
    <row r="988" spans="1:26" x14ac:dyDescent="0.35">
      <c r="A988" s="1">
        <v>987</v>
      </c>
      <c r="B988" s="2" t="s">
        <v>3039</v>
      </c>
      <c r="C988" s="3">
        <v>45167</v>
      </c>
      <c r="D988" s="3">
        <v>45171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505.1760000000001</v>
      </c>
      <c r="S988" s="1">
        <v>4</v>
      </c>
      <c r="T988" s="1">
        <v>0.7</v>
      </c>
      <c r="U988" s="1">
        <v>-336.78399999999988</v>
      </c>
      <c r="V988">
        <f>YEAR(Table1[[#This Row],[Order Date]])</f>
        <v>2023</v>
      </c>
      <c r="W988" t="str">
        <f>TEXT(Table1[[#This Row],[Order Date]],"mmm")</f>
        <v>Aug</v>
      </c>
      <c r="X988">
        <f t="shared" si="45"/>
        <v>-84.19599999999997</v>
      </c>
      <c r="Y988" t="str">
        <f t="shared" si="46"/>
        <v>Loss</v>
      </c>
      <c r="Z988" t="str">
        <f t="shared" si="47"/>
        <v>High</v>
      </c>
    </row>
    <row r="989" spans="1:26" x14ac:dyDescent="0.35">
      <c r="A989" s="1">
        <v>988</v>
      </c>
      <c r="B989" s="2" t="s">
        <v>3039</v>
      </c>
      <c r="C989" s="3">
        <v>45167</v>
      </c>
      <c r="D989" s="3">
        <v>45171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</v>
      </c>
      <c r="T989" s="1">
        <v>0.2</v>
      </c>
      <c r="U989" s="1">
        <v>10.805399999999997</v>
      </c>
      <c r="V989">
        <f>YEAR(Table1[[#This Row],[Order Date]])</f>
        <v>2023</v>
      </c>
      <c r="W989" t="str">
        <f>TEXT(Table1[[#This Row],[Order Date]],"mmm")</f>
        <v>Aug</v>
      </c>
      <c r="X989">
        <f t="shared" si="45"/>
        <v>5.4026999999999985</v>
      </c>
      <c r="Y989" t="str">
        <f t="shared" si="46"/>
        <v>Profit</v>
      </c>
      <c r="Z989" t="str">
        <f t="shared" si="47"/>
        <v>Low</v>
      </c>
    </row>
    <row r="990" spans="1:26" x14ac:dyDescent="0.35">
      <c r="A990" s="1">
        <v>989</v>
      </c>
      <c r="B990" s="2" t="s">
        <v>3046</v>
      </c>
      <c r="C990" s="3">
        <v>45167</v>
      </c>
      <c r="D990" s="3">
        <v>45167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</v>
      </c>
      <c r="T990" s="1">
        <v>0</v>
      </c>
      <c r="U990" s="1">
        <v>6.4127999999999998</v>
      </c>
      <c r="V990">
        <f>YEAR(Table1[[#This Row],[Order Date]])</f>
        <v>2023</v>
      </c>
      <c r="W990" t="str">
        <f>TEXT(Table1[[#This Row],[Order Date]],"mmm")</f>
        <v>Aug</v>
      </c>
      <c r="X990">
        <f t="shared" si="45"/>
        <v>3.2063999999999999</v>
      </c>
      <c r="Y990" t="str">
        <f t="shared" si="46"/>
        <v>Profit</v>
      </c>
      <c r="Z990" t="str">
        <f t="shared" si="47"/>
        <v>No Discount</v>
      </c>
    </row>
    <row r="991" spans="1:26" x14ac:dyDescent="0.35">
      <c r="A991" s="1">
        <v>990</v>
      </c>
      <c r="B991" s="2" t="s">
        <v>3046</v>
      </c>
      <c r="C991" s="3">
        <v>45167</v>
      </c>
      <c r="D991" s="3">
        <v>45167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</v>
      </c>
      <c r="T991" s="1">
        <v>0</v>
      </c>
      <c r="U991" s="1">
        <v>53.860799999999998</v>
      </c>
      <c r="V991">
        <f>YEAR(Table1[[#This Row],[Order Date]])</f>
        <v>2023</v>
      </c>
      <c r="W991" t="str">
        <f>TEXT(Table1[[#This Row],[Order Date]],"mmm")</f>
        <v>Aug</v>
      </c>
      <c r="X991">
        <f t="shared" si="45"/>
        <v>26.930399999999999</v>
      </c>
      <c r="Y991" t="str">
        <f t="shared" si="46"/>
        <v>Profit</v>
      </c>
      <c r="Z991" t="str">
        <f t="shared" si="47"/>
        <v>No Discount</v>
      </c>
    </row>
    <row r="992" spans="1:26" x14ac:dyDescent="0.35">
      <c r="A992" s="1">
        <v>991</v>
      </c>
      <c r="B992" s="2" t="s">
        <v>3053</v>
      </c>
      <c r="C992" s="3">
        <v>45168</v>
      </c>
      <c r="D992" s="3">
        <v>45173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25.299999999999997</v>
      </c>
      <c r="S992" s="1">
        <v>5</v>
      </c>
      <c r="T992" s="1">
        <v>0</v>
      </c>
      <c r="U992" s="1">
        <v>11.890999999999998</v>
      </c>
      <c r="V992">
        <f>YEAR(Table1[[#This Row],[Order Date]])</f>
        <v>2023</v>
      </c>
      <c r="W992" t="str">
        <f>TEXT(Table1[[#This Row],[Order Date]],"mmm")</f>
        <v>Aug</v>
      </c>
      <c r="X992">
        <f t="shared" si="45"/>
        <v>2.3781999999999996</v>
      </c>
      <c r="Y992" t="str">
        <f t="shared" si="46"/>
        <v>Profit</v>
      </c>
      <c r="Z992" t="str">
        <f t="shared" si="47"/>
        <v>No Discount</v>
      </c>
    </row>
    <row r="993" spans="1:26" x14ac:dyDescent="0.35">
      <c r="A993" s="1">
        <v>992</v>
      </c>
      <c r="B993" s="2" t="s">
        <v>3053</v>
      </c>
      <c r="C993" s="3">
        <v>45168</v>
      </c>
      <c r="D993" s="3">
        <v>45173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</v>
      </c>
      <c r="T993" s="1">
        <v>0</v>
      </c>
      <c r="U993" s="1">
        <v>9.5940000000000012</v>
      </c>
      <c r="V993">
        <f>YEAR(Table1[[#This Row],[Order Date]])</f>
        <v>2023</v>
      </c>
      <c r="W993" t="str">
        <f>TEXT(Table1[[#This Row],[Order Date]],"mmm")</f>
        <v>Aug</v>
      </c>
      <c r="X993">
        <f t="shared" si="45"/>
        <v>3.1980000000000004</v>
      </c>
      <c r="Y993" t="str">
        <f t="shared" si="46"/>
        <v>Profit</v>
      </c>
      <c r="Z993" t="str">
        <f t="shared" si="47"/>
        <v>No Discount</v>
      </c>
    </row>
    <row r="994" spans="1:26" x14ac:dyDescent="0.35">
      <c r="A994" s="1">
        <v>993</v>
      </c>
      <c r="B994" s="2" t="s">
        <v>3058</v>
      </c>
      <c r="C994" s="3">
        <v>45169</v>
      </c>
      <c r="D994" s="3">
        <v>45174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</v>
      </c>
      <c r="T994" s="1">
        <v>0</v>
      </c>
      <c r="U994" s="1">
        <v>18.503999999999991</v>
      </c>
      <c r="V994">
        <f>YEAR(Table1[[#This Row],[Order Date]])</f>
        <v>2023</v>
      </c>
      <c r="W994" t="str">
        <f>TEXT(Table1[[#This Row],[Order Date]],"mmm")</f>
        <v>Aug</v>
      </c>
      <c r="X994">
        <f t="shared" si="45"/>
        <v>2.0559999999999992</v>
      </c>
      <c r="Y994" t="str">
        <f t="shared" si="46"/>
        <v>Profit</v>
      </c>
      <c r="Z994" t="str">
        <f t="shared" si="47"/>
        <v>No Discount</v>
      </c>
    </row>
    <row r="995" spans="1:26" x14ac:dyDescent="0.35">
      <c r="A995" s="1">
        <v>994</v>
      </c>
      <c r="B995" s="2" t="s">
        <v>3064</v>
      </c>
      <c r="C995" s="3">
        <v>45170</v>
      </c>
      <c r="D995" s="3">
        <v>45174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</v>
      </c>
      <c r="T995" s="1">
        <v>0</v>
      </c>
      <c r="U995" s="1">
        <v>15.642599999999995</v>
      </c>
      <c r="V995">
        <f>YEAR(Table1[[#This Row],[Order Date]])</f>
        <v>2023</v>
      </c>
      <c r="W995" t="str">
        <f>TEXT(Table1[[#This Row],[Order Date]],"mmm")</f>
        <v>Sep</v>
      </c>
      <c r="X995">
        <f t="shared" si="45"/>
        <v>5.2141999999999982</v>
      </c>
      <c r="Y995" t="str">
        <f t="shared" si="46"/>
        <v>Profit</v>
      </c>
      <c r="Z995" t="str">
        <f t="shared" si="47"/>
        <v>No Discount</v>
      </c>
    </row>
    <row r="996" spans="1:26" x14ac:dyDescent="0.35">
      <c r="A996" s="1">
        <v>995</v>
      </c>
      <c r="B996" s="2" t="s">
        <v>3069</v>
      </c>
      <c r="C996" s="3">
        <v>45170</v>
      </c>
      <c r="D996" s="3">
        <v>45173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3.6479999999999992</v>
      </c>
      <c r="S996" s="1">
        <v>3</v>
      </c>
      <c r="T996" s="1">
        <v>0.8</v>
      </c>
      <c r="U996" s="1">
        <v>-6.0192000000000032</v>
      </c>
      <c r="V996">
        <f>YEAR(Table1[[#This Row],[Order Date]])</f>
        <v>2023</v>
      </c>
      <c r="W996" t="str">
        <f>TEXT(Table1[[#This Row],[Order Date]],"mmm")</f>
        <v>Sep</v>
      </c>
      <c r="X996">
        <f t="shared" si="45"/>
        <v>-2.0064000000000011</v>
      </c>
      <c r="Y996" t="str">
        <f t="shared" si="46"/>
        <v>Loss</v>
      </c>
      <c r="Z996" t="str">
        <f t="shared" si="47"/>
        <v>High</v>
      </c>
    </row>
    <row r="997" spans="1:26" x14ac:dyDescent="0.35">
      <c r="A997" s="1">
        <v>996</v>
      </c>
      <c r="B997" s="2" t="s">
        <v>3072</v>
      </c>
      <c r="C997" s="3">
        <v>45170</v>
      </c>
      <c r="D997" s="3">
        <v>45174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  <c r="V997">
        <f>YEAR(Table1[[#This Row],[Order Date]])</f>
        <v>2023</v>
      </c>
      <c r="W997" t="str">
        <f>TEXT(Table1[[#This Row],[Order Date]],"mmm")</f>
        <v>Sep</v>
      </c>
      <c r="X997">
        <f t="shared" si="45"/>
        <v>4.1551999999999998</v>
      </c>
      <c r="Y997" t="str">
        <f t="shared" si="46"/>
        <v>Profit</v>
      </c>
      <c r="Z997" t="str">
        <f t="shared" si="47"/>
        <v>Low</v>
      </c>
    </row>
    <row r="998" spans="1:26" x14ac:dyDescent="0.35">
      <c r="A998" s="1">
        <v>997</v>
      </c>
      <c r="B998" s="2" t="s">
        <v>3069</v>
      </c>
      <c r="C998" s="3">
        <v>45170</v>
      </c>
      <c r="D998" s="3">
        <v>45173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31.104000000000006</v>
      </c>
      <c r="S998" s="1">
        <v>6</v>
      </c>
      <c r="T998" s="1">
        <v>0.2</v>
      </c>
      <c r="U998" s="1">
        <v>10.8864</v>
      </c>
      <c r="V998">
        <f>YEAR(Table1[[#This Row],[Order Date]])</f>
        <v>2023</v>
      </c>
      <c r="W998" t="str">
        <f>TEXT(Table1[[#This Row],[Order Date]],"mmm")</f>
        <v>Sep</v>
      </c>
      <c r="X998">
        <f t="shared" si="45"/>
        <v>1.8144</v>
      </c>
      <c r="Y998" t="str">
        <f t="shared" si="46"/>
        <v>Profit</v>
      </c>
      <c r="Z998" t="str">
        <f t="shared" si="47"/>
        <v>Low</v>
      </c>
    </row>
    <row r="999" spans="1:26" x14ac:dyDescent="0.35">
      <c r="A999" s="1">
        <v>998</v>
      </c>
      <c r="B999" s="2" t="s">
        <v>3072</v>
      </c>
      <c r="C999" s="3">
        <v>45170</v>
      </c>
      <c r="D999" s="3">
        <v>45174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</v>
      </c>
      <c r="S999" s="1">
        <v>3</v>
      </c>
      <c r="T999" s="1">
        <v>0</v>
      </c>
      <c r="U999" s="1">
        <v>57.120000000000019</v>
      </c>
      <c r="V999">
        <f>YEAR(Table1[[#This Row],[Order Date]])</f>
        <v>2023</v>
      </c>
      <c r="W999" t="str">
        <f>TEXT(Table1[[#This Row],[Order Date]],"mmm")</f>
        <v>Sep</v>
      </c>
      <c r="X999">
        <f t="shared" si="45"/>
        <v>19.040000000000006</v>
      </c>
      <c r="Y999" t="str">
        <f t="shared" si="46"/>
        <v>Profit</v>
      </c>
      <c r="Z999" t="str">
        <f t="shared" si="47"/>
        <v>No Discount</v>
      </c>
    </row>
    <row r="1000" spans="1:26" x14ac:dyDescent="0.35">
      <c r="A1000" s="1">
        <v>999</v>
      </c>
      <c r="B1000" s="2" t="s">
        <v>3077</v>
      </c>
      <c r="C1000" s="3">
        <v>45171</v>
      </c>
      <c r="D1000" s="3">
        <v>45174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70.709999999999994</v>
      </c>
      <c r="S1000" s="1">
        <v>1</v>
      </c>
      <c r="T1000" s="1">
        <v>0</v>
      </c>
      <c r="U1000" s="1">
        <v>4.9496999999999929</v>
      </c>
      <c r="V1000">
        <f>YEAR(Table1[[#This Row],[Order Date]])</f>
        <v>2023</v>
      </c>
      <c r="W1000" t="str">
        <f>TEXT(Table1[[#This Row],[Order Date]],"mmm")</f>
        <v>Sep</v>
      </c>
      <c r="X1000">
        <f t="shared" si="45"/>
        <v>4.9496999999999929</v>
      </c>
      <c r="Y1000" t="str">
        <f t="shared" si="46"/>
        <v>Profit</v>
      </c>
      <c r="Z1000" t="str">
        <f t="shared" si="47"/>
        <v>No Discount</v>
      </c>
    </row>
    <row r="1001" spans="1:26" x14ac:dyDescent="0.35">
      <c r="A1001" s="1">
        <v>1000</v>
      </c>
      <c r="B1001" s="2" t="s">
        <v>3077</v>
      </c>
      <c r="C1001" s="3">
        <v>45171</v>
      </c>
      <c r="D1001" s="3">
        <v>45174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19.899999999999999</v>
      </c>
      <c r="S1001" s="1">
        <v>1</v>
      </c>
      <c r="T1001" s="1">
        <v>0</v>
      </c>
      <c r="U1001" s="1">
        <v>8.9549999999999983</v>
      </c>
      <c r="V1001">
        <f>YEAR(Table1[[#This Row],[Order Date]])</f>
        <v>2023</v>
      </c>
      <c r="W1001" t="str">
        <f>TEXT(Table1[[#This Row],[Order Date]],"mmm")</f>
        <v>Sep</v>
      </c>
      <c r="X1001">
        <f t="shared" si="45"/>
        <v>8.9549999999999983</v>
      </c>
      <c r="Y1001" t="str">
        <f t="shared" si="46"/>
        <v>Profit</v>
      </c>
      <c r="Z1001" t="str">
        <f t="shared" si="47"/>
        <v>No Discount</v>
      </c>
    </row>
    <row r="1002" spans="1:26" x14ac:dyDescent="0.35">
      <c r="A1002" s="1">
        <v>1001</v>
      </c>
      <c r="B1002" s="2" t="s">
        <v>3080</v>
      </c>
      <c r="C1002" s="3">
        <v>45171</v>
      </c>
      <c r="D1002" s="3">
        <v>45172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  <c r="V1002">
        <f>YEAR(Table1[[#This Row],[Order Date]])</f>
        <v>2023</v>
      </c>
      <c r="W1002" t="str">
        <f>TEXT(Table1[[#This Row],[Order Date]],"mmm")</f>
        <v>Sep</v>
      </c>
      <c r="X1002">
        <f t="shared" si="45"/>
        <v>3.2340000000000004</v>
      </c>
      <c r="Y1002" t="str">
        <f t="shared" si="46"/>
        <v>Profit</v>
      </c>
      <c r="Z1002" t="str">
        <f t="shared" si="47"/>
        <v>No Discount</v>
      </c>
    </row>
    <row r="1003" spans="1:26" x14ac:dyDescent="0.35">
      <c r="A1003" s="1">
        <v>1002</v>
      </c>
      <c r="B1003" s="2" t="s">
        <v>3083</v>
      </c>
      <c r="C1003" s="3">
        <v>45171</v>
      </c>
      <c r="D1003" s="3">
        <v>45173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21.240000000000002</v>
      </c>
      <c r="S1003" s="1">
        <v>3</v>
      </c>
      <c r="T1003" s="1">
        <v>0</v>
      </c>
      <c r="U1003" s="1">
        <v>8.071200000000001</v>
      </c>
      <c r="V1003">
        <f>YEAR(Table1[[#This Row],[Order Date]])</f>
        <v>2023</v>
      </c>
      <c r="W1003" t="str">
        <f>TEXT(Table1[[#This Row],[Order Date]],"mmm")</f>
        <v>Sep</v>
      </c>
      <c r="X1003">
        <f t="shared" si="45"/>
        <v>2.6904000000000003</v>
      </c>
      <c r="Y1003" t="str">
        <f t="shared" si="46"/>
        <v>Profit</v>
      </c>
      <c r="Z1003" t="str">
        <f t="shared" si="47"/>
        <v>No Discount</v>
      </c>
    </row>
    <row r="1004" spans="1:26" x14ac:dyDescent="0.35">
      <c r="A1004" s="1">
        <v>1003</v>
      </c>
      <c r="B1004" s="2" t="s">
        <v>3086</v>
      </c>
      <c r="C1004" s="3">
        <v>45171</v>
      </c>
      <c r="D1004" s="3">
        <v>45176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</v>
      </c>
      <c r="T1004" s="1">
        <v>0</v>
      </c>
      <c r="U1004" s="1">
        <v>843.17059999999992</v>
      </c>
      <c r="V1004">
        <f>YEAR(Table1[[#This Row],[Order Date]])</f>
        <v>2023</v>
      </c>
      <c r="W1004" t="str">
        <f>TEXT(Table1[[#This Row],[Order Date]],"mmm")</f>
        <v>Sep</v>
      </c>
      <c r="X1004">
        <f t="shared" si="45"/>
        <v>421.58529999999996</v>
      </c>
      <c r="Y1004" t="str">
        <f t="shared" si="46"/>
        <v>Profit</v>
      </c>
      <c r="Z1004" t="str">
        <f t="shared" si="47"/>
        <v>No Discount</v>
      </c>
    </row>
    <row r="1005" spans="1:26" x14ac:dyDescent="0.35">
      <c r="A1005" s="1">
        <v>1004</v>
      </c>
      <c r="B1005" s="2" t="s">
        <v>3080</v>
      </c>
      <c r="C1005" s="3">
        <v>45171</v>
      </c>
      <c r="D1005" s="3">
        <v>45172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>
        <f>YEAR(Table1[[#This Row],[Order Date]])</f>
        <v>2023</v>
      </c>
      <c r="W1005" t="str">
        <f>TEXT(Table1[[#This Row],[Order Date]],"mmm")</f>
        <v>Sep</v>
      </c>
      <c r="X1005">
        <f t="shared" si="45"/>
        <v>2.3406000000000002</v>
      </c>
      <c r="Y1005" t="str">
        <f t="shared" si="46"/>
        <v>Profit</v>
      </c>
      <c r="Z1005" t="str">
        <f t="shared" si="47"/>
        <v>No Discount</v>
      </c>
    </row>
    <row r="1006" spans="1:26" x14ac:dyDescent="0.35">
      <c r="A1006" s="1">
        <v>1005</v>
      </c>
      <c r="B1006" s="2" t="s">
        <v>3089</v>
      </c>
      <c r="C1006" s="3">
        <v>45171</v>
      </c>
      <c r="D1006" s="3">
        <v>45177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V1006">
        <f>YEAR(Table1[[#This Row],[Order Date]])</f>
        <v>2023</v>
      </c>
      <c r="W1006" t="str">
        <f>TEXT(Table1[[#This Row],[Order Date]],"mmm")</f>
        <v>Sep</v>
      </c>
      <c r="X1006">
        <f t="shared" si="45"/>
        <v>13.598399999999996</v>
      </c>
      <c r="Y1006" t="str">
        <f t="shared" si="46"/>
        <v>Profit</v>
      </c>
      <c r="Z1006" t="str">
        <f t="shared" si="47"/>
        <v>Low</v>
      </c>
    </row>
    <row r="1007" spans="1:26" x14ac:dyDescent="0.35">
      <c r="A1007" s="1">
        <v>1006</v>
      </c>
      <c r="B1007" s="2" t="s">
        <v>3090</v>
      </c>
      <c r="C1007" s="3">
        <v>45171</v>
      </c>
      <c r="D1007" s="3">
        <v>45176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</v>
      </c>
      <c r="T1007" s="1">
        <v>0.2</v>
      </c>
      <c r="U1007" s="1">
        <v>53.994600000000005</v>
      </c>
      <c r="V1007">
        <f>YEAR(Table1[[#This Row],[Order Date]])</f>
        <v>2023</v>
      </c>
      <c r="W1007" t="str">
        <f>TEXT(Table1[[#This Row],[Order Date]],"mmm")</f>
        <v>Sep</v>
      </c>
      <c r="X1007">
        <f t="shared" si="45"/>
        <v>17.998200000000001</v>
      </c>
      <c r="Y1007" t="str">
        <f t="shared" si="46"/>
        <v>Profit</v>
      </c>
      <c r="Z1007" t="str">
        <f t="shared" si="47"/>
        <v>Low</v>
      </c>
    </row>
    <row r="1008" spans="1:26" x14ac:dyDescent="0.35">
      <c r="A1008" s="1">
        <v>1007</v>
      </c>
      <c r="B1008" s="2" t="s">
        <v>3091</v>
      </c>
      <c r="C1008" s="3">
        <v>45171</v>
      </c>
      <c r="D1008" s="3">
        <v>45176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</v>
      </c>
      <c r="T1008" s="1">
        <v>0.4</v>
      </c>
      <c r="U1008" s="1">
        <v>-121.27049999999997</v>
      </c>
      <c r="V1008">
        <f>YEAR(Table1[[#This Row],[Order Date]])</f>
        <v>2023</v>
      </c>
      <c r="W1008" t="str">
        <f>TEXT(Table1[[#This Row],[Order Date]],"mmm")</f>
        <v>Sep</v>
      </c>
      <c r="X1008">
        <f t="shared" si="45"/>
        <v>-40.42349999999999</v>
      </c>
      <c r="Y1008" t="str">
        <f t="shared" si="46"/>
        <v>Loss</v>
      </c>
      <c r="Z1008" t="str">
        <f t="shared" si="47"/>
        <v>Medium</v>
      </c>
    </row>
    <row r="1009" spans="1:26" x14ac:dyDescent="0.35">
      <c r="A1009" s="1">
        <v>1008</v>
      </c>
      <c r="B1009" s="2" t="s">
        <v>3094</v>
      </c>
      <c r="C1009" s="3">
        <v>45172</v>
      </c>
      <c r="D1009" s="3">
        <v>45173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7.6799999999999979</v>
      </c>
      <c r="S1009" s="1">
        <v>5</v>
      </c>
      <c r="T1009" s="1">
        <v>0.8</v>
      </c>
      <c r="U1009" s="1">
        <v>-11.52</v>
      </c>
      <c r="V1009">
        <f>YEAR(Table1[[#This Row],[Order Date]])</f>
        <v>2023</v>
      </c>
      <c r="W1009" t="str">
        <f>TEXT(Table1[[#This Row],[Order Date]],"mmm")</f>
        <v>Sep</v>
      </c>
      <c r="X1009">
        <f t="shared" si="45"/>
        <v>-2.3039999999999998</v>
      </c>
      <c r="Y1009" t="str">
        <f t="shared" si="46"/>
        <v>Loss</v>
      </c>
      <c r="Z1009" t="str">
        <f t="shared" si="47"/>
        <v>High</v>
      </c>
    </row>
    <row r="1010" spans="1:26" x14ac:dyDescent="0.35">
      <c r="A1010" s="1">
        <v>1009</v>
      </c>
      <c r="B1010" s="2" t="s">
        <v>3099</v>
      </c>
      <c r="C1010" s="3">
        <v>45172</v>
      </c>
      <c r="D1010" s="3">
        <v>45172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14.399999999999999</v>
      </c>
      <c r="S1010" s="1">
        <v>5</v>
      </c>
      <c r="T1010" s="1">
        <v>0</v>
      </c>
      <c r="U1010" s="1">
        <v>7.056</v>
      </c>
      <c r="V1010">
        <f>YEAR(Table1[[#This Row],[Order Date]])</f>
        <v>2023</v>
      </c>
      <c r="W1010" t="str">
        <f>TEXT(Table1[[#This Row],[Order Date]],"mmm")</f>
        <v>Sep</v>
      </c>
      <c r="X1010">
        <f t="shared" si="45"/>
        <v>1.4112</v>
      </c>
      <c r="Y1010" t="str">
        <f t="shared" si="46"/>
        <v>Profit</v>
      </c>
      <c r="Z1010" t="str">
        <f t="shared" si="47"/>
        <v>No Discount</v>
      </c>
    </row>
    <row r="1011" spans="1:26" x14ac:dyDescent="0.35">
      <c r="A1011" s="1">
        <v>1010</v>
      </c>
      <c r="B1011" s="2" t="s">
        <v>3100</v>
      </c>
      <c r="C1011" s="3">
        <v>45174</v>
      </c>
      <c r="D1011" s="3">
        <v>45176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V1011">
        <f>YEAR(Table1[[#This Row],[Order Date]])</f>
        <v>2023</v>
      </c>
      <c r="W1011" t="str">
        <f>TEXT(Table1[[#This Row],[Order Date]],"mmm")</f>
        <v>Sep</v>
      </c>
      <c r="X1011">
        <f t="shared" si="45"/>
        <v>0.99949999999999894</v>
      </c>
      <c r="Y1011" t="str">
        <f t="shared" si="46"/>
        <v>Profit</v>
      </c>
      <c r="Z1011" t="str">
        <f t="shared" si="47"/>
        <v>Low</v>
      </c>
    </row>
    <row r="1012" spans="1:26" x14ac:dyDescent="0.35">
      <c r="A1012" s="1">
        <v>1011</v>
      </c>
      <c r="B1012" s="2" t="s">
        <v>3105</v>
      </c>
      <c r="C1012" s="3">
        <v>45174</v>
      </c>
      <c r="D1012" s="3">
        <v>45179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</v>
      </c>
      <c r="T1012" s="1">
        <v>0.2</v>
      </c>
      <c r="U1012" s="1">
        <v>19.823999999999998</v>
      </c>
      <c r="V1012">
        <f>YEAR(Table1[[#This Row],[Order Date]])</f>
        <v>2023</v>
      </c>
      <c r="W1012" t="str">
        <f>TEXT(Table1[[#This Row],[Order Date]],"mmm")</f>
        <v>Sep</v>
      </c>
      <c r="X1012">
        <f t="shared" si="45"/>
        <v>9.911999999999999</v>
      </c>
      <c r="Y1012" t="str">
        <f t="shared" si="46"/>
        <v>Profit</v>
      </c>
      <c r="Z1012" t="str">
        <f t="shared" si="47"/>
        <v>Low</v>
      </c>
    </row>
    <row r="1013" spans="1:26" x14ac:dyDescent="0.35">
      <c r="A1013" s="1">
        <v>1012</v>
      </c>
      <c r="B1013" s="2" t="s">
        <v>3109</v>
      </c>
      <c r="C1013" s="3">
        <v>45175</v>
      </c>
      <c r="D1013" s="3">
        <v>45178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</v>
      </c>
      <c r="T1013" s="1">
        <v>0</v>
      </c>
      <c r="U1013" s="1">
        <v>12.145199999999997</v>
      </c>
      <c r="V1013">
        <f>YEAR(Table1[[#This Row],[Order Date]])</f>
        <v>2023</v>
      </c>
      <c r="W1013" t="str">
        <f>TEXT(Table1[[#This Row],[Order Date]],"mmm")</f>
        <v>Sep</v>
      </c>
      <c r="X1013">
        <f t="shared" si="45"/>
        <v>2.0241999999999996</v>
      </c>
      <c r="Y1013" t="str">
        <f t="shared" si="46"/>
        <v>Profit</v>
      </c>
      <c r="Z1013" t="str">
        <f t="shared" si="47"/>
        <v>No Discount</v>
      </c>
    </row>
    <row r="1014" spans="1:26" x14ac:dyDescent="0.35">
      <c r="A1014" s="1">
        <v>1013</v>
      </c>
      <c r="B1014" s="2" t="s">
        <v>3109</v>
      </c>
      <c r="C1014" s="3">
        <v>45175</v>
      </c>
      <c r="D1014" s="3">
        <v>45178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</v>
      </c>
      <c r="T1014" s="1">
        <v>0</v>
      </c>
      <c r="U1014" s="1">
        <v>27.485599999999998</v>
      </c>
      <c r="V1014">
        <f>YEAR(Table1[[#This Row],[Order Date]])</f>
        <v>2023</v>
      </c>
      <c r="W1014" t="str">
        <f>TEXT(Table1[[#This Row],[Order Date]],"mmm")</f>
        <v>Sep</v>
      </c>
      <c r="X1014">
        <f t="shared" si="45"/>
        <v>3.4356999999999998</v>
      </c>
      <c r="Y1014" t="str">
        <f t="shared" si="46"/>
        <v>Profit</v>
      </c>
      <c r="Z1014" t="str">
        <f t="shared" si="47"/>
        <v>No Discount</v>
      </c>
    </row>
    <row r="1015" spans="1:26" x14ac:dyDescent="0.35">
      <c r="A1015" s="1">
        <v>1014</v>
      </c>
      <c r="B1015" s="2" t="s">
        <v>3112</v>
      </c>
      <c r="C1015" s="3">
        <v>45176</v>
      </c>
      <c r="D1015" s="3">
        <v>45182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</v>
      </c>
      <c r="T1015" s="1">
        <v>0</v>
      </c>
      <c r="U1015" s="1">
        <v>45.348800000000011</v>
      </c>
      <c r="V1015">
        <f>YEAR(Table1[[#This Row],[Order Date]])</f>
        <v>2023</v>
      </c>
      <c r="W1015" t="str">
        <f>TEXT(Table1[[#This Row],[Order Date]],"mmm")</f>
        <v>Sep</v>
      </c>
      <c r="X1015">
        <f t="shared" si="45"/>
        <v>22.674400000000006</v>
      </c>
      <c r="Y1015" t="str">
        <f t="shared" si="46"/>
        <v>Profit</v>
      </c>
      <c r="Z1015" t="str">
        <f t="shared" si="47"/>
        <v>No Discount</v>
      </c>
    </row>
    <row r="1016" spans="1:26" x14ac:dyDescent="0.35">
      <c r="A1016" s="1">
        <v>1015</v>
      </c>
      <c r="B1016" s="2" t="s">
        <v>3114</v>
      </c>
      <c r="C1016" s="3">
        <v>45176</v>
      </c>
      <c r="D1016" s="3">
        <v>45182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V1016">
        <f>YEAR(Table1[[#This Row],[Order Date]])</f>
        <v>2023</v>
      </c>
      <c r="W1016" t="str">
        <f>TEXT(Table1[[#This Row],[Order Date]],"mmm")</f>
        <v>Sep</v>
      </c>
      <c r="X1016">
        <f t="shared" si="45"/>
        <v>4.2367999999999979</v>
      </c>
      <c r="Y1016" t="str">
        <f t="shared" si="46"/>
        <v>Profit</v>
      </c>
      <c r="Z1016" t="str">
        <f t="shared" si="47"/>
        <v>Low</v>
      </c>
    </row>
    <row r="1017" spans="1:26" x14ac:dyDescent="0.35">
      <c r="A1017" s="1">
        <v>1016</v>
      </c>
      <c r="B1017" s="2" t="s">
        <v>3117</v>
      </c>
      <c r="C1017" s="3">
        <v>45176</v>
      </c>
      <c r="D1017" s="3">
        <v>45181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</v>
      </c>
      <c r="T1017" s="1">
        <v>0</v>
      </c>
      <c r="U1017" s="1">
        <v>23.652900000000002</v>
      </c>
      <c r="V1017">
        <f>YEAR(Table1[[#This Row],[Order Date]])</f>
        <v>2023</v>
      </c>
      <c r="W1017" t="str">
        <f>TEXT(Table1[[#This Row],[Order Date]],"mmm")</f>
        <v>Sep</v>
      </c>
      <c r="X1017">
        <f t="shared" si="45"/>
        <v>7.8843000000000005</v>
      </c>
      <c r="Y1017" t="str">
        <f t="shared" si="46"/>
        <v>Profit</v>
      </c>
      <c r="Z1017" t="str">
        <f t="shared" si="47"/>
        <v>No Discount</v>
      </c>
    </row>
    <row r="1018" spans="1:26" x14ac:dyDescent="0.35">
      <c r="A1018" s="1">
        <v>1017</v>
      </c>
      <c r="B1018" s="2" t="s">
        <v>3117</v>
      </c>
      <c r="C1018" s="3">
        <v>45176</v>
      </c>
      <c r="D1018" s="3">
        <v>45181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821.87999999999988</v>
      </c>
      <c r="S1018" s="1">
        <v>6</v>
      </c>
      <c r="T1018" s="1">
        <v>0</v>
      </c>
      <c r="U1018" s="1">
        <v>213.68880000000001</v>
      </c>
      <c r="V1018">
        <f>YEAR(Table1[[#This Row],[Order Date]])</f>
        <v>2023</v>
      </c>
      <c r="W1018" t="str">
        <f>TEXT(Table1[[#This Row],[Order Date]],"mmm")</f>
        <v>Sep</v>
      </c>
      <c r="X1018">
        <f t="shared" si="45"/>
        <v>35.614800000000002</v>
      </c>
      <c r="Y1018" t="str">
        <f t="shared" si="46"/>
        <v>Profit</v>
      </c>
      <c r="Z1018" t="str">
        <f t="shared" si="47"/>
        <v>No Discount</v>
      </c>
    </row>
    <row r="1019" spans="1:26" x14ac:dyDescent="0.35">
      <c r="A1019" s="1">
        <v>1018</v>
      </c>
      <c r="B1019" s="2" t="s">
        <v>3112</v>
      </c>
      <c r="C1019" s="3">
        <v>45176</v>
      </c>
      <c r="D1019" s="3">
        <v>45182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429.90000000000003</v>
      </c>
      <c r="S1019" s="1">
        <v>5</v>
      </c>
      <c r="T1019" s="1">
        <v>0</v>
      </c>
      <c r="U1019" s="1">
        <v>111.77400000000003</v>
      </c>
      <c r="V1019">
        <f>YEAR(Table1[[#This Row],[Order Date]])</f>
        <v>2023</v>
      </c>
      <c r="W1019" t="str">
        <f>TEXT(Table1[[#This Row],[Order Date]],"mmm")</f>
        <v>Sep</v>
      </c>
      <c r="X1019">
        <f t="shared" si="45"/>
        <v>22.354800000000004</v>
      </c>
      <c r="Y1019" t="str">
        <f t="shared" si="46"/>
        <v>Profit</v>
      </c>
      <c r="Z1019" t="str">
        <f t="shared" si="47"/>
        <v>No Discount</v>
      </c>
    </row>
    <row r="1020" spans="1:26" x14ac:dyDescent="0.35">
      <c r="A1020" s="1">
        <v>1019</v>
      </c>
      <c r="B1020" s="2" t="s">
        <v>3120</v>
      </c>
      <c r="C1020" s="3">
        <v>45176</v>
      </c>
      <c r="D1020" s="3">
        <v>45179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V1020">
        <f>YEAR(Table1[[#This Row],[Order Date]])</f>
        <v>2023</v>
      </c>
      <c r="W1020" t="str">
        <f>TEXT(Table1[[#This Row],[Order Date]],"mmm")</f>
        <v>Sep</v>
      </c>
      <c r="X1020">
        <f t="shared" si="45"/>
        <v>-22.948000000000008</v>
      </c>
      <c r="Y1020" t="str">
        <f t="shared" si="46"/>
        <v>Loss</v>
      </c>
      <c r="Z1020" t="str">
        <f t="shared" si="47"/>
        <v>Medium</v>
      </c>
    </row>
    <row r="1021" spans="1:26" x14ac:dyDescent="0.35">
      <c r="A1021" s="1">
        <v>1020</v>
      </c>
      <c r="B1021" s="2" t="s">
        <v>3120</v>
      </c>
      <c r="C1021" s="3">
        <v>45176</v>
      </c>
      <c r="D1021" s="3">
        <v>45179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V1021">
        <f>YEAR(Table1[[#This Row],[Order Date]])</f>
        <v>2023</v>
      </c>
      <c r="W1021" t="str">
        <f>TEXT(Table1[[#This Row],[Order Date]],"mmm")</f>
        <v>Sep</v>
      </c>
      <c r="X1021">
        <f t="shared" si="45"/>
        <v>1.1842999999999995</v>
      </c>
      <c r="Y1021" t="str">
        <f t="shared" si="46"/>
        <v>Profit</v>
      </c>
      <c r="Z1021" t="str">
        <f t="shared" si="47"/>
        <v>Low</v>
      </c>
    </row>
    <row r="1022" spans="1:26" x14ac:dyDescent="0.35">
      <c r="A1022" s="1">
        <v>1021</v>
      </c>
      <c r="B1022" s="2" t="s">
        <v>3120</v>
      </c>
      <c r="C1022" s="3">
        <v>45176</v>
      </c>
      <c r="D1022" s="3">
        <v>45179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V1022">
        <f>YEAR(Table1[[#This Row],[Order Date]])</f>
        <v>2023</v>
      </c>
      <c r="W1022" t="str">
        <f>TEXT(Table1[[#This Row],[Order Date]],"mmm")</f>
        <v>Sep</v>
      </c>
      <c r="X1022">
        <f t="shared" si="45"/>
        <v>-2.4090000000000003</v>
      </c>
      <c r="Y1022" t="str">
        <f t="shared" si="46"/>
        <v>Loss</v>
      </c>
      <c r="Z1022" t="str">
        <f t="shared" si="47"/>
        <v>High</v>
      </c>
    </row>
    <row r="1023" spans="1:26" x14ac:dyDescent="0.35">
      <c r="A1023" s="1">
        <v>1022</v>
      </c>
      <c r="B1023" s="2" t="s">
        <v>3112</v>
      </c>
      <c r="C1023" s="3">
        <v>45176</v>
      </c>
      <c r="D1023" s="3">
        <v>45182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</v>
      </c>
      <c r="T1023" s="1">
        <v>0</v>
      </c>
      <c r="U1023" s="1">
        <v>15.3888</v>
      </c>
      <c r="V1023">
        <f>YEAR(Table1[[#This Row],[Order Date]])</f>
        <v>2023</v>
      </c>
      <c r="W1023" t="str">
        <f>TEXT(Table1[[#This Row],[Order Date]],"mmm")</f>
        <v>Sep</v>
      </c>
      <c r="X1023">
        <f t="shared" si="45"/>
        <v>7.6943999999999999</v>
      </c>
      <c r="Y1023" t="str">
        <f t="shared" si="46"/>
        <v>Profit</v>
      </c>
      <c r="Z1023" t="str">
        <f t="shared" si="47"/>
        <v>No Discount</v>
      </c>
    </row>
    <row r="1024" spans="1:26" x14ac:dyDescent="0.35">
      <c r="A1024" s="1">
        <v>1023</v>
      </c>
      <c r="B1024" s="2" t="s">
        <v>3117</v>
      </c>
      <c r="C1024" s="3">
        <v>45176</v>
      </c>
      <c r="D1024" s="3">
        <v>45181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  <c r="V1024">
        <f>YEAR(Table1[[#This Row],[Order Date]])</f>
        <v>2023</v>
      </c>
      <c r="W1024" t="str">
        <f>TEXT(Table1[[#This Row],[Order Date]],"mmm")</f>
        <v>Sep</v>
      </c>
      <c r="X1024">
        <f t="shared" si="45"/>
        <v>6.7069000000000001</v>
      </c>
      <c r="Y1024" t="str">
        <f t="shared" si="46"/>
        <v>Profit</v>
      </c>
      <c r="Z1024" t="str">
        <f t="shared" si="47"/>
        <v>No Discount</v>
      </c>
    </row>
    <row r="1025" spans="1:26" x14ac:dyDescent="0.35">
      <c r="A1025" s="1">
        <v>1024</v>
      </c>
      <c r="B1025" s="2" t="s">
        <v>3131</v>
      </c>
      <c r="C1025" s="3">
        <v>45176</v>
      </c>
      <c r="D1025" s="3">
        <v>45183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V1025">
        <f>YEAR(Table1[[#This Row],[Order Date]])</f>
        <v>2023</v>
      </c>
      <c r="W1025" t="str">
        <f>TEXT(Table1[[#This Row],[Order Date]],"mmm")</f>
        <v>Sep</v>
      </c>
      <c r="X1025">
        <f t="shared" si="45"/>
        <v>-2.1692000000000005</v>
      </c>
      <c r="Y1025" t="str">
        <f t="shared" si="46"/>
        <v>Loss</v>
      </c>
      <c r="Z1025" t="str">
        <f t="shared" si="47"/>
        <v>High</v>
      </c>
    </row>
    <row r="1026" spans="1:26" x14ac:dyDescent="0.35">
      <c r="A1026" s="1">
        <v>1025</v>
      </c>
      <c r="B1026" s="2" t="s">
        <v>3133</v>
      </c>
      <c r="C1026" s="3">
        <v>45176</v>
      </c>
      <c r="D1026" s="3">
        <v>45181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83.920000000000016</v>
      </c>
      <c r="S1026" s="1">
        <v>5</v>
      </c>
      <c r="T1026" s="1">
        <v>0.2</v>
      </c>
      <c r="U1026" s="1">
        <v>31.47</v>
      </c>
      <c r="V1026">
        <f>YEAR(Table1[[#This Row],[Order Date]])</f>
        <v>2023</v>
      </c>
      <c r="W1026" t="str">
        <f>TEXT(Table1[[#This Row],[Order Date]],"mmm")</f>
        <v>Sep</v>
      </c>
      <c r="X1026">
        <f t="shared" ref="X1026:X1089" si="48">IFERROR(U1026/S1026,0)</f>
        <v>6.2939999999999996</v>
      </c>
      <c r="Y1026" t="str">
        <f t="shared" ref="Y1026:Y1089" si="49">IF(U1026&gt;0,"Profit",IF(U1026&lt;0,"Loss","Break-even"))</f>
        <v>Profit</v>
      </c>
      <c r="Z1026" t="str">
        <f t="shared" ref="Z1026:Z1089" si="50">IF(T1026=0,"No Discount",IF(T1026&lt;=0.2,"Low",IF(T1026&lt;=0.4,"Medium","High")))</f>
        <v>Low</v>
      </c>
    </row>
    <row r="1027" spans="1:26" x14ac:dyDescent="0.35">
      <c r="A1027" s="1">
        <v>1026</v>
      </c>
      <c r="B1027" s="2" t="s">
        <v>3131</v>
      </c>
      <c r="C1027" s="3">
        <v>45176</v>
      </c>
      <c r="D1027" s="3">
        <v>45183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V1027">
        <f>YEAR(Table1[[#This Row],[Order Date]])</f>
        <v>2023</v>
      </c>
      <c r="W1027" t="str">
        <f>TEXT(Table1[[#This Row],[Order Date]],"mmm")</f>
        <v>Sep</v>
      </c>
      <c r="X1027">
        <f t="shared" si="48"/>
        <v>-106.74650000000001</v>
      </c>
      <c r="Y1027" t="str">
        <f t="shared" si="49"/>
        <v>Loss</v>
      </c>
      <c r="Z1027" t="str">
        <f t="shared" si="50"/>
        <v>High</v>
      </c>
    </row>
    <row r="1028" spans="1:26" x14ac:dyDescent="0.35">
      <c r="A1028" s="1">
        <v>1027</v>
      </c>
      <c r="B1028" s="2" t="s">
        <v>3131</v>
      </c>
      <c r="C1028" s="3">
        <v>45176</v>
      </c>
      <c r="D1028" s="3">
        <v>45183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  <c r="V1028">
        <f>YEAR(Table1[[#This Row],[Order Date]])</f>
        <v>2023</v>
      </c>
      <c r="W1028" t="str">
        <f>TEXT(Table1[[#This Row],[Order Date]],"mmm")</f>
        <v>Sep</v>
      </c>
      <c r="X1028">
        <f t="shared" si="48"/>
        <v>0.82250000000000001</v>
      </c>
      <c r="Y1028" t="str">
        <f t="shared" si="49"/>
        <v>Profit</v>
      </c>
      <c r="Z1028" t="str">
        <f t="shared" si="50"/>
        <v>Low</v>
      </c>
    </row>
    <row r="1029" spans="1:26" x14ac:dyDescent="0.35">
      <c r="A1029" s="1">
        <v>1028</v>
      </c>
      <c r="B1029" s="2" t="s">
        <v>3133</v>
      </c>
      <c r="C1029" s="3">
        <v>45176</v>
      </c>
      <c r="D1029" s="3">
        <v>45181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</v>
      </c>
      <c r="T1029" s="1">
        <v>0</v>
      </c>
      <c r="U1029" s="1">
        <v>9.663199999999998</v>
      </c>
      <c r="V1029">
        <f>YEAR(Table1[[#This Row],[Order Date]])</f>
        <v>2023</v>
      </c>
      <c r="W1029" t="str">
        <f>TEXT(Table1[[#This Row],[Order Date]],"mmm")</f>
        <v>Sep</v>
      </c>
      <c r="X1029">
        <f t="shared" si="48"/>
        <v>4.831599999999999</v>
      </c>
      <c r="Y1029" t="str">
        <f t="shared" si="49"/>
        <v>Profit</v>
      </c>
      <c r="Z1029" t="str">
        <f t="shared" si="50"/>
        <v>No Discount</v>
      </c>
    </row>
    <row r="1030" spans="1:26" x14ac:dyDescent="0.35">
      <c r="A1030" s="1">
        <v>1029</v>
      </c>
      <c r="B1030" s="2" t="s">
        <v>3117</v>
      </c>
      <c r="C1030" s="3">
        <v>45176</v>
      </c>
      <c r="D1030" s="3">
        <v>45181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</v>
      </c>
      <c r="T1030" s="1">
        <v>0</v>
      </c>
      <c r="U1030" s="1">
        <v>6.2208000000000006</v>
      </c>
      <c r="V1030">
        <f>YEAR(Table1[[#This Row],[Order Date]])</f>
        <v>2023</v>
      </c>
      <c r="W1030" t="str">
        <f>TEXT(Table1[[#This Row],[Order Date]],"mmm")</f>
        <v>Sep</v>
      </c>
      <c r="X1030">
        <f t="shared" si="48"/>
        <v>3.1104000000000003</v>
      </c>
      <c r="Y1030" t="str">
        <f t="shared" si="49"/>
        <v>Profit</v>
      </c>
      <c r="Z1030" t="str">
        <f t="shared" si="50"/>
        <v>No Discount</v>
      </c>
    </row>
    <row r="1031" spans="1:26" x14ac:dyDescent="0.35">
      <c r="A1031" s="1">
        <v>1030</v>
      </c>
      <c r="B1031" s="2" t="s">
        <v>3114</v>
      </c>
      <c r="C1031" s="3">
        <v>45176</v>
      </c>
      <c r="D1031" s="3">
        <v>45182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V1031">
        <f>YEAR(Table1[[#This Row],[Order Date]])</f>
        <v>2023</v>
      </c>
      <c r="W1031" t="str">
        <f>TEXT(Table1[[#This Row],[Order Date]],"mmm")</f>
        <v>Sep</v>
      </c>
      <c r="X1031">
        <f t="shared" si="48"/>
        <v>-14.576399999999996</v>
      </c>
      <c r="Y1031" t="str">
        <f t="shared" si="49"/>
        <v>Loss</v>
      </c>
      <c r="Z1031" t="str">
        <f t="shared" si="50"/>
        <v>Low</v>
      </c>
    </row>
    <row r="1032" spans="1:26" x14ac:dyDescent="0.35">
      <c r="A1032" s="1">
        <v>1031</v>
      </c>
      <c r="B1032" s="2" t="s">
        <v>3112</v>
      </c>
      <c r="C1032" s="3">
        <v>45176</v>
      </c>
      <c r="D1032" s="3">
        <v>45182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</v>
      </c>
      <c r="T1032" s="1">
        <v>0</v>
      </c>
      <c r="U1032" s="1">
        <v>5.7593999999999976</v>
      </c>
      <c r="V1032">
        <f>YEAR(Table1[[#This Row],[Order Date]])</f>
        <v>2023</v>
      </c>
      <c r="W1032" t="str">
        <f>TEXT(Table1[[#This Row],[Order Date]],"mmm")</f>
        <v>Sep</v>
      </c>
      <c r="X1032">
        <f t="shared" si="48"/>
        <v>2.8796999999999988</v>
      </c>
      <c r="Y1032" t="str">
        <f t="shared" si="49"/>
        <v>Profit</v>
      </c>
      <c r="Z1032" t="str">
        <f t="shared" si="50"/>
        <v>No Discount</v>
      </c>
    </row>
    <row r="1033" spans="1:26" x14ac:dyDescent="0.35">
      <c r="A1033" s="1">
        <v>1032</v>
      </c>
      <c r="B1033" s="2" t="s">
        <v>3133</v>
      </c>
      <c r="C1033" s="3">
        <v>45176</v>
      </c>
      <c r="D1033" s="3">
        <v>45181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</v>
      </c>
      <c r="T1033" s="1">
        <v>0</v>
      </c>
      <c r="U1033" s="1">
        <v>7.3872</v>
      </c>
      <c r="V1033">
        <f>YEAR(Table1[[#This Row],[Order Date]])</f>
        <v>2023</v>
      </c>
      <c r="W1033" t="str">
        <f>TEXT(Table1[[#This Row],[Order Date]],"mmm")</f>
        <v>Sep</v>
      </c>
      <c r="X1033">
        <f t="shared" si="48"/>
        <v>1.8468</v>
      </c>
      <c r="Y1033" t="str">
        <f t="shared" si="49"/>
        <v>Profit</v>
      </c>
      <c r="Z1033" t="str">
        <f t="shared" si="50"/>
        <v>No Discount</v>
      </c>
    </row>
    <row r="1034" spans="1:26" x14ac:dyDescent="0.35">
      <c r="A1034" s="1">
        <v>1033</v>
      </c>
      <c r="B1034" s="2" t="s">
        <v>3120</v>
      </c>
      <c r="C1034" s="3">
        <v>45176</v>
      </c>
      <c r="D1034" s="3">
        <v>45179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V1034">
        <f>YEAR(Table1[[#This Row],[Order Date]])</f>
        <v>2023</v>
      </c>
      <c r="W1034" t="str">
        <f>TEXT(Table1[[#This Row],[Order Date]],"mmm")</f>
        <v>Sep</v>
      </c>
      <c r="X1034">
        <f t="shared" si="48"/>
        <v>-0.7295000000000007</v>
      </c>
      <c r="Y1034" t="str">
        <f t="shared" si="49"/>
        <v>Loss</v>
      </c>
      <c r="Z1034" t="str">
        <f t="shared" si="50"/>
        <v>Low</v>
      </c>
    </row>
    <row r="1035" spans="1:26" x14ac:dyDescent="0.35">
      <c r="A1035" s="1">
        <v>1034</v>
      </c>
      <c r="B1035" s="2" t="s">
        <v>3114</v>
      </c>
      <c r="C1035" s="3">
        <v>45176</v>
      </c>
      <c r="D1035" s="3">
        <v>45182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</v>
      </c>
      <c r="T1035" s="1">
        <v>0.7</v>
      </c>
      <c r="U1035" s="1">
        <v>-559.35599999999988</v>
      </c>
      <c r="V1035">
        <f>YEAR(Table1[[#This Row],[Order Date]])</f>
        <v>2023</v>
      </c>
      <c r="W1035" t="str">
        <f>TEXT(Table1[[#This Row],[Order Date]],"mmm")</f>
        <v>Sep</v>
      </c>
      <c r="X1035">
        <f t="shared" si="48"/>
        <v>-139.83899999999997</v>
      </c>
      <c r="Y1035" t="str">
        <f t="shared" si="49"/>
        <v>Loss</v>
      </c>
      <c r="Z1035" t="str">
        <f t="shared" si="50"/>
        <v>High</v>
      </c>
    </row>
    <row r="1036" spans="1:26" x14ac:dyDescent="0.35">
      <c r="A1036" s="1">
        <v>1035</v>
      </c>
      <c r="B1036" s="2" t="s">
        <v>3117</v>
      </c>
      <c r="C1036" s="3">
        <v>45176</v>
      </c>
      <c r="D1036" s="3">
        <v>45181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104.85000000000001</v>
      </c>
      <c r="S1036" s="1">
        <v>3</v>
      </c>
      <c r="T1036" s="1">
        <v>0</v>
      </c>
      <c r="U1036" s="1">
        <v>28.309500000000007</v>
      </c>
      <c r="V1036">
        <f>YEAR(Table1[[#This Row],[Order Date]])</f>
        <v>2023</v>
      </c>
      <c r="W1036" t="str">
        <f>TEXT(Table1[[#This Row],[Order Date]],"mmm")</f>
        <v>Sep</v>
      </c>
      <c r="X1036">
        <f t="shared" si="48"/>
        <v>9.4365000000000023</v>
      </c>
      <c r="Y1036" t="str">
        <f t="shared" si="49"/>
        <v>Profit</v>
      </c>
      <c r="Z1036" t="str">
        <f t="shared" si="50"/>
        <v>No Discount</v>
      </c>
    </row>
    <row r="1037" spans="1:26" x14ac:dyDescent="0.35">
      <c r="A1037" s="1">
        <v>1036</v>
      </c>
      <c r="B1037" s="2" t="s">
        <v>3120</v>
      </c>
      <c r="C1037" s="3">
        <v>45176</v>
      </c>
      <c r="D1037" s="3">
        <v>45179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V1037">
        <f>YEAR(Table1[[#This Row],[Order Date]])</f>
        <v>2023</v>
      </c>
      <c r="W1037" t="str">
        <f>TEXT(Table1[[#This Row],[Order Date]],"mmm")</f>
        <v>Sep</v>
      </c>
      <c r="X1037">
        <f t="shared" si="48"/>
        <v>4.9193999999999987</v>
      </c>
      <c r="Y1037" t="str">
        <f t="shared" si="49"/>
        <v>Profit</v>
      </c>
      <c r="Z1037" t="str">
        <f t="shared" si="50"/>
        <v>Low</v>
      </c>
    </row>
    <row r="1038" spans="1:26" x14ac:dyDescent="0.35">
      <c r="A1038" s="1">
        <v>1037</v>
      </c>
      <c r="B1038" s="2" t="s">
        <v>3153</v>
      </c>
      <c r="C1038" s="3">
        <v>45176</v>
      </c>
      <c r="D1038" s="3">
        <v>45182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377.96999999999997</v>
      </c>
      <c r="S1038" s="1">
        <v>3</v>
      </c>
      <c r="T1038" s="1">
        <v>0</v>
      </c>
      <c r="U1038" s="1">
        <v>109.61129999999999</v>
      </c>
      <c r="V1038">
        <f>YEAR(Table1[[#This Row],[Order Date]])</f>
        <v>2023</v>
      </c>
      <c r="W1038" t="str">
        <f>TEXT(Table1[[#This Row],[Order Date]],"mmm")</f>
        <v>Sep</v>
      </c>
      <c r="X1038">
        <f t="shared" si="48"/>
        <v>36.537099999999995</v>
      </c>
      <c r="Y1038" t="str">
        <f t="shared" si="49"/>
        <v>Profit</v>
      </c>
      <c r="Z1038" t="str">
        <f t="shared" si="50"/>
        <v>No Discount</v>
      </c>
    </row>
    <row r="1039" spans="1:26" x14ac:dyDescent="0.35">
      <c r="A1039" s="1">
        <v>1038</v>
      </c>
      <c r="B1039" s="2" t="s">
        <v>3114</v>
      </c>
      <c r="C1039" s="3">
        <v>45176</v>
      </c>
      <c r="D1039" s="3">
        <v>45182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V1039">
        <f>YEAR(Table1[[#This Row],[Order Date]])</f>
        <v>2023</v>
      </c>
      <c r="W1039" t="str">
        <f>TEXT(Table1[[#This Row],[Order Date]],"mmm")</f>
        <v>Sep</v>
      </c>
      <c r="X1039">
        <f t="shared" si="48"/>
        <v>1.4391999999999996</v>
      </c>
      <c r="Y1039" t="str">
        <f t="shared" si="49"/>
        <v>Profit</v>
      </c>
      <c r="Z1039" t="str">
        <f t="shared" si="50"/>
        <v>Medium</v>
      </c>
    </row>
    <row r="1040" spans="1:26" x14ac:dyDescent="0.35">
      <c r="A1040" s="1">
        <v>1039</v>
      </c>
      <c r="B1040" s="2" t="s">
        <v>3160</v>
      </c>
      <c r="C1040" s="3">
        <v>45177</v>
      </c>
      <c r="D1040" s="3">
        <v>45183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</v>
      </c>
      <c r="T1040" s="1">
        <v>0.2</v>
      </c>
      <c r="U1040" s="1">
        <v>121.98999999999992</v>
      </c>
      <c r="V1040">
        <f>YEAR(Table1[[#This Row],[Order Date]])</f>
        <v>2023</v>
      </c>
      <c r="W1040" t="str">
        <f>TEXT(Table1[[#This Row],[Order Date]],"mmm")</f>
        <v>Sep</v>
      </c>
      <c r="X1040">
        <f t="shared" si="48"/>
        <v>24.397999999999985</v>
      </c>
      <c r="Y1040" t="str">
        <f t="shared" si="49"/>
        <v>Profit</v>
      </c>
      <c r="Z1040" t="str">
        <f t="shared" si="50"/>
        <v>Low</v>
      </c>
    </row>
    <row r="1041" spans="1:26" x14ac:dyDescent="0.35">
      <c r="A1041" s="1">
        <v>1040</v>
      </c>
      <c r="B1041" s="2" t="s">
        <v>3164</v>
      </c>
      <c r="C1041" s="3">
        <v>45177</v>
      </c>
      <c r="D1041" s="3">
        <v>45181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V1041">
        <f>YEAR(Table1[[#This Row],[Order Date]])</f>
        <v>2023</v>
      </c>
      <c r="W1041" t="str">
        <f>TEXT(Table1[[#This Row],[Order Date]],"mmm")</f>
        <v>Sep</v>
      </c>
      <c r="X1041">
        <f t="shared" si="48"/>
        <v>-2.7620000000000196</v>
      </c>
      <c r="Y1041" t="str">
        <f t="shared" si="49"/>
        <v>Loss</v>
      </c>
      <c r="Z1041" t="str">
        <f t="shared" si="50"/>
        <v>Medium</v>
      </c>
    </row>
    <row r="1042" spans="1:26" x14ac:dyDescent="0.35">
      <c r="A1042" s="1">
        <v>1041</v>
      </c>
      <c r="B1042" s="2" t="s">
        <v>3169</v>
      </c>
      <c r="C1042" s="3">
        <v>45177</v>
      </c>
      <c r="D1042" s="3">
        <v>45184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V1042">
        <f>YEAR(Table1[[#This Row],[Order Date]])</f>
        <v>2023</v>
      </c>
      <c r="W1042" t="str">
        <f>TEXT(Table1[[#This Row],[Order Date]],"mmm")</f>
        <v>Sep</v>
      </c>
      <c r="X1042">
        <f t="shared" si="48"/>
        <v>-2.7620000000000231</v>
      </c>
      <c r="Y1042" t="str">
        <f t="shared" si="49"/>
        <v>Loss</v>
      </c>
      <c r="Z1042" t="str">
        <f t="shared" si="50"/>
        <v>Medium</v>
      </c>
    </row>
    <row r="1043" spans="1:26" x14ac:dyDescent="0.35">
      <c r="A1043" s="1">
        <v>1042</v>
      </c>
      <c r="B1043" s="2" t="s">
        <v>3172</v>
      </c>
      <c r="C1043" s="3">
        <v>45177</v>
      </c>
      <c r="D1043" s="3">
        <v>45182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V1043">
        <f>YEAR(Table1[[#This Row],[Order Date]])</f>
        <v>2023</v>
      </c>
      <c r="W1043" t="str">
        <f>TEXT(Table1[[#This Row],[Order Date]],"mmm")</f>
        <v>Sep</v>
      </c>
      <c r="X1043">
        <f t="shared" si="48"/>
        <v>6.7185999999999932</v>
      </c>
      <c r="Y1043" t="str">
        <f t="shared" si="49"/>
        <v>Profit</v>
      </c>
      <c r="Z1043" t="str">
        <f t="shared" si="50"/>
        <v>Low</v>
      </c>
    </row>
    <row r="1044" spans="1:26" x14ac:dyDescent="0.35">
      <c r="A1044" s="1">
        <v>1043</v>
      </c>
      <c r="B1044" s="2" t="s">
        <v>3175</v>
      </c>
      <c r="C1044" s="3">
        <v>45177</v>
      </c>
      <c r="D1044" s="3">
        <v>45181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  <c r="V1044">
        <f>YEAR(Table1[[#This Row],[Order Date]])</f>
        <v>2023</v>
      </c>
      <c r="W1044" t="str">
        <f>TEXT(Table1[[#This Row],[Order Date]],"mmm")</f>
        <v>Sep</v>
      </c>
      <c r="X1044">
        <f t="shared" si="48"/>
        <v>2.0975000000000001</v>
      </c>
      <c r="Y1044" t="str">
        <f t="shared" si="49"/>
        <v>Profit</v>
      </c>
      <c r="Z1044" t="str">
        <f t="shared" si="50"/>
        <v>No Discount</v>
      </c>
    </row>
    <row r="1045" spans="1:26" x14ac:dyDescent="0.35">
      <c r="A1045" s="1">
        <v>1044</v>
      </c>
      <c r="B1045" s="2" t="s">
        <v>3164</v>
      </c>
      <c r="C1045" s="3">
        <v>45177</v>
      </c>
      <c r="D1045" s="3">
        <v>45181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V1045">
        <f>YEAR(Table1[[#This Row],[Order Date]])</f>
        <v>2023</v>
      </c>
      <c r="W1045" t="str">
        <f>TEXT(Table1[[#This Row],[Order Date]],"mmm")</f>
        <v>Sep</v>
      </c>
      <c r="X1045">
        <f t="shared" si="48"/>
        <v>-90.769800000000004</v>
      </c>
      <c r="Y1045" t="str">
        <f t="shared" si="49"/>
        <v>Loss</v>
      </c>
      <c r="Z1045" t="str">
        <f t="shared" si="50"/>
        <v>High</v>
      </c>
    </row>
    <row r="1046" spans="1:26" x14ac:dyDescent="0.35">
      <c r="A1046" s="1">
        <v>1045</v>
      </c>
      <c r="B1046" s="2" t="s">
        <v>3182</v>
      </c>
      <c r="C1046" s="3">
        <v>45177</v>
      </c>
      <c r="D1046" s="3">
        <v>45183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</v>
      </c>
      <c r="T1046" s="1">
        <v>0</v>
      </c>
      <c r="U1046" s="1">
        <v>24.359500000000004</v>
      </c>
      <c r="V1046">
        <f>YEAR(Table1[[#This Row],[Order Date]])</f>
        <v>2023</v>
      </c>
      <c r="W1046" t="str">
        <f>TEXT(Table1[[#This Row],[Order Date]],"mmm")</f>
        <v>Sep</v>
      </c>
      <c r="X1046">
        <f t="shared" si="48"/>
        <v>4.871900000000001</v>
      </c>
      <c r="Y1046" t="str">
        <f t="shared" si="49"/>
        <v>Profit</v>
      </c>
      <c r="Z1046" t="str">
        <f t="shared" si="50"/>
        <v>No Discount</v>
      </c>
    </row>
    <row r="1047" spans="1:26" x14ac:dyDescent="0.35">
      <c r="A1047" s="1">
        <v>1046</v>
      </c>
      <c r="B1047" s="2" t="s">
        <v>3160</v>
      </c>
      <c r="C1047" s="3">
        <v>45177</v>
      </c>
      <c r="D1047" s="3">
        <v>45183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303.83999999999997</v>
      </c>
      <c r="S1047" s="1">
        <v>8</v>
      </c>
      <c r="T1047" s="1">
        <v>0</v>
      </c>
      <c r="U1047" s="1">
        <v>91.151999999999958</v>
      </c>
      <c r="V1047">
        <f>YEAR(Table1[[#This Row],[Order Date]])</f>
        <v>2023</v>
      </c>
      <c r="W1047" t="str">
        <f>TEXT(Table1[[#This Row],[Order Date]],"mmm")</f>
        <v>Sep</v>
      </c>
      <c r="X1047">
        <f t="shared" si="48"/>
        <v>11.393999999999995</v>
      </c>
      <c r="Y1047" t="str">
        <f t="shared" si="49"/>
        <v>Profit</v>
      </c>
      <c r="Z1047" t="str">
        <f t="shared" si="50"/>
        <v>No Discount</v>
      </c>
    </row>
    <row r="1048" spans="1:26" x14ac:dyDescent="0.35">
      <c r="A1048" s="1">
        <v>1047</v>
      </c>
      <c r="B1048" s="2" t="s">
        <v>3164</v>
      </c>
      <c r="C1048" s="3">
        <v>45177</v>
      </c>
      <c r="D1048" s="3">
        <v>45181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</v>
      </c>
      <c r="T1048" s="1">
        <v>0.2</v>
      </c>
      <c r="U1048" s="1">
        <v>6.8135999999999974</v>
      </c>
      <c r="V1048">
        <f>YEAR(Table1[[#This Row],[Order Date]])</f>
        <v>2023</v>
      </c>
      <c r="W1048" t="str">
        <f>TEXT(Table1[[#This Row],[Order Date]],"mmm")</f>
        <v>Sep</v>
      </c>
      <c r="X1048">
        <f t="shared" si="48"/>
        <v>1.1355999999999995</v>
      </c>
      <c r="Y1048" t="str">
        <f t="shared" si="49"/>
        <v>Profit</v>
      </c>
      <c r="Z1048" t="str">
        <f t="shared" si="50"/>
        <v>Low</v>
      </c>
    </row>
    <row r="1049" spans="1:26" x14ac:dyDescent="0.35">
      <c r="A1049" s="1">
        <v>1048</v>
      </c>
      <c r="B1049" s="2" t="s">
        <v>3160</v>
      </c>
      <c r="C1049" s="3">
        <v>45177</v>
      </c>
      <c r="D1049" s="3">
        <v>45183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  <c r="V1049">
        <f>YEAR(Table1[[#This Row],[Order Date]])</f>
        <v>2023</v>
      </c>
      <c r="W1049" t="str">
        <f>TEXT(Table1[[#This Row],[Order Date]],"mmm")</f>
        <v>Sep</v>
      </c>
      <c r="X1049">
        <f t="shared" si="48"/>
        <v>1.323</v>
      </c>
      <c r="Y1049" t="str">
        <f t="shared" si="49"/>
        <v>Profit</v>
      </c>
      <c r="Z1049" t="str">
        <f t="shared" si="50"/>
        <v>No Discount</v>
      </c>
    </row>
    <row r="1050" spans="1:26" x14ac:dyDescent="0.35">
      <c r="A1050" s="1">
        <v>1049</v>
      </c>
      <c r="B1050" s="2" t="s">
        <v>3172</v>
      </c>
      <c r="C1050" s="3">
        <v>45177</v>
      </c>
      <c r="D1050" s="3">
        <v>45182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</v>
      </c>
      <c r="T1050" s="1">
        <v>0</v>
      </c>
      <c r="U1050" s="1">
        <v>1.6896</v>
      </c>
      <c r="V1050">
        <f>YEAR(Table1[[#This Row],[Order Date]])</f>
        <v>2023</v>
      </c>
      <c r="W1050" t="str">
        <f>TEXT(Table1[[#This Row],[Order Date]],"mmm")</f>
        <v>Sep</v>
      </c>
      <c r="X1050">
        <f t="shared" si="48"/>
        <v>0.8448</v>
      </c>
      <c r="Y1050" t="str">
        <f t="shared" si="49"/>
        <v>Profit</v>
      </c>
      <c r="Z1050" t="str">
        <f t="shared" si="50"/>
        <v>No Discount</v>
      </c>
    </row>
    <row r="1051" spans="1:26" x14ac:dyDescent="0.35">
      <c r="A1051" s="1">
        <v>1050</v>
      </c>
      <c r="B1051" s="2" t="s">
        <v>3164</v>
      </c>
      <c r="C1051" s="3">
        <v>45177</v>
      </c>
      <c r="D1051" s="3">
        <v>45181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>
        <f>YEAR(Table1[[#This Row],[Order Date]])</f>
        <v>2023</v>
      </c>
      <c r="W1051" t="str">
        <f>TEXT(Table1[[#This Row],[Order Date]],"mmm")</f>
        <v>Sep</v>
      </c>
      <c r="X1051">
        <f t="shared" si="48"/>
        <v>0.91080000000000005</v>
      </c>
      <c r="Y1051" t="str">
        <f t="shared" si="49"/>
        <v>Profit</v>
      </c>
      <c r="Z1051" t="str">
        <f t="shared" si="50"/>
        <v>Low</v>
      </c>
    </row>
    <row r="1052" spans="1:26" x14ac:dyDescent="0.35">
      <c r="A1052" s="1">
        <v>1051</v>
      </c>
      <c r="B1052" s="2" t="s">
        <v>3191</v>
      </c>
      <c r="C1052" s="3">
        <v>45177</v>
      </c>
      <c r="D1052" s="3">
        <v>45182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V1052">
        <f>YEAR(Table1[[#This Row],[Order Date]])</f>
        <v>2023</v>
      </c>
      <c r="W1052" t="str">
        <f>TEXT(Table1[[#This Row],[Order Date]],"mmm")</f>
        <v>Sep</v>
      </c>
      <c r="X1052">
        <f t="shared" si="48"/>
        <v>1.5063999999999997</v>
      </c>
      <c r="Y1052" t="str">
        <f t="shared" si="49"/>
        <v>Profit</v>
      </c>
      <c r="Z1052" t="str">
        <f t="shared" si="50"/>
        <v>Low</v>
      </c>
    </row>
    <row r="1053" spans="1:26" x14ac:dyDescent="0.35">
      <c r="A1053" s="1">
        <v>1052</v>
      </c>
      <c r="B1053" s="2" t="s">
        <v>3194</v>
      </c>
      <c r="C1053" s="3">
        <v>45177</v>
      </c>
      <c r="D1053" s="3">
        <v>45182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V1053">
        <f>YEAR(Table1[[#This Row],[Order Date]])</f>
        <v>2023</v>
      </c>
      <c r="W1053" t="str">
        <f>TEXT(Table1[[#This Row],[Order Date]],"mmm")</f>
        <v>Sep</v>
      </c>
      <c r="X1053">
        <f t="shared" si="48"/>
        <v>-19.833799999999997</v>
      </c>
      <c r="Y1053" t="str">
        <f t="shared" si="49"/>
        <v>Loss</v>
      </c>
      <c r="Z1053" t="str">
        <f t="shared" si="50"/>
        <v>High</v>
      </c>
    </row>
    <row r="1054" spans="1:26" x14ac:dyDescent="0.35">
      <c r="A1054" s="1">
        <v>1053</v>
      </c>
      <c r="B1054" s="2" t="s">
        <v>3198</v>
      </c>
      <c r="C1054" s="3">
        <v>45177</v>
      </c>
      <c r="D1054" s="3">
        <v>45182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</v>
      </c>
      <c r="S1054" s="1">
        <v>9</v>
      </c>
      <c r="T1054" s="1">
        <v>0</v>
      </c>
      <c r="U1054" s="1">
        <v>21.599999999999998</v>
      </c>
      <c r="V1054">
        <f>YEAR(Table1[[#This Row],[Order Date]])</f>
        <v>2023</v>
      </c>
      <c r="W1054" t="str">
        <f>TEXT(Table1[[#This Row],[Order Date]],"mmm")</f>
        <v>Sep</v>
      </c>
      <c r="X1054">
        <f t="shared" si="48"/>
        <v>2.4</v>
      </c>
      <c r="Y1054" t="str">
        <f t="shared" si="49"/>
        <v>Profit</v>
      </c>
      <c r="Z1054" t="str">
        <f t="shared" si="50"/>
        <v>No Discount</v>
      </c>
    </row>
    <row r="1055" spans="1:26" x14ac:dyDescent="0.35">
      <c r="A1055" s="1">
        <v>1054</v>
      </c>
      <c r="B1055" s="2" t="s">
        <v>3182</v>
      </c>
      <c r="C1055" s="3">
        <v>45177</v>
      </c>
      <c r="D1055" s="3">
        <v>45183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4.0199999999999996</v>
      </c>
      <c r="S1055" s="1">
        <v>2</v>
      </c>
      <c r="T1055" s="1">
        <v>0</v>
      </c>
      <c r="U1055" s="1">
        <v>1.9697999999999998</v>
      </c>
      <c r="V1055">
        <f>YEAR(Table1[[#This Row],[Order Date]])</f>
        <v>2023</v>
      </c>
      <c r="W1055" t="str">
        <f>TEXT(Table1[[#This Row],[Order Date]],"mmm")</f>
        <v>Sep</v>
      </c>
      <c r="X1055">
        <f t="shared" si="48"/>
        <v>0.98489999999999989</v>
      </c>
      <c r="Y1055" t="str">
        <f t="shared" si="49"/>
        <v>Profit</v>
      </c>
      <c r="Z1055" t="str">
        <f t="shared" si="50"/>
        <v>No Discount</v>
      </c>
    </row>
    <row r="1056" spans="1:26" x14ac:dyDescent="0.35">
      <c r="A1056" s="1">
        <v>1055</v>
      </c>
      <c r="B1056" s="2" t="s">
        <v>3169</v>
      </c>
      <c r="C1056" s="3">
        <v>45177</v>
      </c>
      <c r="D1056" s="3">
        <v>45184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182.11199999999999</v>
      </c>
      <c r="S1056" s="1">
        <v>6</v>
      </c>
      <c r="T1056" s="1">
        <v>0.2</v>
      </c>
      <c r="U1056" s="1">
        <v>61.46279999999998</v>
      </c>
      <c r="V1056">
        <f>YEAR(Table1[[#This Row],[Order Date]])</f>
        <v>2023</v>
      </c>
      <c r="W1056" t="str">
        <f>TEXT(Table1[[#This Row],[Order Date]],"mmm")</f>
        <v>Sep</v>
      </c>
      <c r="X1056">
        <f t="shared" si="48"/>
        <v>10.243799999999997</v>
      </c>
      <c r="Y1056" t="str">
        <f t="shared" si="49"/>
        <v>Profit</v>
      </c>
      <c r="Z1056" t="str">
        <f t="shared" si="50"/>
        <v>Low</v>
      </c>
    </row>
    <row r="1057" spans="1:26" x14ac:dyDescent="0.35">
      <c r="A1057" s="1">
        <v>1056</v>
      </c>
      <c r="B1057" s="2" t="s">
        <v>3169</v>
      </c>
      <c r="C1057" s="3">
        <v>45177</v>
      </c>
      <c r="D1057" s="3">
        <v>45184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</v>
      </c>
      <c r="T1057" s="1">
        <v>0.2</v>
      </c>
      <c r="U1057" s="1">
        <v>6.2664</v>
      </c>
      <c r="V1057">
        <f>YEAR(Table1[[#This Row],[Order Date]])</f>
        <v>2023</v>
      </c>
      <c r="W1057" t="str">
        <f>TEXT(Table1[[#This Row],[Order Date]],"mmm")</f>
        <v>Sep</v>
      </c>
      <c r="X1057">
        <f t="shared" si="48"/>
        <v>3.1332</v>
      </c>
      <c r="Y1057" t="str">
        <f t="shared" si="49"/>
        <v>Profit</v>
      </c>
      <c r="Z1057" t="str">
        <f t="shared" si="50"/>
        <v>Low</v>
      </c>
    </row>
    <row r="1058" spans="1:26" x14ac:dyDescent="0.35">
      <c r="A1058" s="1">
        <v>1057</v>
      </c>
      <c r="B1058" s="2" t="s">
        <v>3160</v>
      </c>
      <c r="C1058" s="3">
        <v>45177</v>
      </c>
      <c r="D1058" s="3">
        <v>45183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</v>
      </c>
      <c r="T1058" s="1">
        <v>0</v>
      </c>
      <c r="U1058" s="1">
        <v>19.43519999999998</v>
      </c>
      <c r="V1058">
        <f>YEAR(Table1[[#This Row],[Order Date]])</f>
        <v>2023</v>
      </c>
      <c r="W1058" t="str">
        <f>TEXT(Table1[[#This Row],[Order Date]],"mmm")</f>
        <v>Sep</v>
      </c>
      <c r="X1058">
        <f t="shared" si="48"/>
        <v>3.2391999999999967</v>
      </c>
      <c r="Y1058" t="str">
        <f t="shared" si="49"/>
        <v>Profit</v>
      </c>
      <c r="Z1058" t="str">
        <f t="shared" si="50"/>
        <v>No Discount</v>
      </c>
    </row>
    <row r="1059" spans="1:26" x14ac:dyDescent="0.35">
      <c r="A1059" s="1">
        <v>1058</v>
      </c>
      <c r="B1059" s="2" t="s">
        <v>3164</v>
      </c>
      <c r="C1059" s="3">
        <v>45177</v>
      </c>
      <c r="D1059" s="3">
        <v>45181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</v>
      </c>
      <c r="T1059" s="1">
        <v>0.2</v>
      </c>
      <c r="U1059" s="1">
        <v>-58.634699999999995</v>
      </c>
      <c r="V1059">
        <f>YEAR(Table1[[#This Row],[Order Date]])</f>
        <v>2023</v>
      </c>
      <c r="W1059" t="str">
        <f>TEXT(Table1[[#This Row],[Order Date]],"mmm")</f>
        <v>Sep</v>
      </c>
      <c r="X1059">
        <f t="shared" si="48"/>
        <v>-19.544899999999998</v>
      </c>
      <c r="Y1059" t="str">
        <f t="shared" si="49"/>
        <v>Loss</v>
      </c>
      <c r="Z1059" t="str">
        <f t="shared" si="50"/>
        <v>Low</v>
      </c>
    </row>
    <row r="1060" spans="1:26" x14ac:dyDescent="0.35">
      <c r="A1060" s="1">
        <v>1059</v>
      </c>
      <c r="B1060" s="2" t="s">
        <v>3182</v>
      </c>
      <c r="C1060" s="3">
        <v>45177</v>
      </c>
      <c r="D1060" s="3">
        <v>45183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</v>
      </c>
      <c r="T1060" s="1">
        <v>0</v>
      </c>
      <c r="U1060" s="1">
        <v>4.1916000000000011</v>
      </c>
      <c r="V1060">
        <f>YEAR(Table1[[#This Row],[Order Date]])</f>
        <v>2023</v>
      </c>
      <c r="W1060" t="str">
        <f>TEXT(Table1[[#This Row],[Order Date]],"mmm")</f>
        <v>Sep</v>
      </c>
      <c r="X1060">
        <f t="shared" si="48"/>
        <v>4.1916000000000011</v>
      </c>
      <c r="Y1060" t="str">
        <f t="shared" si="49"/>
        <v>Profit</v>
      </c>
      <c r="Z1060" t="str">
        <f t="shared" si="50"/>
        <v>No Discount</v>
      </c>
    </row>
    <row r="1061" spans="1:26" x14ac:dyDescent="0.35">
      <c r="A1061" s="1">
        <v>1060</v>
      </c>
      <c r="B1061" s="2" t="s">
        <v>3207</v>
      </c>
      <c r="C1061" s="3">
        <v>45177</v>
      </c>
      <c r="D1061" s="3">
        <v>45180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</v>
      </c>
      <c r="T1061" s="1">
        <v>0</v>
      </c>
      <c r="U1061" s="1">
        <v>30.196799999999996</v>
      </c>
      <c r="V1061">
        <f>YEAR(Table1[[#This Row],[Order Date]])</f>
        <v>2023</v>
      </c>
      <c r="W1061" t="str">
        <f>TEXT(Table1[[#This Row],[Order Date]],"mmm")</f>
        <v>Sep</v>
      </c>
      <c r="X1061">
        <f t="shared" si="48"/>
        <v>7.549199999999999</v>
      </c>
      <c r="Y1061" t="str">
        <f t="shared" si="49"/>
        <v>Profit</v>
      </c>
      <c r="Z1061" t="str">
        <f t="shared" si="50"/>
        <v>No Discount</v>
      </c>
    </row>
    <row r="1062" spans="1:26" x14ac:dyDescent="0.35">
      <c r="A1062" s="1">
        <v>1061</v>
      </c>
      <c r="B1062" s="2" t="s">
        <v>3211</v>
      </c>
      <c r="C1062" s="3">
        <v>45177</v>
      </c>
      <c r="D1062" s="3">
        <v>45181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</v>
      </c>
      <c r="T1062" s="1">
        <v>0</v>
      </c>
      <c r="U1062" s="1">
        <v>8.4965999999999937</v>
      </c>
      <c r="V1062">
        <f>YEAR(Table1[[#This Row],[Order Date]])</f>
        <v>2023</v>
      </c>
      <c r="W1062" t="str">
        <f>TEXT(Table1[[#This Row],[Order Date]],"mmm")</f>
        <v>Sep</v>
      </c>
      <c r="X1062">
        <f t="shared" si="48"/>
        <v>4.2482999999999969</v>
      </c>
      <c r="Y1062" t="str">
        <f t="shared" si="49"/>
        <v>Profit</v>
      </c>
      <c r="Z1062" t="str">
        <f t="shared" si="50"/>
        <v>No Discount</v>
      </c>
    </row>
    <row r="1063" spans="1:26" x14ac:dyDescent="0.35">
      <c r="A1063" s="1">
        <v>1062</v>
      </c>
      <c r="B1063" s="2" t="s">
        <v>3207</v>
      </c>
      <c r="C1063" s="3">
        <v>45177</v>
      </c>
      <c r="D1063" s="3">
        <v>45180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</v>
      </c>
      <c r="T1063" s="1">
        <v>0</v>
      </c>
      <c r="U1063" s="1">
        <v>12.8583</v>
      </c>
      <c r="V1063">
        <f>YEAR(Table1[[#This Row],[Order Date]])</f>
        <v>2023</v>
      </c>
      <c r="W1063" t="str">
        <f>TEXT(Table1[[#This Row],[Order Date]],"mmm")</f>
        <v>Sep</v>
      </c>
      <c r="X1063">
        <f t="shared" si="48"/>
        <v>4.2861000000000002</v>
      </c>
      <c r="Y1063" t="str">
        <f t="shared" si="49"/>
        <v>Profit</v>
      </c>
      <c r="Z1063" t="str">
        <f t="shared" si="50"/>
        <v>No Discount</v>
      </c>
    </row>
    <row r="1064" spans="1:26" x14ac:dyDescent="0.35">
      <c r="A1064" s="1">
        <v>1063</v>
      </c>
      <c r="B1064" s="2" t="s">
        <v>3198</v>
      </c>
      <c r="C1064" s="3">
        <v>45177</v>
      </c>
      <c r="D1064" s="3">
        <v>45182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209.96999999999997</v>
      </c>
      <c r="S1064" s="1">
        <v>3</v>
      </c>
      <c r="T1064" s="1">
        <v>0</v>
      </c>
      <c r="U1064" s="1">
        <v>90.287100000000009</v>
      </c>
      <c r="V1064">
        <f>YEAR(Table1[[#This Row],[Order Date]])</f>
        <v>2023</v>
      </c>
      <c r="W1064" t="str">
        <f>TEXT(Table1[[#This Row],[Order Date]],"mmm")</f>
        <v>Sep</v>
      </c>
      <c r="X1064">
        <f t="shared" si="48"/>
        <v>30.095700000000004</v>
      </c>
      <c r="Y1064" t="str">
        <f t="shared" si="49"/>
        <v>Profit</v>
      </c>
      <c r="Z1064" t="str">
        <f t="shared" si="50"/>
        <v>No Discount</v>
      </c>
    </row>
    <row r="1065" spans="1:26" x14ac:dyDescent="0.35">
      <c r="A1065" s="1">
        <v>1064</v>
      </c>
      <c r="B1065" s="2" t="s">
        <v>3164</v>
      </c>
      <c r="C1065" s="3">
        <v>45177</v>
      </c>
      <c r="D1065" s="3">
        <v>45181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V1065">
        <f>YEAR(Table1[[#This Row],[Order Date]])</f>
        <v>2023</v>
      </c>
      <c r="W1065" t="str">
        <f>TEXT(Table1[[#This Row],[Order Date]],"mmm")</f>
        <v>Sep</v>
      </c>
      <c r="X1065">
        <f t="shared" si="48"/>
        <v>-169.99900000000025</v>
      </c>
      <c r="Y1065" t="str">
        <f t="shared" si="49"/>
        <v>Loss</v>
      </c>
      <c r="Z1065" t="str">
        <f t="shared" si="50"/>
        <v>Medium</v>
      </c>
    </row>
    <row r="1066" spans="1:26" x14ac:dyDescent="0.35">
      <c r="A1066" s="1">
        <v>1065</v>
      </c>
      <c r="B1066" s="2" t="s">
        <v>3164</v>
      </c>
      <c r="C1066" s="3">
        <v>45177</v>
      </c>
      <c r="D1066" s="3">
        <v>45181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</v>
      </c>
      <c r="T1066" s="1">
        <v>0.2</v>
      </c>
      <c r="U1066" s="1">
        <v>8.998500000000007</v>
      </c>
      <c r="V1066">
        <f>YEAR(Table1[[#This Row],[Order Date]])</f>
        <v>2023</v>
      </c>
      <c r="W1066" t="str">
        <f>TEXT(Table1[[#This Row],[Order Date]],"mmm")</f>
        <v>Sep</v>
      </c>
      <c r="X1066">
        <f t="shared" si="48"/>
        <v>2.9995000000000025</v>
      </c>
      <c r="Y1066" t="str">
        <f t="shared" si="49"/>
        <v>Profit</v>
      </c>
      <c r="Z1066" t="str">
        <f t="shared" si="50"/>
        <v>Low</v>
      </c>
    </row>
    <row r="1067" spans="1:26" x14ac:dyDescent="0.35">
      <c r="A1067" s="1">
        <v>1066</v>
      </c>
      <c r="B1067" s="2" t="s">
        <v>3222</v>
      </c>
      <c r="C1067" s="3">
        <v>45178</v>
      </c>
      <c r="D1067" s="3">
        <v>45181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785.87999999999988</v>
      </c>
      <c r="S1067" s="1">
        <v>6</v>
      </c>
      <c r="T1067" s="1">
        <v>0</v>
      </c>
      <c r="U1067" s="1">
        <v>212.18759999999997</v>
      </c>
      <c r="V1067">
        <f>YEAR(Table1[[#This Row],[Order Date]])</f>
        <v>2023</v>
      </c>
      <c r="W1067" t="str">
        <f>TEXT(Table1[[#This Row],[Order Date]],"mmm")</f>
        <v>Sep</v>
      </c>
      <c r="X1067">
        <f t="shared" si="48"/>
        <v>35.364599999999996</v>
      </c>
      <c r="Y1067" t="str">
        <f t="shared" si="49"/>
        <v>Profit</v>
      </c>
      <c r="Z1067" t="str">
        <f t="shared" si="50"/>
        <v>No Discount</v>
      </c>
    </row>
    <row r="1068" spans="1:26" x14ac:dyDescent="0.35">
      <c r="A1068" s="1">
        <v>1067</v>
      </c>
      <c r="B1068" s="2" t="s">
        <v>3228</v>
      </c>
      <c r="C1068" s="3">
        <v>45178</v>
      </c>
      <c r="D1068" s="3">
        <v>45183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17.472000000000001</v>
      </c>
      <c r="S1068" s="1">
        <v>3</v>
      </c>
      <c r="T1068" s="1">
        <v>0.2</v>
      </c>
      <c r="U1068" s="1">
        <v>5.023200000000001</v>
      </c>
      <c r="V1068">
        <f>YEAR(Table1[[#This Row],[Order Date]])</f>
        <v>2023</v>
      </c>
      <c r="W1068" t="str">
        <f>TEXT(Table1[[#This Row],[Order Date]],"mmm")</f>
        <v>Sep</v>
      </c>
      <c r="X1068">
        <f t="shared" si="48"/>
        <v>1.6744000000000003</v>
      </c>
      <c r="Y1068" t="str">
        <f t="shared" si="49"/>
        <v>Profit</v>
      </c>
      <c r="Z1068" t="str">
        <f t="shared" si="50"/>
        <v>Low</v>
      </c>
    </row>
    <row r="1069" spans="1:26" x14ac:dyDescent="0.35">
      <c r="A1069" s="1">
        <v>1068</v>
      </c>
      <c r="B1069" s="2" t="s">
        <v>3231</v>
      </c>
      <c r="C1069" s="3">
        <v>45178</v>
      </c>
      <c r="D1069" s="3">
        <v>45180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V1069">
        <f>YEAR(Table1[[#This Row],[Order Date]])</f>
        <v>2023</v>
      </c>
      <c r="W1069" t="str">
        <f>TEXT(Table1[[#This Row],[Order Date]],"mmm")</f>
        <v>Sep</v>
      </c>
      <c r="X1069">
        <f t="shared" si="48"/>
        <v>2.1487999999999996</v>
      </c>
      <c r="Y1069" t="str">
        <f t="shared" si="49"/>
        <v>Profit</v>
      </c>
      <c r="Z1069" t="str">
        <f t="shared" si="50"/>
        <v>Low</v>
      </c>
    </row>
    <row r="1070" spans="1:26" x14ac:dyDescent="0.35">
      <c r="A1070" s="1">
        <v>1069</v>
      </c>
      <c r="B1070" s="2" t="s">
        <v>3231</v>
      </c>
      <c r="C1070" s="3">
        <v>45178</v>
      </c>
      <c r="D1070" s="3">
        <v>45180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V1070">
        <f>YEAR(Table1[[#This Row],[Order Date]])</f>
        <v>2023</v>
      </c>
      <c r="W1070" t="str">
        <f>TEXT(Table1[[#This Row],[Order Date]],"mmm")</f>
        <v>Sep</v>
      </c>
      <c r="X1070">
        <f t="shared" si="48"/>
        <v>0.29960000000000009</v>
      </c>
      <c r="Y1070" t="str">
        <f t="shared" si="49"/>
        <v>Profit</v>
      </c>
      <c r="Z1070" t="str">
        <f t="shared" si="50"/>
        <v>Low</v>
      </c>
    </row>
    <row r="1071" spans="1:26" x14ac:dyDescent="0.35">
      <c r="A1071" s="1">
        <v>1070</v>
      </c>
      <c r="B1071" s="2" t="s">
        <v>3236</v>
      </c>
      <c r="C1071" s="3">
        <v>45178</v>
      </c>
      <c r="D1071" s="3">
        <v>45184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103.60000000000001</v>
      </c>
      <c r="S1071" s="1">
        <v>7</v>
      </c>
      <c r="T1071" s="1">
        <v>0</v>
      </c>
      <c r="U1071" s="1">
        <v>51.800000000000004</v>
      </c>
      <c r="V1071">
        <f>YEAR(Table1[[#This Row],[Order Date]])</f>
        <v>2023</v>
      </c>
      <c r="W1071" t="str">
        <f>TEXT(Table1[[#This Row],[Order Date]],"mmm")</f>
        <v>Sep</v>
      </c>
      <c r="X1071">
        <f t="shared" si="48"/>
        <v>7.4</v>
      </c>
      <c r="Y1071" t="str">
        <f t="shared" si="49"/>
        <v>Profit</v>
      </c>
      <c r="Z1071" t="str">
        <f t="shared" si="50"/>
        <v>No Discount</v>
      </c>
    </row>
    <row r="1072" spans="1:26" x14ac:dyDescent="0.35">
      <c r="A1072" s="1">
        <v>1071</v>
      </c>
      <c r="B1072" s="2" t="s">
        <v>3228</v>
      </c>
      <c r="C1072" s="3">
        <v>45178</v>
      </c>
      <c r="D1072" s="3">
        <v>45183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15.552000000000003</v>
      </c>
      <c r="S1072" s="1">
        <v>3</v>
      </c>
      <c r="T1072" s="1">
        <v>0.2</v>
      </c>
      <c r="U1072" s="1">
        <v>5.4432</v>
      </c>
      <c r="V1072">
        <f>YEAR(Table1[[#This Row],[Order Date]])</f>
        <v>2023</v>
      </c>
      <c r="W1072" t="str">
        <f>TEXT(Table1[[#This Row],[Order Date]],"mmm")</f>
        <v>Sep</v>
      </c>
      <c r="X1072">
        <f t="shared" si="48"/>
        <v>1.8144</v>
      </c>
      <c r="Y1072" t="str">
        <f t="shared" si="49"/>
        <v>Profit</v>
      </c>
      <c r="Z1072" t="str">
        <f t="shared" si="50"/>
        <v>Low</v>
      </c>
    </row>
    <row r="1073" spans="1:26" x14ac:dyDescent="0.35">
      <c r="A1073" s="1">
        <v>1072</v>
      </c>
      <c r="B1073" s="2" t="s">
        <v>3222</v>
      </c>
      <c r="C1073" s="3">
        <v>45178</v>
      </c>
      <c r="D1073" s="3">
        <v>45181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  <c r="V1073">
        <f>YEAR(Table1[[#This Row],[Order Date]])</f>
        <v>2023</v>
      </c>
      <c r="W1073" t="str">
        <f>TEXT(Table1[[#This Row],[Order Date]],"mmm")</f>
        <v>Sep</v>
      </c>
      <c r="X1073">
        <f t="shared" si="48"/>
        <v>26.630399999999998</v>
      </c>
      <c r="Y1073" t="str">
        <f t="shared" si="49"/>
        <v>Profit</v>
      </c>
      <c r="Z1073" t="str">
        <f t="shared" si="50"/>
        <v>No Discount</v>
      </c>
    </row>
    <row r="1074" spans="1:26" x14ac:dyDescent="0.35">
      <c r="A1074" s="1">
        <v>1073</v>
      </c>
      <c r="B1074" s="2" t="s">
        <v>3243</v>
      </c>
      <c r="C1074" s="3">
        <v>45178</v>
      </c>
      <c r="D1074" s="3">
        <v>45183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V1074">
        <f>YEAR(Table1[[#This Row],[Order Date]])</f>
        <v>2023</v>
      </c>
      <c r="W1074" t="str">
        <f>TEXT(Table1[[#This Row],[Order Date]],"mmm")</f>
        <v>Sep</v>
      </c>
      <c r="X1074">
        <f t="shared" si="48"/>
        <v>1.1349999999999998</v>
      </c>
      <c r="Y1074" t="str">
        <f t="shared" si="49"/>
        <v>Profit</v>
      </c>
      <c r="Z1074" t="str">
        <f t="shared" si="50"/>
        <v>Low</v>
      </c>
    </row>
    <row r="1075" spans="1:26" x14ac:dyDescent="0.35">
      <c r="A1075" s="1">
        <v>1074</v>
      </c>
      <c r="B1075" s="2" t="s">
        <v>3222</v>
      </c>
      <c r="C1075" s="3">
        <v>45178</v>
      </c>
      <c r="D1075" s="3">
        <v>45181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  <c r="V1075">
        <f>YEAR(Table1[[#This Row],[Order Date]])</f>
        <v>2023</v>
      </c>
      <c r="W1075" t="str">
        <f>TEXT(Table1[[#This Row],[Order Date]],"mmm")</f>
        <v>Sep</v>
      </c>
      <c r="X1075">
        <f t="shared" si="48"/>
        <v>6.4189999999999996</v>
      </c>
      <c r="Y1075" t="str">
        <f t="shared" si="49"/>
        <v>Profit</v>
      </c>
      <c r="Z1075" t="str">
        <f t="shared" si="50"/>
        <v>No Discount</v>
      </c>
    </row>
    <row r="1076" spans="1:26" x14ac:dyDescent="0.35">
      <c r="A1076" s="1">
        <v>1075</v>
      </c>
      <c r="B1076" s="2" t="s">
        <v>3222</v>
      </c>
      <c r="C1076" s="3">
        <v>45178</v>
      </c>
      <c r="D1076" s="3">
        <v>45181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1325.8500000000001</v>
      </c>
      <c r="S1076" s="1">
        <v>5</v>
      </c>
      <c r="T1076" s="1">
        <v>0</v>
      </c>
      <c r="U1076" s="1">
        <v>238.65299999999991</v>
      </c>
      <c r="V1076">
        <f>YEAR(Table1[[#This Row],[Order Date]])</f>
        <v>2023</v>
      </c>
      <c r="W1076" t="str">
        <f>TEXT(Table1[[#This Row],[Order Date]],"mmm")</f>
        <v>Sep</v>
      </c>
      <c r="X1076">
        <f t="shared" si="48"/>
        <v>47.730599999999981</v>
      </c>
      <c r="Y1076" t="str">
        <f t="shared" si="49"/>
        <v>Profit</v>
      </c>
      <c r="Z1076" t="str">
        <f t="shared" si="50"/>
        <v>No Discount</v>
      </c>
    </row>
    <row r="1077" spans="1:26" x14ac:dyDescent="0.35">
      <c r="A1077" s="1">
        <v>1076</v>
      </c>
      <c r="B1077" s="2" t="s">
        <v>3228</v>
      </c>
      <c r="C1077" s="3">
        <v>45178</v>
      </c>
      <c r="D1077" s="3">
        <v>45183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V1077">
        <f>YEAR(Table1[[#This Row],[Order Date]])</f>
        <v>2023</v>
      </c>
      <c r="W1077" t="str">
        <f>TEXT(Table1[[#This Row],[Order Date]],"mmm")</f>
        <v>Sep</v>
      </c>
      <c r="X1077">
        <f t="shared" si="48"/>
        <v>-0.8088000000000003</v>
      </c>
      <c r="Y1077" t="str">
        <f t="shared" si="49"/>
        <v>Loss</v>
      </c>
      <c r="Z1077" t="str">
        <f t="shared" si="50"/>
        <v>Low</v>
      </c>
    </row>
    <row r="1078" spans="1:26" x14ac:dyDescent="0.35">
      <c r="A1078" s="1">
        <v>1077</v>
      </c>
      <c r="B1078" s="2" t="s">
        <v>3250</v>
      </c>
      <c r="C1078" s="3">
        <v>45178</v>
      </c>
      <c r="D1078" s="3">
        <v>45182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  <c r="V1078">
        <f>YEAR(Table1[[#This Row],[Order Date]])</f>
        <v>2023</v>
      </c>
      <c r="W1078" t="str">
        <f>TEXT(Table1[[#This Row],[Order Date]],"mmm")</f>
        <v>Sep</v>
      </c>
      <c r="X1078">
        <f t="shared" si="48"/>
        <v>-285.99779999999998</v>
      </c>
      <c r="Y1078" t="str">
        <f t="shared" si="49"/>
        <v>Loss</v>
      </c>
      <c r="Z1078" t="str">
        <f t="shared" si="50"/>
        <v>High</v>
      </c>
    </row>
    <row r="1079" spans="1:26" x14ac:dyDescent="0.35">
      <c r="A1079" s="1">
        <v>1078</v>
      </c>
      <c r="B1079" s="2" t="s">
        <v>3228</v>
      </c>
      <c r="C1079" s="3">
        <v>45178</v>
      </c>
      <c r="D1079" s="3">
        <v>45183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V1079">
        <f>YEAR(Table1[[#This Row],[Order Date]])</f>
        <v>2023</v>
      </c>
      <c r="W1079" t="str">
        <f>TEXT(Table1[[#This Row],[Order Date]],"mmm")</f>
        <v>Sep</v>
      </c>
      <c r="X1079">
        <f t="shared" si="48"/>
        <v>-31.620400000000004</v>
      </c>
      <c r="Y1079" t="str">
        <f t="shared" si="49"/>
        <v>Loss</v>
      </c>
      <c r="Z1079" t="str">
        <f t="shared" si="50"/>
        <v>Medium</v>
      </c>
    </row>
    <row r="1080" spans="1:26" x14ac:dyDescent="0.35">
      <c r="A1080" s="1">
        <v>1079</v>
      </c>
      <c r="B1080" s="2" t="s">
        <v>3258</v>
      </c>
      <c r="C1080" s="3">
        <v>45179</v>
      </c>
      <c r="D1080" s="3">
        <v>45185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</v>
      </c>
      <c r="T1080" s="1">
        <v>0.2</v>
      </c>
      <c r="U1080" s="1">
        <v>148.70400000000006</v>
      </c>
      <c r="V1080">
        <f>YEAR(Table1[[#This Row],[Order Date]])</f>
        <v>2023</v>
      </c>
      <c r="W1080" t="str">
        <f>TEXT(Table1[[#This Row],[Order Date]],"mmm")</f>
        <v>Sep</v>
      </c>
      <c r="X1080">
        <f t="shared" si="48"/>
        <v>29.740800000000014</v>
      </c>
      <c r="Y1080" t="str">
        <f t="shared" si="49"/>
        <v>Profit</v>
      </c>
      <c r="Z1080" t="str">
        <f t="shared" si="50"/>
        <v>Low</v>
      </c>
    </row>
    <row r="1081" spans="1:26" x14ac:dyDescent="0.35">
      <c r="A1081" s="1">
        <v>1080</v>
      </c>
      <c r="B1081" s="2" t="s">
        <v>3260</v>
      </c>
      <c r="C1081" s="3">
        <v>45179</v>
      </c>
      <c r="D1081" s="3">
        <v>45182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254.89999999999998</v>
      </c>
      <c r="S1081" s="1">
        <v>5</v>
      </c>
      <c r="T1081" s="1">
        <v>0</v>
      </c>
      <c r="U1081" s="1">
        <v>76.469999999999985</v>
      </c>
      <c r="V1081">
        <f>YEAR(Table1[[#This Row],[Order Date]])</f>
        <v>2023</v>
      </c>
      <c r="W1081" t="str">
        <f>TEXT(Table1[[#This Row],[Order Date]],"mmm")</f>
        <v>Sep</v>
      </c>
      <c r="X1081">
        <f t="shared" si="48"/>
        <v>15.293999999999997</v>
      </c>
      <c r="Y1081" t="str">
        <f t="shared" si="49"/>
        <v>Profit</v>
      </c>
      <c r="Z1081" t="str">
        <f t="shared" si="50"/>
        <v>No Discount</v>
      </c>
    </row>
    <row r="1082" spans="1:26" x14ac:dyDescent="0.35">
      <c r="A1082" s="1">
        <v>1081</v>
      </c>
      <c r="B1082" s="2" t="s">
        <v>3260</v>
      </c>
      <c r="C1082" s="3">
        <v>45179</v>
      </c>
      <c r="D1082" s="3">
        <v>45182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  <c r="V1082">
        <f>YEAR(Table1[[#This Row],[Order Date]])</f>
        <v>2023</v>
      </c>
      <c r="W1082" t="str">
        <f>TEXT(Table1[[#This Row],[Order Date]],"mmm")</f>
        <v>Sep</v>
      </c>
      <c r="X1082">
        <f t="shared" si="48"/>
        <v>5.5296000000000003</v>
      </c>
      <c r="Y1082" t="str">
        <f t="shared" si="49"/>
        <v>Profit</v>
      </c>
      <c r="Z1082" t="str">
        <f t="shared" si="50"/>
        <v>No Discount</v>
      </c>
    </row>
    <row r="1083" spans="1:26" x14ac:dyDescent="0.35">
      <c r="A1083" s="1">
        <v>1082</v>
      </c>
      <c r="B1083" s="2" t="s">
        <v>3266</v>
      </c>
      <c r="C1083" s="3">
        <v>45179</v>
      </c>
      <c r="D1083" s="3">
        <v>45183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  <c r="V1083">
        <f>YEAR(Table1[[#This Row],[Order Date]])</f>
        <v>2023</v>
      </c>
      <c r="W1083" t="str">
        <f>TEXT(Table1[[#This Row],[Order Date]],"mmm")</f>
        <v>Sep</v>
      </c>
      <c r="X1083">
        <f t="shared" si="48"/>
        <v>2.3618000000000001</v>
      </c>
      <c r="Y1083" t="str">
        <f t="shared" si="49"/>
        <v>Profit</v>
      </c>
      <c r="Z1083" t="str">
        <f t="shared" si="50"/>
        <v>No Discount</v>
      </c>
    </row>
    <row r="1084" spans="1:26" x14ac:dyDescent="0.35">
      <c r="A1084" s="1">
        <v>1083</v>
      </c>
      <c r="B1084" s="2" t="s">
        <v>3258</v>
      </c>
      <c r="C1084" s="3">
        <v>45179</v>
      </c>
      <c r="D1084" s="3">
        <v>45185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V1084">
        <f>YEAR(Table1[[#This Row],[Order Date]])</f>
        <v>2023</v>
      </c>
      <c r="W1084" t="str">
        <f>TEXT(Table1[[#This Row],[Order Date]],"mmm")</f>
        <v>Sep</v>
      </c>
      <c r="X1084">
        <f t="shared" si="48"/>
        <v>1.0863999999999998</v>
      </c>
      <c r="Y1084" t="str">
        <f t="shared" si="49"/>
        <v>Profit</v>
      </c>
      <c r="Z1084" t="str">
        <f t="shared" si="50"/>
        <v>Low</v>
      </c>
    </row>
    <row r="1085" spans="1:26" x14ac:dyDescent="0.35">
      <c r="A1085" s="1">
        <v>1084</v>
      </c>
      <c r="B1085" s="2" t="s">
        <v>3269</v>
      </c>
      <c r="C1085" s="3">
        <v>45179</v>
      </c>
      <c r="D1085" s="3">
        <v>45182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>
        <v>14.88</v>
      </c>
      <c r="S1085" s="4">
        <v>2</v>
      </c>
      <c r="T1085" s="4">
        <v>0</v>
      </c>
      <c r="U1085" s="4">
        <v>3.72</v>
      </c>
      <c r="V1085">
        <f>YEAR(Table1[[#This Row],[Order Date]])</f>
        <v>2023</v>
      </c>
      <c r="W1085" t="str">
        <f>TEXT(Table1[[#This Row],[Order Date]],"mmm")</f>
        <v>Sep</v>
      </c>
      <c r="X1085">
        <f t="shared" si="48"/>
        <v>1.86</v>
      </c>
      <c r="Y1085" t="str">
        <f t="shared" si="49"/>
        <v>Profit</v>
      </c>
      <c r="Z1085" t="str">
        <f t="shared" si="50"/>
        <v>No Discount</v>
      </c>
    </row>
    <row r="1086" spans="1:26" x14ac:dyDescent="0.35">
      <c r="A1086" s="1">
        <v>1085</v>
      </c>
      <c r="B1086" s="2" t="s">
        <v>3273</v>
      </c>
      <c r="C1086" s="3">
        <v>45180</v>
      </c>
      <c r="D1086" s="3">
        <v>45185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127.94999999999999</v>
      </c>
      <c r="S1086" s="1">
        <v>3</v>
      </c>
      <c r="T1086" s="1">
        <v>0</v>
      </c>
      <c r="U1086" s="1">
        <v>21.751499999999986</v>
      </c>
      <c r="V1086">
        <f>YEAR(Table1[[#This Row],[Order Date]])</f>
        <v>2023</v>
      </c>
      <c r="W1086" t="str">
        <f>TEXT(Table1[[#This Row],[Order Date]],"mmm")</f>
        <v>Sep</v>
      </c>
      <c r="X1086">
        <f t="shared" si="48"/>
        <v>7.2504999999999953</v>
      </c>
      <c r="Y1086" t="str">
        <f t="shared" si="49"/>
        <v>Profit</v>
      </c>
      <c r="Z1086" t="str">
        <f t="shared" si="50"/>
        <v>No Discount</v>
      </c>
    </row>
    <row r="1087" spans="1:26" x14ac:dyDescent="0.35">
      <c r="A1087" s="1">
        <v>1086</v>
      </c>
      <c r="B1087" s="2" t="s">
        <v>3279</v>
      </c>
      <c r="C1087" s="3">
        <v>45181</v>
      </c>
      <c r="D1087" s="3">
        <v>45186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V1087">
        <f>YEAR(Table1[[#This Row],[Order Date]])</f>
        <v>2023</v>
      </c>
      <c r="W1087" t="str">
        <f>TEXT(Table1[[#This Row],[Order Date]],"mmm")</f>
        <v>Sep</v>
      </c>
      <c r="X1087">
        <f t="shared" si="48"/>
        <v>70.098000000000027</v>
      </c>
      <c r="Y1087" t="str">
        <f t="shared" si="49"/>
        <v>Profit</v>
      </c>
      <c r="Z1087" t="str">
        <f t="shared" si="50"/>
        <v>Low</v>
      </c>
    </row>
    <row r="1088" spans="1:26" x14ac:dyDescent="0.35">
      <c r="A1088" s="1">
        <v>1087</v>
      </c>
      <c r="B1088" s="2" t="s">
        <v>3282</v>
      </c>
      <c r="C1088" s="3">
        <v>45181</v>
      </c>
      <c r="D1088" s="3">
        <v>45188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</v>
      </c>
      <c r="T1088" s="1">
        <v>0</v>
      </c>
      <c r="U1088" s="1">
        <v>12.979199999999999</v>
      </c>
      <c r="V1088">
        <f>YEAR(Table1[[#This Row],[Order Date]])</f>
        <v>2023</v>
      </c>
      <c r="W1088" t="str">
        <f>TEXT(Table1[[#This Row],[Order Date]],"mmm")</f>
        <v>Sep</v>
      </c>
      <c r="X1088">
        <f t="shared" si="48"/>
        <v>6.4895999999999994</v>
      </c>
      <c r="Y1088" t="str">
        <f t="shared" si="49"/>
        <v>Profit</v>
      </c>
      <c r="Z1088" t="str">
        <f t="shared" si="50"/>
        <v>No Discount</v>
      </c>
    </row>
    <row r="1089" spans="1:26" x14ac:dyDescent="0.35">
      <c r="A1089" s="1">
        <v>1088</v>
      </c>
      <c r="B1089" s="2" t="s">
        <v>3289</v>
      </c>
      <c r="C1089" s="3">
        <v>45181</v>
      </c>
      <c r="D1089" s="3">
        <v>45186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</v>
      </c>
      <c r="T1089" s="1">
        <v>0.2</v>
      </c>
      <c r="U1089" s="1">
        <v>18.769499999999987</v>
      </c>
      <c r="V1089">
        <f>YEAR(Table1[[#This Row],[Order Date]])</f>
        <v>2023</v>
      </c>
      <c r="W1089" t="str">
        <f>TEXT(Table1[[#This Row],[Order Date]],"mmm")</f>
        <v>Sep</v>
      </c>
      <c r="X1089">
        <f t="shared" si="48"/>
        <v>3.7538999999999971</v>
      </c>
      <c r="Y1089" t="str">
        <f t="shared" si="49"/>
        <v>Profit</v>
      </c>
      <c r="Z1089" t="str">
        <f t="shared" si="50"/>
        <v>Low</v>
      </c>
    </row>
    <row r="1090" spans="1:26" x14ac:dyDescent="0.35">
      <c r="A1090" s="1">
        <v>1089</v>
      </c>
      <c r="B1090" s="2" t="s">
        <v>3295</v>
      </c>
      <c r="C1090" s="3">
        <v>45181</v>
      </c>
      <c r="D1090" s="3">
        <v>45186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V1090">
        <f>YEAR(Table1[[#This Row],[Order Date]])</f>
        <v>2023</v>
      </c>
      <c r="W1090" t="str">
        <f>TEXT(Table1[[#This Row],[Order Date]],"mmm")</f>
        <v>Sep</v>
      </c>
      <c r="X1090">
        <f t="shared" ref="X1090:X1153" si="51">IFERROR(U1090/S1090,0)</f>
        <v>-6.6968000000000005</v>
      </c>
      <c r="Y1090" t="str">
        <f t="shared" ref="Y1090:Y1153" si="52">IF(U1090&gt;0,"Profit",IF(U1090&lt;0,"Loss","Break-even"))</f>
        <v>Loss</v>
      </c>
      <c r="Z1090" t="str">
        <f t="shared" ref="Z1090:Z1153" si="53">IF(T1090=0,"No Discount",IF(T1090&lt;=0.2,"Low",IF(T1090&lt;=0.4,"Medium","High")))</f>
        <v>High</v>
      </c>
    </row>
    <row r="1091" spans="1:26" x14ac:dyDescent="0.35">
      <c r="A1091" s="1">
        <v>1090</v>
      </c>
      <c r="B1091" s="2" t="s">
        <v>3298</v>
      </c>
      <c r="C1091" s="3">
        <v>45181</v>
      </c>
      <c r="D1091" s="3">
        <v>45185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V1091">
        <f>YEAR(Table1[[#This Row],[Order Date]])</f>
        <v>2023</v>
      </c>
      <c r="W1091" t="str">
        <f>TEXT(Table1[[#This Row],[Order Date]],"mmm")</f>
        <v>Sep</v>
      </c>
      <c r="X1091">
        <f t="shared" si="51"/>
        <v>-1.6057999999999999</v>
      </c>
      <c r="Y1091" t="str">
        <f t="shared" si="52"/>
        <v>Loss</v>
      </c>
      <c r="Z1091" t="str">
        <f t="shared" si="53"/>
        <v>High</v>
      </c>
    </row>
    <row r="1092" spans="1:26" x14ac:dyDescent="0.35">
      <c r="A1092" s="1">
        <v>1091</v>
      </c>
      <c r="B1092" s="2" t="s">
        <v>3282</v>
      </c>
      <c r="C1092" s="3">
        <v>45181</v>
      </c>
      <c r="D1092" s="3">
        <v>45188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</v>
      </c>
      <c r="T1092" s="1">
        <v>0</v>
      </c>
      <c r="U1092" s="1">
        <v>149.38199999999998</v>
      </c>
      <c r="V1092">
        <f>YEAR(Table1[[#This Row],[Order Date]])</f>
        <v>2023</v>
      </c>
      <c r="W1092" t="str">
        <f>TEXT(Table1[[#This Row],[Order Date]],"mmm")</f>
        <v>Sep</v>
      </c>
      <c r="X1092">
        <f t="shared" si="51"/>
        <v>74.690999999999988</v>
      </c>
      <c r="Y1092" t="str">
        <f t="shared" si="52"/>
        <v>Profit</v>
      </c>
      <c r="Z1092" t="str">
        <f t="shared" si="53"/>
        <v>No Discount</v>
      </c>
    </row>
    <row r="1093" spans="1:26" x14ac:dyDescent="0.35">
      <c r="A1093" s="1">
        <v>1092</v>
      </c>
      <c r="B1093" s="2" t="s">
        <v>3289</v>
      </c>
      <c r="C1093" s="3">
        <v>45181</v>
      </c>
      <c r="D1093" s="3">
        <v>45186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10.368000000000002</v>
      </c>
      <c r="S1093" s="1">
        <v>2</v>
      </c>
      <c r="T1093" s="1">
        <v>0.2</v>
      </c>
      <c r="U1093" s="1">
        <v>3.6288</v>
      </c>
      <c r="V1093">
        <f>YEAR(Table1[[#This Row],[Order Date]])</f>
        <v>2023</v>
      </c>
      <c r="W1093" t="str">
        <f>TEXT(Table1[[#This Row],[Order Date]],"mmm")</f>
        <v>Sep</v>
      </c>
      <c r="X1093">
        <f t="shared" si="51"/>
        <v>1.8144</v>
      </c>
      <c r="Y1093" t="str">
        <f t="shared" si="52"/>
        <v>Profit</v>
      </c>
      <c r="Z1093" t="str">
        <f t="shared" si="53"/>
        <v>Low</v>
      </c>
    </row>
    <row r="1094" spans="1:26" x14ac:dyDescent="0.35">
      <c r="A1094" s="1">
        <v>1093</v>
      </c>
      <c r="B1094" s="2" t="s">
        <v>3282</v>
      </c>
      <c r="C1094" s="3">
        <v>45181</v>
      </c>
      <c r="D1094" s="3">
        <v>45188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</v>
      </c>
      <c r="T1094" s="1">
        <v>0</v>
      </c>
      <c r="U1094" s="1">
        <v>7.158600000000007</v>
      </c>
      <c r="V1094">
        <f>YEAR(Table1[[#This Row],[Order Date]])</f>
        <v>2023</v>
      </c>
      <c r="W1094" t="str">
        <f>TEXT(Table1[[#This Row],[Order Date]],"mmm")</f>
        <v>Sep</v>
      </c>
      <c r="X1094">
        <f t="shared" si="51"/>
        <v>2.3862000000000023</v>
      </c>
      <c r="Y1094" t="str">
        <f t="shared" si="52"/>
        <v>Profit</v>
      </c>
      <c r="Z1094" t="str">
        <f t="shared" si="53"/>
        <v>No Discount</v>
      </c>
    </row>
    <row r="1095" spans="1:26" x14ac:dyDescent="0.35">
      <c r="A1095" s="1">
        <v>1094</v>
      </c>
      <c r="B1095" s="2" t="s">
        <v>3282</v>
      </c>
      <c r="C1095" s="3">
        <v>45181</v>
      </c>
      <c r="D1095" s="3">
        <v>45188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57.400000000000006</v>
      </c>
      <c r="S1095" s="1">
        <v>5</v>
      </c>
      <c r="T1095" s="1">
        <v>0</v>
      </c>
      <c r="U1095" s="1">
        <v>10.905999999999993</v>
      </c>
      <c r="V1095">
        <f>YEAR(Table1[[#This Row],[Order Date]])</f>
        <v>2023</v>
      </c>
      <c r="W1095" t="str">
        <f>TEXT(Table1[[#This Row],[Order Date]],"mmm")</f>
        <v>Sep</v>
      </c>
      <c r="X1095">
        <f t="shared" si="51"/>
        <v>2.1811999999999987</v>
      </c>
      <c r="Y1095" t="str">
        <f t="shared" si="52"/>
        <v>Profit</v>
      </c>
      <c r="Z1095" t="str">
        <f t="shared" si="53"/>
        <v>No Discount</v>
      </c>
    </row>
    <row r="1096" spans="1:26" x14ac:dyDescent="0.35">
      <c r="A1096" s="1">
        <v>1095</v>
      </c>
      <c r="B1096" s="2" t="s">
        <v>3289</v>
      </c>
      <c r="C1096" s="3">
        <v>45181</v>
      </c>
      <c r="D1096" s="3">
        <v>45186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V1096">
        <f>YEAR(Table1[[#This Row],[Order Date]])</f>
        <v>2023</v>
      </c>
      <c r="W1096" t="str">
        <f>TEXT(Table1[[#This Row],[Order Date]],"mmm")</f>
        <v>Sep</v>
      </c>
      <c r="X1096">
        <f t="shared" si="51"/>
        <v>2.2823999999999991</v>
      </c>
      <c r="Y1096" t="str">
        <f t="shared" si="52"/>
        <v>Profit</v>
      </c>
      <c r="Z1096" t="str">
        <f t="shared" si="53"/>
        <v>Low</v>
      </c>
    </row>
    <row r="1097" spans="1:26" x14ac:dyDescent="0.35">
      <c r="A1097" s="1">
        <v>1096</v>
      </c>
      <c r="B1097" s="2" t="s">
        <v>3305</v>
      </c>
      <c r="C1097" s="3">
        <v>45181</v>
      </c>
      <c r="D1097" s="3">
        <v>45182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>
        <f>YEAR(Table1[[#This Row],[Order Date]])</f>
        <v>2023</v>
      </c>
      <c r="W1097" t="str">
        <f>TEXT(Table1[[#This Row],[Order Date]],"mmm")</f>
        <v>Sep</v>
      </c>
      <c r="X1097">
        <f t="shared" si="51"/>
        <v>30.095700000000001</v>
      </c>
      <c r="Y1097" t="str">
        <f t="shared" si="52"/>
        <v>Profit</v>
      </c>
      <c r="Z1097" t="str">
        <f t="shared" si="53"/>
        <v>No Discount</v>
      </c>
    </row>
    <row r="1098" spans="1:26" x14ac:dyDescent="0.35">
      <c r="A1098" s="1">
        <v>1097</v>
      </c>
      <c r="B1098" s="2" t="s">
        <v>3306</v>
      </c>
      <c r="C1098" s="3">
        <v>45182</v>
      </c>
      <c r="D1098" s="3">
        <v>45186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V1098">
        <f>YEAR(Table1[[#This Row],[Order Date]])</f>
        <v>2023</v>
      </c>
      <c r="W1098" t="str">
        <f>TEXT(Table1[[#This Row],[Order Date]],"mmm")</f>
        <v>Sep</v>
      </c>
      <c r="X1098">
        <f t="shared" si="51"/>
        <v>-1.6195999999999959</v>
      </c>
      <c r="Y1098" t="str">
        <f t="shared" si="52"/>
        <v>Loss</v>
      </c>
      <c r="Z1098" t="str">
        <f t="shared" si="53"/>
        <v>Medium</v>
      </c>
    </row>
    <row r="1099" spans="1:26" x14ac:dyDescent="0.35">
      <c r="A1099" s="1">
        <v>1098</v>
      </c>
      <c r="B1099" s="2" t="s">
        <v>3308</v>
      </c>
      <c r="C1099" s="3">
        <v>45182</v>
      </c>
      <c r="D1099" s="3">
        <v>45182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14.190000000000001</v>
      </c>
      <c r="S1099" s="1">
        <v>3</v>
      </c>
      <c r="T1099" s="1">
        <v>0</v>
      </c>
      <c r="U1099" s="1">
        <v>5.5341000000000014</v>
      </c>
      <c r="V1099">
        <f>YEAR(Table1[[#This Row],[Order Date]])</f>
        <v>2023</v>
      </c>
      <c r="W1099" t="str">
        <f>TEXT(Table1[[#This Row],[Order Date]],"mmm")</f>
        <v>Sep</v>
      </c>
      <c r="X1099">
        <f t="shared" si="51"/>
        <v>1.8447000000000005</v>
      </c>
      <c r="Y1099" t="str">
        <f t="shared" si="52"/>
        <v>Profit</v>
      </c>
      <c r="Z1099" t="str">
        <f t="shared" si="53"/>
        <v>No Discount</v>
      </c>
    </row>
    <row r="1100" spans="1:26" x14ac:dyDescent="0.35">
      <c r="A1100" s="1">
        <v>1099</v>
      </c>
      <c r="B1100" s="2" t="s">
        <v>3308</v>
      </c>
      <c r="C1100" s="3">
        <v>45182</v>
      </c>
      <c r="D1100" s="3">
        <v>45182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</v>
      </c>
      <c r="T1100" s="1">
        <v>0</v>
      </c>
      <c r="U1100" s="1">
        <v>9.743800000000002</v>
      </c>
      <c r="V1100">
        <f>YEAR(Table1[[#This Row],[Order Date]])</f>
        <v>2023</v>
      </c>
      <c r="W1100" t="str">
        <f>TEXT(Table1[[#This Row],[Order Date]],"mmm")</f>
        <v>Sep</v>
      </c>
      <c r="X1100">
        <f t="shared" si="51"/>
        <v>4.871900000000001</v>
      </c>
      <c r="Y1100" t="str">
        <f t="shared" si="52"/>
        <v>Profit</v>
      </c>
      <c r="Z1100" t="str">
        <f t="shared" si="53"/>
        <v>No Discount</v>
      </c>
    </row>
    <row r="1101" spans="1:26" x14ac:dyDescent="0.35">
      <c r="A1101" s="1">
        <v>1100</v>
      </c>
      <c r="B1101" s="2" t="s">
        <v>3309</v>
      </c>
      <c r="C1101" s="3">
        <v>45182</v>
      </c>
      <c r="D1101" s="3">
        <v>45188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</v>
      </c>
      <c r="T1101" s="1">
        <v>0</v>
      </c>
      <c r="U1101" s="1">
        <v>1.4742000000000002</v>
      </c>
      <c r="V1101">
        <f>YEAR(Table1[[#This Row],[Order Date]])</f>
        <v>2023</v>
      </c>
      <c r="W1101" t="str">
        <f>TEXT(Table1[[#This Row],[Order Date]],"mmm")</f>
        <v>Sep</v>
      </c>
      <c r="X1101">
        <f t="shared" si="51"/>
        <v>0.49140000000000006</v>
      </c>
      <c r="Y1101" t="str">
        <f t="shared" si="52"/>
        <v>Profit</v>
      </c>
      <c r="Z1101" t="str">
        <f t="shared" si="53"/>
        <v>No Discount</v>
      </c>
    </row>
    <row r="1102" spans="1:26" x14ac:dyDescent="0.35">
      <c r="A1102" s="1">
        <v>1101</v>
      </c>
      <c r="B1102" s="2" t="s">
        <v>3310</v>
      </c>
      <c r="C1102" s="3">
        <v>45182</v>
      </c>
      <c r="D1102" s="3">
        <v>45186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V1102">
        <f>YEAR(Table1[[#This Row],[Order Date]])</f>
        <v>2023</v>
      </c>
      <c r="W1102" t="str">
        <f>TEXT(Table1[[#This Row],[Order Date]],"mmm")</f>
        <v>Sep</v>
      </c>
      <c r="X1102">
        <f t="shared" si="51"/>
        <v>-1.7759999999999998</v>
      </c>
      <c r="Y1102" t="str">
        <f t="shared" si="52"/>
        <v>Loss</v>
      </c>
      <c r="Z1102" t="str">
        <f t="shared" si="53"/>
        <v>High</v>
      </c>
    </row>
    <row r="1103" spans="1:26" x14ac:dyDescent="0.35">
      <c r="A1103" s="1">
        <v>1102</v>
      </c>
      <c r="B1103" s="2" t="s">
        <v>3313</v>
      </c>
      <c r="C1103" s="3">
        <v>45182</v>
      </c>
      <c r="D1103" s="3">
        <v>45187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V1103">
        <f>YEAR(Table1[[#This Row],[Order Date]])</f>
        <v>2023</v>
      </c>
      <c r="W1103" t="str">
        <f>TEXT(Table1[[#This Row],[Order Date]],"mmm")</f>
        <v>Sep</v>
      </c>
      <c r="X1103">
        <f t="shared" si="51"/>
        <v>-0.6671999999999999</v>
      </c>
      <c r="Y1103" t="str">
        <f t="shared" si="52"/>
        <v>Loss</v>
      </c>
      <c r="Z1103" t="str">
        <f t="shared" si="53"/>
        <v>High</v>
      </c>
    </row>
    <row r="1104" spans="1:26" x14ac:dyDescent="0.35">
      <c r="A1104" s="1">
        <v>1103</v>
      </c>
      <c r="B1104" s="2" t="s">
        <v>3308</v>
      </c>
      <c r="C1104" s="3">
        <v>45182</v>
      </c>
      <c r="D1104" s="3">
        <v>45182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5.6999999999999993</v>
      </c>
      <c r="S1104" s="1">
        <v>5</v>
      </c>
      <c r="T1104" s="1">
        <v>0</v>
      </c>
      <c r="U1104" s="1">
        <v>2.6789999999999998</v>
      </c>
      <c r="V1104">
        <f>YEAR(Table1[[#This Row],[Order Date]])</f>
        <v>2023</v>
      </c>
      <c r="W1104" t="str">
        <f>TEXT(Table1[[#This Row],[Order Date]],"mmm")</f>
        <v>Sep</v>
      </c>
      <c r="X1104">
        <f t="shared" si="51"/>
        <v>0.53579999999999994</v>
      </c>
      <c r="Y1104" t="str">
        <f t="shared" si="52"/>
        <v>Profit</v>
      </c>
      <c r="Z1104" t="str">
        <f t="shared" si="53"/>
        <v>No Discount</v>
      </c>
    </row>
    <row r="1105" spans="1:26" x14ac:dyDescent="0.35">
      <c r="A1105" s="1">
        <v>1104</v>
      </c>
      <c r="B1105" s="2" t="s">
        <v>3308</v>
      </c>
      <c r="C1105" s="3">
        <v>45182</v>
      </c>
      <c r="D1105" s="3">
        <v>45182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</v>
      </c>
      <c r="T1105" s="1">
        <v>0</v>
      </c>
      <c r="U1105" s="1">
        <v>24.47</v>
      </c>
      <c r="V1105">
        <f>YEAR(Table1[[#This Row],[Order Date]])</f>
        <v>2023</v>
      </c>
      <c r="W1105" t="str">
        <f>TEXT(Table1[[#This Row],[Order Date]],"mmm")</f>
        <v>Sep</v>
      </c>
      <c r="X1105">
        <f t="shared" si="51"/>
        <v>24.47</v>
      </c>
      <c r="Y1105" t="str">
        <f t="shared" si="52"/>
        <v>Profit</v>
      </c>
      <c r="Z1105" t="str">
        <f t="shared" si="53"/>
        <v>No Discount</v>
      </c>
    </row>
    <row r="1106" spans="1:26" x14ac:dyDescent="0.35">
      <c r="A1106" s="1">
        <v>1105</v>
      </c>
      <c r="B1106" s="2" t="s">
        <v>3318</v>
      </c>
      <c r="C1106" s="3">
        <v>45182</v>
      </c>
      <c r="D1106" s="3">
        <v>45185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15.552000000000003</v>
      </c>
      <c r="S1106" s="1">
        <v>3</v>
      </c>
      <c r="T1106" s="1">
        <v>0.2</v>
      </c>
      <c r="U1106" s="1">
        <v>5.4432</v>
      </c>
      <c r="V1106">
        <f>YEAR(Table1[[#This Row],[Order Date]])</f>
        <v>2023</v>
      </c>
      <c r="W1106" t="str">
        <f>TEXT(Table1[[#This Row],[Order Date]],"mmm")</f>
        <v>Sep</v>
      </c>
      <c r="X1106">
        <f t="shared" si="51"/>
        <v>1.8144</v>
      </c>
      <c r="Y1106" t="str">
        <f t="shared" si="52"/>
        <v>Profit</v>
      </c>
      <c r="Z1106" t="str">
        <f t="shared" si="53"/>
        <v>Low</v>
      </c>
    </row>
    <row r="1107" spans="1:26" x14ac:dyDescent="0.35">
      <c r="A1107" s="1">
        <v>1106</v>
      </c>
      <c r="B1107" s="2" t="s">
        <v>3321</v>
      </c>
      <c r="C1107" s="3">
        <v>45182</v>
      </c>
      <c r="D1107" s="3">
        <v>45186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V1107">
        <f>YEAR(Table1[[#This Row],[Order Date]])</f>
        <v>2023</v>
      </c>
      <c r="W1107" t="str">
        <f>TEXT(Table1[[#This Row],[Order Date]],"mmm")</f>
        <v>Sep</v>
      </c>
      <c r="X1107">
        <f t="shared" si="51"/>
        <v>1.1910000000000012</v>
      </c>
      <c r="Y1107" t="str">
        <f t="shared" si="52"/>
        <v>Profit</v>
      </c>
      <c r="Z1107" t="str">
        <f t="shared" si="53"/>
        <v>Low</v>
      </c>
    </row>
    <row r="1108" spans="1:26" x14ac:dyDescent="0.35">
      <c r="A1108" s="1">
        <v>1107</v>
      </c>
      <c r="B1108" s="2" t="s">
        <v>3308</v>
      </c>
      <c r="C1108" s="3">
        <v>45182</v>
      </c>
      <c r="D1108" s="3">
        <v>45182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</v>
      </c>
      <c r="T1108" s="1">
        <v>0</v>
      </c>
      <c r="U1108" s="1">
        <v>2.1899999999999995</v>
      </c>
      <c r="V1108">
        <f>YEAR(Table1[[#This Row],[Order Date]])</f>
        <v>2023</v>
      </c>
      <c r="W1108" t="str">
        <f>TEXT(Table1[[#This Row],[Order Date]],"mmm")</f>
        <v>Sep</v>
      </c>
      <c r="X1108">
        <f t="shared" si="51"/>
        <v>1.0949999999999998</v>
      </c>
      <c r="Y1108" t="str">
        <f t="shared" si="52"/>
        <v>Profit</v>
      </c>
      <c r="Z1108" t="str">
        <f t="shared" si="53"/>
        <v>No Discount</v>
      </c>
    </row>
    <row r="1109" spans="1:26" x14ac:dyDescent="0.35">
      <c r="A1109" s="1">
        <v>1108</v>
      </c>
      <c r="B1109" s="2" t="s">
        <v>3308</v>
      </c>
      <c r="C1109" s="3">
        <v>45182</v>
      </c>
      <c r="D1109" s="3">
        <v>45182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</v>
      </c>
      <c r="S1109" s="1">
        <v>2</v>
      </c>
      <c r="T1109" s="1">
        <v>0</v>
      </c>
      <c r="U1109" s="1">
        <v>20.059999999999988</v>
      </c>
      <c r="V1109">
        <f>YEAR(Table1[[#This Row],[Order Date]])</f>
        <v>2023</v>
      </c>
      <c r="W1109" t="str">
        <f>TEXT(Table1[[#This Row],[Order Date]],"mmm")</f>
        <v>Sep</v>
      </c>
      <c r="X1109">
        <f t="shared" si="51"/>
        <v>10.029999999999994</v>
      </c>
      <c r="Y1109" t="str">
        <f t="shared" si="52"/>
        <v>Profit</v>
      </c>
      <c r="Z1109" t="str">
        <f t="shared" si="53"/>
        <v>No Discount</v>
      </c>
    </row>
    <row r="1110" spans="1:26" x14ac:dyDescent="0.35">
      <c r="A1110" s="1">
        <v>1109</v>
      </c>
      <c r="B1110" s="2" t="s">
        <v>3308</v>
      </c>
      <c r="C1110" s="3">
        <v>45182</v>
      </c>
      <c r="D1110" s="3">
        <v>45182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  <c r="V1110">
        <f>YEAR(Table1[[#This Row],[Order Date]])</f>
        <v>2023</v>
      </c>
      <c r="W1110" t="str">
        <f>TEXT(Table1[[#This Row],[Order Date]],"mmm")</f>
        <v>Sep</v>
      </c>
      <c r="X1110">
        <f t="shared" si="51"/>
        <v>37.996200000000002</v>
      </c>
      <c r="Y1110" t="str">
        <f t="shared" si="52"/>
        <v>Profit</v>
      </c>
      <c r="Z1110" t="str">
        <f t="shared" si="53"/>
        <v>No Discount</v>
      </c>
    </row>
    <row r="1111" spans="1:26" x14ac:dyDescent="0.35">
      <c r="A1111" s="1">
        <v>1110</v>
      </c>
      <c r="B1111" s="2" t="s">
        <v>3308</v>
      </c>
      <c r="C1111" s="3">
        <v>45182</v>
      </c>
      <c r="D1111" s="3">
        <v>45182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  <c r="V1111">
        <f>YEAR(Table1[[#This Row],[Order Date]])</f>
        <v>2023</v>
      </c>
      <c r="W1111" t="str">
        <f>TEXT(Table1[[#This Row],[Order Date]],"mmm")</f>
        <v>Sep</v>
      </c>
      <c r="X1111">
        <f t="shared" si="51"/>
        <v>15.220800000000001</v>
      </c>
      <c r="Y1111" t="str">
        <f t="shared" si="52"/>
        <v>Profit</v>
      </c>
      <c r="Z1111" t="str">
        <f t="shared" si="53"/>
        <v>No Discount</v>
      </c>
    </row>
    <row r="1112" spans="1:26" x14ac:dyDescent="0.35">
      <c r="A1112" s="1">
        <v>1111</v>
      </c>
      <c r="B1112" s="2" t="s">
        <v>3318</v>
      </c>
      <c r="C1112" s="3">
        <v>45182</v>
      </c>
      <c r="D1112" s="3">
        <v>45185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V1112">
        <f>YEAR(Table1[[#This Row],[Order Date]])</f>
        <v>2023</v>
      </c>
      <c r="W1112" t="str">
        <f>TEXT(Table1[[#This Row],[Order Date]],"mmm")</f>
        <v>Sep</v>
      </c>
      <c r="X1112">
        <f t="shared" si="51"/>
        <v>10.71</v>
      </c>
      <c r="Y1112" t="str">
        <f t="shared" si="52"/>
        <v>Profit</v>
      </c>
      <c r="Z1112" t="str">
        <f t="shared" si="53"/>
        <v>Low</v>
      </c>
    </row>
    <row r="1113" spans="1:26" x14ac:dyDescent="0.35">
      <c r="A1113" s="1">
        <v>1112</v>
      </c>
      <c r="B1113" s="2" t="s">
        <v>3331</v>
      </c>
      <c r="C1113" s="3">
        <v>45183</v>
      </c>
      <c r="D1113" s="3">
        <v>45187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V1113">
        <f>YEAR(Table1[[#This Row],[Order Date]])</f>
        <v>2023</v>
      </c>
      <c r="W1113" t="str">
        <f>TEXT(Table1[[#This Row],[Order Date]],"mmm")</f>
        <v>Sep</v>
      </c>
      <c r="X1113">
        <f t="shared" si="51"/>
        <v>-1.3446000000000002</v>
      </c>
      <c r="Y1113" t="str">
        <f t="shared" si="52"/>
        <v>Loss</v>
      </c>
      <c r="Z1113" t="str">
        <f t="shared" si="53"/>
        <v>High</v>
      </c>
    </row>
    <row r="1114" spans="1:26" x14ac:dyDescent="0.35">
      <c r="A1114" s="1">
        <v>1113</v>
      </c>
      <c r="B1114" s="2" t="s">
        <v>3333</v>
      </c>
      <c r="C1114" s="3">
        <v>45183</v>
      </c>
      <c r="D1114" s="3">
        <v>45188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  <c r="V1114">
        <f>YEAR(Table1[[#This Row],[Order Date]])</f>
        <v>2023</v>
      </c>
      <c r="W1114" t="str">
        <f>TEXT(Table1[[#This Row],[Order Date]],"mmm")</f>
        <v>Sep</v>
      </c>
      <c r="X1114">
        <f t="shared" si="51"/>
        <v>10.537600000000001</v>
      </c>
      <c r="Y1114" t="str">
        <f t="shared" si="52"/>
        <v>Profit</v>
      </c>
      <c r="Z1114" t="str">
        <f t="shared" si="53"/>
        <v>No Discount</v>
      </c>
    </row>
    <row r="1115" spans="1:26" x14ac:dyDescent="0.35">
      <c r="A1115" s="1">
        <v>1114</v>
      </c>
      <c r="B1115" s="2" t="s">
        <v>3336</v>
      </c>
      <c r="C1115" s="3">
        <v>45183</v>
      </c>
      <c r="D1115" s="3">
        <v>45187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  <c r="V1115">
        <f>YEAR(Table1[[#This Row],[Order Date]])</f>
        <v>2023</v>
      </c>
      <c r="W1115" t="str">
        <f>TEXT(Table1[[#This Row],[Order Date]],"mmm")</f>
        <v>Sep</v>
      </c>
      <c r="X1115">
        <f t="shared" si="51"/>
        <v>1.2581</v>
      </c>
      <c r="Y1115" t="str">
        <f t="shared" si="52"/>
        <v>Profit</v>
      </c>
      <c r="Z1115" t="str">
        <f t="shared" si="53"/>
        <v>Low</v>
      </c>
    </row>
    <row r="1116" spans="1:26" x14ac:dyDescent="0.35">
      <c r="A1116" s="1">
        <v>1115</v>
      </c>
      <c r="B1116" s="2" t="s">
        <v>3337</v>
      </c>
      <c r="C1116" s="3">
        <v>45183</v>
      </c>
      <c r="D1116" s="3">
        <v>45183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V1116">
        <f>YEAR(Table1[[#This Row],[Order Date]])</f>
        <v>2023</v>
      </c>
      <c r="W1116" t="str">
        <f>TEXT(Table1[[#This Row],[Order Date]],"mmm")</f>
        <v>Sep</v>
      </c>
      <c r="X1116">
        <f t="shared" si="51"/>
        <v>-12.037199999999997</v>
      </c>
      <c r="Y1116" t="str">
        <f t="shared" si="52"/>
        <v>Loss</v>
      </c>
      <c r="Z1116" t="str">
        <f t="shared" si="53"/>
        <v>Medium</v>
      </c>
    </row>
    <row r="1117" spans="1:26" x14ac:dyDescent="0.35">
      <c r="A1117" s="1">
        <v>1116</v>
      </c>
      <c r="B1117" s="2" t="s">
        <v>3340</v>
      </c>
      <c r="C1117" s="3">
        <v>45183</v>
      </c>
      <c r="D1117" s="3">
        <v>45188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V1117">
        <f>YEAR(Table1[[#This Row],[Order Date]])</f>
        <v>2023</v>
      </c>
      <c r="W1117" t="str">
        <f>TEXT(Table1[[#This Row],[Order Date]],"mmm")</f>
        <v>Sep</v>
      </c>
      <c r="X1117">
        <f t="shared" si="51"/>
        <v>-65.560000000000016</v>
      </c>
      <c r="Y1117" t="str">
        <f t="shared" si="52"/>
        <v>Loss</v>
      </c>
      <c r="Z1117" t="str">
        <f t="shared" si="53"/>
        <v>High</v>
      </c>
    </row>
    <row r="1118" spans="1:26" x14ac:dyDescent="0.35">
      <c r="A1118" s="1">
        <v>1117</v>
      </c>
      <c r="B1118" s="2" t="s">
        <v>3337</v>
      </c>
      <c r="C1118" s="3">
        <v>45183</v>
      </c>
      <c r="D1118" s="3">
        <v>45183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601.29999999999995</v>
      </c>
      <c r="S1118" s="1">
        <v>2</v>
      </c>
      <c r="T1118" s="1">
        <v>0</v>
      </c>
      <c r="U1118" s="1">
        <v>198.42899999999997</v>
      </c>
      <c r="V1118">
        <f>YEAR(Table1[[#This Row],[Order Date]])</f>
        <v>2023</v>
      </c>
      <c r="W1118" t="str">
        <f>TEXT(Table1[[#This Row],[Order Date]],"mmm")</f>
        <v>Sep</v>
      </c>
      <c r="X1118">
        <f t="shared" si="51"/>
        <v>99.214499999999987</v>
      </c>
      <c r="Y1118" t="str">
        <f t="shared" si="52"/>
        <v>Profit</v>
      </c>
      <c r="Z1118" t="str">
        <f t="shared" si="53"/>
        <v>No Discount</v>
      </c>
    </row>
    <row r="1119" spans="1:26" x14ac:dyDescent="0.35">
      <c r="A1119" s="1">
        <v>1118</v>
      </c>
      <c r="B1119" s="2" t="s">
        <v>3336</v>
      </c>
      <c r="C1119" s="3">
        <v>45183</v>
      </c>
      <c r="D1119" s="3">
        <v>45187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</v>
      </c>
      <c r="S1119" s="1">
        <v>5</v>
      </c>
      <c r="T1119" s="1">
        <v>0.2</v>
      </c>
      <c r="U1119" s="1">
        <v>1.3000000000000007</v>
      </c>
      <c r="V1119">
        <f>YEAR(Table1[[#This Row],[Order Date]])</f>
        <v>2023</v>
      </c>
      <c r="W1119" t="str">
        <f>TEXT(Table1[[#This Row],[Order Date]],"mmm")</f>
        <v>Sep</v>
      </c>
      <c r="X1119">
        <f t="shared" si="51"/>
        <v>0.26000000000000012</v>
      </c>
      <c r="Y1119" t="str">
        <f t="shared" si="52"/>
        <v>Profit</v>
      </c>
      <c r="Z1119" t="str">
        <f t="shared" si="53"/>
        <v>Low</v>
      </c>
    </row>
    <row r="1120" spans="1:26" x14ac:dyDescent="0.35">
      <c r="A1120" s="1">
        <v>1119</v>
      </c>
      <c r="B1120" s="2" t="s">
        <v>3331</v>
      </c>
      <c r="C1120" s="3">
        <v>45183</v>
      </c>
      <c r="D1120" s="3">
        <v>45187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V1120">
        <f>YEAR(Table1[[#This Row],[Order Date]])</f>
        <v>2023</v>
      </c>
      <c r="W1120" t="str">
        <f>TEXT(Table1[[#This Row],[Order Date]],"mmm")</f>
        <v>Sep</v>
      </c>
      <c r="X1120">
        <f t="shared" si="51"/>
        <v>-6.8415999999999997</v>
      </c>
      <c r="Y1120" t="str">
        <f t="shared" si="52"/>
        <v>Loss</v>
      </c>
      <c r="Z1120" t="str">
        <f t="shared" si="53"/>
        <v>High</v>
      </c>
    </row>
    <row r="1121" spans="1:26" x14ac:dyDescent="0.35">
      <c r="A1121" s="1">
        <v>1120</v>
      </c>
      <c r="B1121" s="2" t="s">
        <v>3333</v>
      </c>
      <c r="C1121" s="3">
        <v>45183</v>
      </c>
      <c r="D1121" s="3">
        <v>45188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  <c r="V1121">
        <f>YEAR(Table1[[#This Row],[Order Date]])</f>
        <v>2023</v>
      </c>
      <c r="W1121" t="str">
        <f>TEXT(Table1[[#This Row],[Order Date]],"mmm")</f>
        <v>Sep</v>
      </c>
      <c r="X1121">
        <f t="shared" si="51"/>
        <v>1.7183999999999999</v>
      </c>
      <c r="Y1121" t="str">
        <f t="shared" si="52"/>
        <v>Profit</v>
      </c>
      <c r="Z1121" t="str">
        <f t="shared" si="53"/>
        <v>No Discount</v>
      </c>
    </row>
    <row r="1122" spans="1:26" x14ac:dyDescent="0.35">
      <c r="A1122" s="1">
        <v>1121</v>
      </c>
      <c r="B1122" s="2" t="s">
        <v>3337</v>
      </c>
      <c r="C1122" s="3">
        <v>45183</v>
      </c>
      <c r="D1122" s="3">
        <v>45183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68.459999999999994</v>
      </c>
      <c r="S1122" s="1">
        <v>7</v>
      </c>
      <c r="T1122" s="1">
        <v>0</v>
      </c>
      <c r="U1122" s="1">
        <v>31.491599999999995</v>
      </c>
      <c r="V1122">
        <f>YEAR(Table1[[#This Row],[Order Date]])</f>
        <v>2023</v>
      </c>
      <c r="W1122" t="str">
        <f>TEXT(Table1[[#This Row],[Order Date]],"mmm")</f>
        <v>Sep</v>
      </c>
      <c r="X1122">
        <f t="shared" si="51"/>
        <v>4.4987999999999992</v>
      </c>
      <c r="Y1122" t="str">
        <f t="shared" si="52"/>
        <v>Profit</v>
      </c>
      <c r="Z1122" t="str">
        <f t="shared" si="53"/>
        <v>No Discount</v>
      </c>
    </row>
    <row r="1123" spans="1:26" x14ac:dyDescent="0.35">
      <c r="A1123" s="1">
        <v>1122</v>
      </c>
      <c r="B1123" s="2" t="s">
        <v>3350</v>
      </c>
      <c r="C1123" s="3">
        <v>45183</v>
      </c>
      <c r="D1123" s="3">
        <v>45188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</v>
      </c>
      <c r="T1123" s="1">
        <v>0</v>
      </c>
      <c r="U1123" s="1">
        <v>5.0921999999999992</v>
      </c>
      <c r="V1123">
        <f>YEAR(Table1[[#This Row],[Order Date]])</f>
        <v>2023</v>
      </c>
      <c r="W1123" t="str">
        <f>TEXT(Table1[[#This Row],[Order Date]],"mmm")</f>
        <v>Sep</v>
      </c>
      <c r="X1123">
        <f t="shared" si="51"/>
        <v>1.6973999999999998</v>
      </c>
      <c r="Y1123" t="str">
        <f t="shared" si="52"/>
        <v>Profit</v>
      </c>
      <c r="Z1123" t="str">
        <f t="shared" si="53"/>
        <v>No Discount</v>
      </c>
    </row>
    <row r="1124" spans="1:26" x14ac:dyDescent="0.35">
      <c r="A1124" s="1">
        <v>1123</v>
      </c>
      <c r="B1124" s="2" t="s">
        <v>3331</v>
      </c>
      <c r="C1124" s="3">
        <v>45183</v>
      </c>
      <c r="D1124" s="3">
        <v>45187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</v>
      </c>
      <c r="T1124" s="1">
        <v>0.2</v>
      </c>
      <c r="U1124" s="1">
        <v>-1.3607999999999998</v>
      </c>
      <c r="V1124">
        <f>YEAR(Table1[[#This Row],[Order Date]])</f>
        <v>2023</v>
      </c>
      <c r="W1124" t="str">
        <f>TEXT(Table1[[#This Row],[Order Date]],"mmm")</f>
        <v>Sep</v>
      </c>
      <c r="X1124">
        <f t="shared" si="51"/>
        <v>-0.34019999999999995</v>
      </c>
      <c r="Y1124" t="str">
        <f t="shared" si="52"/>
        <v>Loss</v>
      </c>
      <c r="Z1124" t="str">
        <f t="shared" si="53"/>
        <v>Low</v>
      </c>
    </row>
    <row r="1125" spans="1:26" x14ac:dyDescent="0.35">
      <c r="A1125" s="1">
        <v>1124</v>
      </c>
      <c r="B1125" s="2" t="s">
        <v>3340</v>
      </c>
      <c r="C1125" s="3">
        <v>45183</v>
      </c>
      <c r="D1125" s="3">
        <v>45188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</v>
      </c>
      <c r="T1125" s="1">
        <v>0.2</v>
      </c>
      <c r="U1125" s="1">
        <v>6.5519999999999987</v>
      </c>
      <c r="V1125">
        <f>YEAR(Table1[[#This Row],[Order Date]])</f>
        <v>2023</v>
      </c>
      <c r="W1125" t="str">
        <f>TEXT(Table1[[#This Row],[Order Date]],"mmm")</f>
        <v>Sep</v>
      </c>
      <c r="X1125">
        <f t="shared" si="51"/>
        <v>1.6379999999999997</v>
      </c>
      <c r="Y1125" t="str">
        <f t="shared" si="52"/>
        <v>Profit</v>
      </c>
      <c r="Z1125" t="str">
        <f t="shared" si="53"/>
        <v>Low</v>
      </c>
    </row>
    <row r="1126" spans="1:26" x14ac:dyDescent="0.35">
      <c r="A1126" s="1">
        <v>1125</v>
      </c>
      <c r="B1126" s="2" t="s">
        <v>3337</v>
      </c>
      <c r="C1126" s="3">
        <v>45183</v>
      </c>
      <c r="D1126" s="3">
        <v>45183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44.820000000000007</v>
      </c>
      <c r="S1126" s="1">
        <v>9</v>
      </c>
      <c r="T1126" s="1">
        <v>0</v>
      </c>
      <c r="U1126" s="1">
        <v>21.065400000000004</v>
      </c>
      <c r="V1126">
        <f>YEAR(Table1[[#This Row],[Order Date]])</f>
        <v>2023</v>
      </c>
      <c r="W1126" t="str">
        <f>TEXT(Table1[[#This Row],[Order Date]],"mmm")</f>
        <v>Sep</v>
      </c>
      <c r="X1126">
        <f t="shared" si="51"/>
        <v>2.3406000000000002</v>
      </c>
      <c r="Y1126" t="str">
        <f t="shared" si="52"/>
        <v>Profit</v>
      </c>
      <c r="Z1126" t="str">
        <f t="shared" si="53"/>
        <v>No Discount</v>
      </c>
    </row>
    <row r="1127" spans="1:26" x14ac:dyDescent="0.35">
      <c r="A1127" s="1">
        <v>1126</v>
      </c>
      <c r="B1127" s="2" t="s">
        <v>3331</v>
      </c>
      <c r="C1127" s="3">
        <v>45183</v>
      </c>
      <c r="D1127" s="3">
        <v>45187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V1127">
        <f>YEAR(Table1[[#This Row],[Order Date]])</f>
        <v>2023</v>
      </c>
      <c r="W1127" t="str">
        <f>TEXT(Table1[[#This Row],[Order Date]],"mmm")</f>
        <v>Sep</v>
      </c>
      <c r="X1127">
        <f t="shared" si="51"/>
        <v>1.0699999999999996</v>
      </c>
      <c r="Y1127" t="str">
        <f t="shared" si="52"/>
        <v>Profit</v>
      </c>
      <c r="Z1127" t="str">
        <f t="shared" si="53"/>
        <v>Low</v>
      </c>
    </row>
    <row r="1128" spans="1:26" x14ac:dyDescent="0.35">
      <c r="A1128" s="1">
        <v>1127</v>
      </c>
      <c r="B1128" s="2" t="s">
        <v>3350</v>
      </c>
      <c r="C1128" s="3">
        <v>45183</v>
      </c>
      <c r="D1128" s="3">
        <v>45188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  <c r="V1128">
        <f>YEAR(Table1[[#This Row],[Order Date]])</f>
        <v>2023</v>
      </c>
      <c r="W1128" t="str">
        <f>TEXT(Table1[[#This Row],[Order Date]],"mmm")</f>
        <v>Sep</v>
      </c>
      <c r="X1128">
        <f t="shared" si="51"/>
        <v>1.796599999999998</v>
      </c>
      <c r="Y1128" t="str">
        <f t="shared" si="52"/>
        <v>Profit</v>
      </c>
      <c r="Z1128" t="str">
        <f t="shared" si="53"/>
        <v>No Discount</v>
      </c>
    </row>
    <row r="1129" spans="1:26" x14ac:dyDescent="0.35">
      <c r="A1129" s="1">
        <v>1128</v>
      </c>
      <c r="B1129" s="2" t="s">
        <v>3337</v>
      </c>
      <c r="C1129" s="3">
        <v>45183</v>
      </c>
      <c r="D1129" s="3">
        <v>45183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  <c r="V1129">
        <f>YEAR(Table1[[#This Row],[Order Date]])</f>
        <v>2023</v>
      </c>
      <c r="W1129" t="str">
        <f>TEXT(Table1[[#This Row],[Order Date]],"mmm")</f>
        <v>Sep</v>
      </c>
      <c r="X1129">
        <f t="shared" si="51"/>
        <v>342.99509999999998</v>
      </c>
      <c r="Y1129" t="str">
        <f t="shared" si="52"/>
        <v>Profit</v>
      </c>
      <c r="Z1129" t="str">
        <f t="shared" si="53"/>
        <v>No Discount</v>
      </c>
    </row>
    <row r="1130" spans="1:26" x14ac:dyDescent="0.35">
      <c r="A1130" s="1">
        <v>1129</v>
      </c>
      <c r="B1130" s="2" t="s">
        <v>3337</v>
      </c>
      <c r="C1130" s="3">
        <v>45183</v>
      </c>
      <c r="D1130" s="3">
        <v>45183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287.96999999999997</v>
      </c>
      <c r="S1130" s="1">
        <v>3</v>
      </c>
      <c r="T1130" s="1">
        <v>0</v>
      </c>
      <c r="U1130" s="1">
        <v>80.631600000000006</v>
      </c>
      <c r="V1130">
        <f>YEAR(Table1[[#This Row],[Order Date]])</f>
        <v>2023</v>
      </c>
      <c r="W1130" t="str">
        <f>TEXT(Table1[[#This Row],[Order Date]],"mmm")</f>
        <v>Sep</v>
      </c>
      <c r="X1130">
        <f t="shared" si="51"/>
        <v>26.877200000000002</v>
      </c>
      <c r="Y1130" t="str">
        <f t="shared" si="52"/>
        <v>Profit</v>
      </c>
      <c r="Z1130" t="str">
        <f t="shared" si="53"/>
        <v>No Discount</v>
      </c>
    </row>
    <row r="1131" spans="1:26" x14ac:dyDescent="0.35">
      <c r="A1131" s="1">
        <v>1130</v>
      </c>
      <c r="B1131" s="2" t="s">
        <v>3337</v>
      </c>
      <c r="C1131" s="3">
        <v>45183</v>
      </c>
      <c r="D1131" s="3">
        <v>45183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16.989999999999998</v>
      </c>
      <c r="S1131" s="1">
        <v>1</v>
      </c>
      <c r="T1131" s="1">
        <v>0</v>
      </c>
      <c r="U1131" s="1">
        <v>4.4173999999999989</v>
      </c>
      <c r="V1131">
        <f>YEAR(Table1[[#This Row],[Order Date]])</f>
        <v>2023</v>
      </c>
      <c r="W1131" t="str">
        <f>TEXT(Table1[[#This Row],[Order Date]],"mmm")</f>
        <v>Sep</v>
      </c>
      <c r="X1131">
        <f t="shared" si="51"/>
        <v>4.4173999999999989</v>
      </c>
      <c r="Y1131" t="str">
        <f t="shared" si="52"/>
        <v>Profit</v>
      </c>
      <c r="Z1131" t="str">
        <f t="shared" si="53"/>
        <v>No Discount</v>
      </c>
    </row>
    <row r="1132" spans="1:26" x14ac:dyDescent="0.35">
      <c r="A1132" s="1">
        <v>1131</v>
      </c>
      <c r="B1132" s="2" t="s">
        <v>3367</v>
      </c>
      <c r="C1132" s="3">
        <v>45184</v>
      </c>
      <c r="D1132" s="3">
        <v>45188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V1132">
        <f>YEAR(Table1[[#This Row],[Order Date]])</f>
        <v>2023</v>
      </c>
      <c r="W1132" t="str">
        <f>TEXT(Table1[[#This Row],[Order Date]],"mmm")</f>
        <v>Sep</v>
      </c>
      <c r="X1132">
        <f t="shared" si="51"/>
        <v>4.2223999999999995</v>
      </c>
      <c r="Y1132" t="str">
        <f t="shared" si="52"/>
        <v>Profit</v>
      </c>
      <c r="Z1132" t="str">
        <f t="shared" si="53"/>
        <v>Low</v>
      </c>
    </row>
    <row r="1133" spans="1:26" x14ac:dyDescent="0.35">
      <c r="A1133" s="1">
        <v>1132</v>
      </c>
      <c r="B1133" s="2" t="s">
        <v>3372</v>
      </c>
      <c r="C1133" s="3">
        <v>45184</v>
      </c>
      <c r="D1133" s="3">
        <v>45189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</v>
      </c>
      <c r="T1133" s="1">
        <v>0</v>
      </c>
      <c r="U1133" s="1">
        <v>6.2608000000000015</v>
      </c>
      <c r="V1133">
        <f>YEAR(Table1[[#This Row],[Order Date]])</f>
        <v>2023</v>
      </c>
      <c r="W1133" t="str">
        <f>TEXT(Table1[[#This Row],[Order Date]],"mmm")</f>
        <v>Sep</v>
      </c>
      <c r="X1133">
        <f t="shared" si="51"/>
        <v>3.1304000000000007</v>
      </c>
      <c r="Y1133" t="str">
        <f t="shared" si="52"/>
        <v>Profit</v>
      </c>
      <c r="Z1133" t="str">
        <f t="shared" si="53"/>
        <v>No Discount</v>
      </c>
    </row>
    <row r="1134" spans="1:26" x14ac:dyDescent="0.35">
      <c r="A1134" s="1">
        <v>1133</v>
      </c>
      <c r="B1134" s="2" t="s">
        <v>3372</v>
      </c>
      <c r="C1134" s="3">
        <v>45184</v>
      </c>
      <c r="D1134" s="3">
        <v>45189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14.940000000000001</v>
      </c>
      <c r="S1134" s="1">
        <v>3</v>
      </c>
      <c r="T1134" s="1">
        <v>0</v>
      </c>
      <c r="U1134" s="1">
        <v>7.0218000000000007</v>
      </c>
      <c r="V1134">
        <f>YEAR(Table1[[#This Row],[Order Date]])</f>
        <v>2023</v>
      </c>
      <c r="W1134" t="str">
        <f>TEXT(Table1[[#This Row],[Order Date]],"mmm")</f>
        <v>Sep</v>
      </c>
      <c r="X1134">
        <f t="shared" si="51"/>
        <v>2.3406000000000002</v>
      </c>
      <c r="Y1134" t="str">
        <f t="shared" si="52"/>
        <v>Profit</v>
      </c>
      <c r="Z1134" t="str">
        <f t="shared" si="53"/>
        <v>No Discount</v>
      </c>
    </row>
    <row r="1135" spans="1:26" x14ac:dyDescent="0.35">
      <c r="A1135" s="1">
        <v>1134</v>
      </c>
      <c r="B1135" s="2" t="s">
        <v>3373</v>
      </c>
      <c r="C1135" s="3">
        <v>45185</v>
      </c>
      <c r="D1135" s="3">
        <v>45188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</v>
      </c>
      <c r="T1135" s="1">
        <v>0.2</v>
      </c>
      <c r="U1135" s="1">
        <v>12.581999999999999</v>
      </c>
      <c r="V1135">
        <f>YEAR(Table1[[#This Row],[Order Date]])</f>
        <v>2023</v>
      </c>
      <c r="W1135" t="str">
        <f>TEXT(Table1[[#This Row],[Order Date]],"mmm")</f>
        <v>Sep</v>
      </c>
      <c r="X1135">
        <f t="shared" si="51"/>
        <v>12.581999999999999</v>
      </c>
      <c r="Y1135" t="str">
        <f t="shared" si="52"/>
        <v>Profit</v>
      </c>
      <c r="Z1135" t="str">
        <f t="shared" si="53"/>
        <v>Low</v>
      </c>
    </row>
    <row r="1136" spans="1:26" x14ac:dyDescent="0.35">
      <c r="A1136" s="1">
        <v>1135</v>
      </c>
      <c r="B1136" s="2" t="s">
        <v>3374</v>
      </c>
      <c r="C1136" s="3">
        <v>45186</v>
      </c>
      <c r="D1136" s="3">
        <v>45190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35.340000000000003</v>
      </c>
      <c r="S1136" s="1">
        <v>2</v>
      </c>
      <c r="T1136" s="1">
        <v>0</v>
      </c>
      <c r="U1136" s="1">
        <v>13.429200000000002</v>
      </c>
      <c r="V1136">
        <f>YEAR(Table1[[#This Row],[Order Date]])</f>
        <v>2023</v>
      </c>
      <c r="W1136" t="str">
        <f>TEXT(Table1[[#This Row],[Order Date]],"mmm")</f>
        <v>Sep</v>
      </c>
      <c r="X1136">
        <f t="shared" si="51"/>
        <v>6.7146000000000008</v>
      </c>
      <c r="Y1136" t="str">
        <f t="shared" si="52"/>
        <v>Profit</v>
      </c>
      <c r="Z1136" t="str">
        <f t="shared" si="53"/>
        <v>No Discount</v>
      </c>
    </row>
    <row r="1137" spans="1:26" x14ac:dyDescent="0.35">
      <c r="A1137" s="1">
        <v>1136</v>
      </c>
      <c r="B1137" s="2" t="s">
        <v>3377</v>
      </c>
      <c r="C1137" s="3">
        <v>45186</v>
      </c>
      <c r="D1137" s="3">
        <v>45191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</v>
      </c>
      <c r="T1137" s="1">
        <v>0.2</v>
      </c>
      <c r="U1137" s="1">
        <v>4.7819999999999947</v>
      </c>
      <c r="V1137">
        <f>YEAR(Table1[[#This Row],[Order Date]])</f>
        <v>2023</v>
      </c>
      <c r="W1137" t="str">
        <f>TEXT(Table1[[#This Row],[Order Date]],"mmm")</f>
        <v>Sep</v>
      </c>
      <c r="X1137">
        <f t="shared" si="51"/>
        <v>1.5939999999999983</v>
      </c>
      <c r="Y1137" t="str">
        <f t="shared" si="52"/>
        <v>Profit</v>
      </c>
      <c r="Z1137" t="str">
        <f t="shared" si="53"/>
        <v>Low</v>
      </c>
    </row>
    <row r="1138" spans="1:26" x14ac:dyDescent="0.35">
      <c r="A1138" s="1">
        <v>1137</v>
      </c>
      <c r="B1138" s="2" t="s">
        <v>3377</v>
      </c>
      <c r="C1138" s="3">
        <v>45186</v>
      </c>
      <c r="D1138" s="3">
        <v>45191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V1138">
        <f>YEAR(Table1[[#This Row],[Order Date]])</f>
        <v>2023</v>
      </c>
      <c r="W1138" t="str">
        <f>TEXT(Table1[[#This Row],[Order Date]],"mmm")</f>
        <v>Sep</v>
      </c>
      <c r="X1138">
        <f t="shared" si="51"/>
        <v>0.22960000000000014</v>
      </c>
      <c r="Y1138" t="str">
        <f t="shared" si="52"/>
        <v>Profit</v>
      </c>
      <c r="Z1138" t="str">
        <f t="shared" si="53"/>
        <v>Low</v>
      </c>
    </row>
    <row r="1139" spans="1:26" x14ac:dyDescent="0.35">
      <c r="A1139" s="1">
        <v>1138</v>
      </c>
      <c r="B1139" s="2" t="s">
        <v>3374</v>
      </c>
      <c r="C1139" s="3">
        <v>45186</v>
      </c>
      <c r="D1139" s="3">
        <v>45190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</v>
      </c>
      <c r="T1139" s="1">
        <v>0.2</v>
      </c>
      <c r="U1139" s="1">
        <v>46.3185</v>
      </c>
      <c r="V1139">
        <f>YEAR(Table1[[#This Row],[Order Date]])</f>
        <v>2023</v>
      </c>
      <c r="W1139" t="str">
        <f>TEXT(Table1[[#This Row],[Order Date]],"mmm")</f>
        <v>Sep</v>
      </c>
      <c r="X1139">
        <f t="shared" si="51"/>
        <v>9.2637</v>
      </c>
      <c r="Y1139" t="str">
        <f t="shared" si="52"/>
        <v>Profit</v>
      </c>
      <c r="Z1139" t="str">
        <f t="shared" si="53"/>
        <v>Low</v>
      </c>
    </row>
    <row r="1140" spans="1:26" x14ac:dyDescent="0.35">
      <c r="A1140" s="1">
        <v>1139</v>
      </c>
      <c r="B1140" s="2" t="s">
        <v>3384</v>
      </c>
      <c r="C1140" s="3">
        <v>45186</v>
      </c>
      <c r="D1140" s="3">
        <v>45190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V1140">
        <f>YEAR(Table1[[#This Row],[Order Date]])</f>
        <v>2023</v>
      </c>
      <c r="W1140" t="str">
        <f>TEXT(Table1[[#This Row],[Order Date]],"mmm")</f>
        <v>Sep</v>
      </c>
      <c r="X1140">
        <f t="shared" si="51"/>
        <v>-1.0310999999999999</v>
      </c>
      <c r="Y1140" t="str">
        <f t="shared" si="52"/>
        <v>Loss</v>
      </c>
      <c r="Z1140" t="str">
        <f t="shared" si="53"/>
        <v>High</v>
      </c>
    </row>
    <row r="1141" spans="1:26" x14ac:dyDescent="0.35">
      <c r="A1141" s="1">
        <v>1140</v>
      </c>
      <c r="B1141" s="2" t="s">
        <v>3389</v>
      </c>
      <c r="C1141" s="3">
        <v>45186</v>
      </c>
      <c r="D1141" s="3">
        <v>45190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</v>
      </c>
      <c r="T1141" s="1">
        <v>0</v>
      </c>
      <c r="U1141" s="1">
        <v>85.981799999999993</v>
      </c>
      <c r="V1141">
        <f>YEAR(Table1[[#This Row],[Order Date]])</f>
        <v>2023</v>
      </c>
      <c r="W1141" t="str">
        <f>TEXT(Table1[[#This Row],[Order Date]],"mmm")</f>
        <v>Sep</v>
      </c>
      <c r="X1141">
        <f t="shared" si="51"/>
        <v>28.660599999999999</v>
      </c>
      <c r="Y1141" t="str">
        <f t="shared" si="52"/>
        <v>Profit</v>
      </c>
      <c r="Z1141" t="str">
        <f t="shared" si="53"/>
        <v>No Discount</v>
      </c>
    </row>
    <row r="1142" spans="1:26" x14ac:dyDescent="0.35">
      <c r="A1142" s="1">
        <v>1141</v>
      </c>
      <c r="B1142" s="2" t="s">
        <v>3377</v>
      </c>
      <c r="C1142" s="3">
        <v>45186</v>
      </c>
      <c r="D1142" s="3">
        <v>45191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</v>
      </c>
      <c r="T1142" s="1">
        <v>0.2</v>
      </c>
      <c r="U1142" s="1">
        <v>13.078000000000001</v>
      </c>
      <c r="V1142">
        <f>YEAR(Table1[[#This Row],[Order Date]])</f>
        <v>2023</v>
      </c>
      <c r="W1142" t="str">
        <f>TEXT(Table1[[#This Row],[Order Date]],"mmm")</f>
        <v>Sep</v>
      </c>
      <c r="X1142">
        <f t="shared" si="51"/>
        <v>2.6156000000000001</v>
      </c>
      <c r="Y1142" t="str">
        <f t="shared" si="52"/>
        <v>Profit</v>
      </c>
      <c r="Z1142" t="str">
        <f t="shared" si="53"/>
        <v>Low</v>
      </c>
    </row>
    <row r="1143" spans="1:26" x14ac:dyDescent="0.35">
      <c r="A1143" s="1">
        <v>1142</v>
      </c>
      <c r="B1143" s="2" t="s">
        <v>3393</v>
      </c>
      <c r="C1143" s="3">
        <v>45186</v>
      </c>
      <c r="D1143" s="3">
        <v>45193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V1143">
        <f>YEAR(Table1[[#This Row],[Order Date]])</f>
        <v>2023</v>
      </c>
      <c r="W1143" t="str">
        <f>TEXT(Table1[[#This Row],[Order Date]],"mmm")</f>
        <v>Sep</v>
      </c>
      <c r="X1143">
        <f t="shared" si="51"/>
        <v>1.6762000000000001</v>
      </c>
      <c r="Y1143" t="str">
        <f t="shared" si="52"/>
        <v>Profit</v>
      </c>
      <c r="Z1143" t="str">
        <f t="shared" si="53"/>
        <v>Low</v>
      </c>
    </row>
    <row r="1144" spans="1:26" x14ac:dyDescent="0.35">
      <c r="A1144" s="1">
        <v>1143</v>
      </c>
      <c r="B1144" s="2" t="s">
        <v>3377</v>
      </c>
      <c r="C1144" s="3">
        <v>45186</v>
      </c>
      <c r="D1144" s="3">
        <v>45191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V1144">
        <f>YEAR(Table1[[#This Row],[Order Date]])</f>
        <v>2023</v>
      </c>
      <c r="W1144" t="str">
        <f>TEXT(Table1[[#This Row],[Order Date]],"mmm")</f>
        <v>Sep</v>
      </c>
      <c r="X1144">
        <f t="shared" si="51"/>
        <v>7.7449999999999974</v>
      </c>
      <c r="Y1144" t="str">
        <f t="shared" si="52"/>
        <v>Profit</v>
      </c>
      <c r="Z1144" t="str">
        <f t="shared" si="53"/>
        <v>Low</v>
      </c>
    </row>
    <row r="1145" spans="1:26" x14ac:dyDescent="0.35">
      <c r="A1145" s="1">
        <v>1144</v>
      </c>
      <c r="B1145" s="2" t="s">
        <v>3374</v>
      </c>
      <c r="C1145" s="3">
        <v>45186</v>
      </c>
      <c r="D1145" s="3">
        <v>45190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57.929999999999993</v>
      </c>
      <c r="S1145" s="1">
        <v>3</v>
      </c>
      <c r="T1145" s="1">
        <v>0</v>
      </c>
      <c r="U1145" s="1">
        <v>16.220400000000001</v>
      </c>
      <c r="V1145">
        <f>YEAR(Table1[[#This Row],[Order Date]])</f>
        <v>2023</v>
      </c>
      <c r="W1145" t="str">
        <f>TEXT(Table1[[#This Row],[Order Date]],"mmm")</f>
        <v>Sep</v>
      </c>
      <c r="X1145">
        <f t="shared" si="51"/>
        <v>5.4068000000000005</v>
      </c>
      <c r="Y1145" t="str">
        <f t="shared" si="52"/>
        <v>Profit</v>
      </c>
      <c r="Z1145" t="str">
        <f t="shared" si="53"/>
        <v>No Discount</v>
      </c>
    </row>
    <row r="1146" spans="1:26" x14ac:dyDescent="0.35">
      <c r="A1146" s="1">
        <v>1145</v>
      </c>
      <c r="B1146" s="2" t="s">
        <v>3374</v>
      </c>
      <c r="C1146" s="3">
        <v>45186</v>
      </c>
      <c r="D1146" s="3">
        <v>45190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</v>
      </c>
      <c r="T1146" s="1">
        <v>0</v>
      </c>
      <c r="U1146" s="1">
        <v>1.2111999999999981</v>
      </c>
      <c r="V1146">
        <f>YEAR(Table1[[#This Row],[Order Date]])</f>
        <v>2023</v>
      </c>
      <c r="W1146" t="str">
        <f>TEXT(Table1[[#This Row],[Order Date]],"mmm")</f>
        <v>Sep</v>
      </c>
      <c r="X1146">
        <f t="shared" si="51"/>
        <v>0.60559999999999903</v>
      </c>
      <c r="Y1146" t="str">
        <f t="shared" si="52"/>
        <v>Profit</v>
      </c>
      <c r="Z1146" t="str">
        <f t="shared" si="53"/>
        <v>No Discount</v>
      </c>
    </row>
    <row r="1147" spans="1:26" x14ac:dyDescent="0.35">
      <c r="A1147" s="1">
        <v>1146</v>
      </c>
      <c r="B1147" s="2" t="s">
        <v>3393</v>
      </c>
      <c r="C1147" s="3">
        <v>45186</v>
      </c>
      <c r="D1147" s="3">
        <v>45193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>
        <f>YEAR(Table1[[#This Row],[Order Date]])</f>
        <v>2023</v>
      </c>
      <c r="W1147" t="str">
        <f>TEXT(Table1[[#This Row],[Order Date]],"mmm")</f>
        <v>Sep</v>
      </c>
      <c r="X1147">
        <f t="shared" si="51"/>
        <v>6.5978000000000003</v>
      </c>
      <c r="Y1147" t="str">
        <f t="shared" si="52"/>
        <v>Profit</v>
      </c>
      <c r="Z1147" t="str">
        <f t="shared" si="53"/>
        <v>Low</v>
      </c>
    </row>
    <row r="1148" spans="1:26" x14ac:dyDescent="0.35">
      <c r="A1148" s="1">
        <v>1147</v>
      </c>
      <c r="B1148" s="2" t="s">
        <v>3377</v>
      </c>
      <c r="C1148" s="3">
        <v>45186</v>
      </c>
      <c r="D1148" s="3">
        <v>45191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</v>
      </c>
      <c r="T1148" s="1">
        <v>0.2</v>
      </c>
      <c r="U1148" s="1">
        <v>16.776000000000007</v>
      </c>
      <c r="V1148">
        <f>YEAR(Table1[[#This Row],[Order Date]])</f>
        <v>2023</v>
      </c>
      <c r="W1148" t="str">
        <f>TEXT(Table1[[#This Row],[Order Date]],"mmm")</f>
        <v>Sep</v>
      </c>
      <c r="X1148">
        <f t="shared" si="51"/>
        <v>1.6776000000000006</v>
      </c>
      <c r="Y1148" t="str">
        <f t="shared" si="52"/>
        <v>Profit</v>
      </c>
      <c r="Z1148" t="str">
        <f t="shared" si="53"/>
        <v>Low</v>
      </c>
    </row>
    <row r="1149" spans="1:26" x14ac:dyDescent="0.35">
      <c r="A1149" s="1">
        <v>1148</v>
      </c>
      <c r="B1149" s="2" t="s">
        <v>3377</v>
      </c>
      <c r="C1149" s="3">
        <v>45186</v>
      </c>
      <c r="D1149" s="3">
        <v>45191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V1149">
        <f>YEAR(Table1[[#This Row],[Order Date]])</f>
        <v>2023</v>
      </c>
      <c r="W1149" t="str">
        <f>TEXT(Table1[[#This Row],[Order Date]],"mmm")</f>
        <v>Sep</v>
      </c>
      <c r="X1149">
        <f t="shared" si="51"/>
        <v>-4.3889999999999985</v>
      </c>
      <c r="Y1149" t="str">
        <f t="shared" si="52"/>
        <v>Loss</v>
      </c>
      <c r="Z1149" t="str">
        <f t="shared" si="53"/>
        <v>High</v>
      </c>
    </row>
    <row r="1150" spans="1:26" x14ac:dyDescent="0.35">
      <c r="A1150" s="1">
        <v>1149</v>
      </c>
      <c r="B1150" s="2" t="s">
        <v>3408</v>
      </c>
      <c r="C1150" s="3">
        <v>45188</v>
      </c>
      <c r="D1150" s="3">
        <v>45188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V1150">
        <f>YEAR(Table1[[#This Row],[Order Date]])</f>
        <v>2023</v>
      </c>
      <c r="W1150" t="str">
        <f>TEXT(Table1[[#This Row],[Order Date]],"mmm")</f>
        <v>Sep</v>
      </c>
      <c r="X1150">
        <f t="shared" si="51"/>
        <v>25.345799999999997</v>
      </c>
      <c r="Y1150" t="str">
        <f t="shared" si="52"/>
        <v>Profit</v>
      </c>
      <c r="Z1150" t="str">
        <f t="shared" si="53"/>
        <v>Low</v>
      </c>
    </row>
    <row r="1151" spans="1:26" x14ac:dyDescent="0.35">
      <c r="A1151" s="1">
        <v>1150</v>
      </c>
      <c r="B1151" s="2" t="s">
        <v>3409</v>
      </c>
      <c r="C1151" s="3">
        <v>45188</v>
      </c>
      <c r="D1151" s="3">
        <v>45193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V1151">
        <f>YEAR(Table1[[#This Row],[Order Date]])</f>
        <v>2023</v>
      </c>
      <c r="W1151" t="str">
        <f>TEXT(Table1[[#This Row],[Order Date]],"mmm")</f>
        <v>Sep</v>
      </c>
      <c r="X1151">
        <f t="shared" si="51"/>
        <v>-45.827300000000008</v>
      </c>
      <c r="Y1151" t="str">
        <f t="shared" si="52"/>
        <v>Loss</v>
      </c>
      <c r="Z1151" t="str">
        <f t="shared" si="53"/>
        <v>High</v>
      </c>
    </row>
    <row r="1152" spans="1:26" x14ac:dyDescent="0.35">
      <c r="A1152" s="1">
        <v>1151</v>
      </c>
      <c r="B1152" s="2" t="s">
        <v>3412</v>
      </c>
      <c r="C1152" s="3">
        <v>45188</v>
      </c>
      <c r="D1152" s="3">
        <v>45188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</v>
      </c>
      <c r="T1152" s="1">
        <v>0</v>
      </c>
      <c r="U1152" s="1">
        <v>0.11340000000000017</v>
      </c>
      <c r="V1152">
        <f>YEAR(Table1[[#This Row],[Order Date]])</f>
        <v>2023</v>
      </c>
      <c r="W1152" t="str">
        <f>TEXT(Table1[[#This Row],[Order Date]],"mmm")</f>
        <v>Sep</v>
      </c>
      <c r="X1152">
        <f t="shared" si="51"/>
        <v>3.7800000000000056E-2</v>
      </c>
      <c r="Y1152" t="str">
        <f t="shared" si="52"/>
        <v>Profit</v>
      </c>
      <c r="Z1152" t="str">
        <f t="shared" si="53"/>
        <v>No Discount</v>
      </c>
    </row>
    <row r="1153" spans="1:26" x14ac:dyDescent="0.35">
      <c r="A1153" s="1">
        <v>1152</v>
      </c>
      <c r="B1153" s="2" t="s">
        <v>3415</v>
      </c>
      <c r="C1153" s="3">
        <v>45188</v>
      </c>
      <c r="D1153" s="3">
        <v>45193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</v>
      </c>
      <c r="T1153" s="1">
        <v>0</v>
      </c>
      <c r="U1153" s="1">
        <v>3.58</v>
      </c>
      <c r="V1153">
        <f>YEAR(Table1[[#This Row],[Order Date]])</f>
        <v>2023</v>
      </c>
      <c r="W1153" t="str">
        <f>TEXT(Table1[[#This Row],[Order Date]],"mmm")</f>
        <v>Sep</v>
      </c>
      <c r="X1153">
        <f t="shared" si="51"/>
        <v>1.79</v>
      </c>
      <c r="Y1153" t="str">
        <f t="shared" si="52"/>
        <v>Profit</v>
      </c>
      <c r="Z1153" t="str">
        <f t="shared" si="53"/>
        <v>No Discount</v>
      </c>
    </row>
    <row r="1154" spans="1:26" x14ac:dyDescent="0.35">
      <c r="A1154" s="1">
        <v>1153</v>
      </c>
      <c r="B1154" s="2" t="s">
        <v>3418</v>
      </c>
      <c r="C1154" s="3">
        <v>45188</v>
      </c>
      <c r="D1154" s="3">
        <v>45192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</v>
      </c>
      <c r="T1154" s="1">
        <v>0</v>
      </c>
      <c r="U1154" s="1">
        <v>24.980400000000007</v>
      </c>
      <c r="V1154">
        <f>YEAR(Table1[[#This Row],[Order Date]])</f>
        <v>2023</v>
      </c>
      <c r="W1154" t="str">
        <f>TEXT(Table1[[#This Row],[Order Date]],"mmm")</f>
        <v>Sep</v>
      </c>
      <c r="X1154">
        <f t="shared" ref="X1154:X1217" si="54">IFERROR(U1154/S1154,0)</f>
        <v>4.1634000000000011</v>
      </c>
      <c r="Y1154" t="str">
        <f t="shared" ref="Y1154:Y1217" si="55">IF(U1154&gt;0,"Profit",IF(U1154&lt;0,"Loss","Break-even"))</f>
        <v>Profit</v>
      </c>
      <c r="Z1154" t="str">
        <f t="shared" ref="Z1154:Z1217" si="56">IF(T1154=0,"No Discount",IF(T1154&lt;=0.2,"Low",IF(T1154&lt;=0.4,"Medium","High")))</f>
        <v>No Discount</v>
      </c>
    </row>
    <row r="1155" spans="1:26" x14ac:dyDescent="0.35">
      <c r="A1155" s="1">
        <v>1154</v>
      </c>
      <c r="B1155" s="2" t="s">
        <v>3423</v>
      </c>
      <c r="C1155" s="3">
        <v>45188</v>
      </c>
      <c r="D1155" s="3">
        <v>45193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V1155">
        <f>YEAR(Table1[[#This Row],[Order Date]])</f>
        <v>2023</v>
      </c>
      <c r="W1155" t="str">
        <f>TEXT(Table1[[#This Row],[Order Date]],"mmm")</f>
        <v>Sep</v>
      </c>
      <c r="X1155">
        <f t="shared" si="54"/>
        <v>1.2626999999999982</v>
      </c>
      <c r="Y1155" t="str">
        <f t="shared" si="55"/>
        <v>Profit</v>
      </c>
      <c r="Z1155" t="str">
        <f t="shared" si="56"/>
        <v>Low</v>
      </c>
    </row>
    <row r="1156" spans="1:26" x14ac:dyDescent="0.35">
      <c r="A1156" s="1">
        <v>1155</v>
      </c>
      <c r="B1156" s="2" t="s">
        <v>3426</v>
      </c>
      <c r="C1156" s="3">
        <v>45188</v>
      </c>
      <c r="D1156" s="3">
        <v>45190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</v>
      </c>
      <c r="T1156" s="1">
        <v>0.4</v>
      </c>
      <c r="U1156" s="1">
        <v>-509.99700000000075</v>
      </c>
      <c r="V1156">
        <f>YEAR(Table1[[#This Row],[Order Date]])</f>
        <v>2023</v>
      </c>
      <c r="W1156" t="str">
        <f>TEXT(Table1[[#This Row],[Order Date]],"mmm")</f>
        <v>Sep</v>
      </c>
      <c r="X1156">
        <f t="shared" si="54"/>
        <v>-169.99900000000025</v>
      </c>
      <c r="Y1156" t="str">
        <f t="shared" si="55"/>
        <v>Loss</v>
      </c>
      <c r="Z1156" t="str">
        <f t="shared" si="56"/>
        <v>Medium</v>
      </c>
    </row>
    <row r="1157" spans="1:26" x14ac:dyDescent="0.35">
      <c r="A1157" s="1">
        <v>1156</v>
      </c>
      <c r="B1157" s="2" t="s">
        <v>3423</v>
      </c>
      <c r="C1157" s="3">
        <v>45188</v>
      </c>
      <c r="D1157" s="3">
        <v>45193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V1157">
        <f>YEAR(Table1[[#This Row],[Order Date]])</f>
        <v>2023</v>
      </c>
      <c r="W1157" t="str">
        <f>TEXT(Table1[[#This Row],[Order Date]],"mmm")</f>
        <v>Sep</v>
      </c>
      <c r="X1157">
        <f t="shared" si="54"/>
        <v>-314.99820000000017</v>
      </c>
      <c r="Y1157" t="str">
        <f t="shared" si="55"/>
        <v>Loss</v>
      </c>
      <c r="Z1157" t="str">
        <f t="shared" si="56"/>
        <v>High</v>
      </c>
    </row>
    <row r="1158" spans="1:26" x14ac:dyDescent="0.35">
      <c r="A1158" s="1">
        <v>1157</v>
      </c>
      <c r="B1158" s="2" t="s">
        <v>3426</v>
      </c>
      <c r="C1158" s="3">
        <v>45188</v>
      </c>
      <c r="D1158" s="3">
        <v>45190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V1158">
        <f>YEAR(Table1[[#This Row],[Order Date]])</f>
        <v>2023</v>
      </c>
      <c r="W1158" t="str">
        <f>TEXT(Table1[[#This Row],[Order Date]],"mmm")</f>
        <v>Sep</v>
      </c>
      <c r="X1158">
        <f t="shared" si="54"/>
        <v>-35.999399999999987</v>
      </c>
      <c r="Y1158" t="str">
        <f t="shared" si="55"/>
        <v>Loss</v>
      </c>
      <c r="Z1158" t="str">
        <f t="shared" si="56"/>
        <v>Medium</v>
      </c>
    </row>
    <row r="1159" spans="1:26" x14ac:dyDescent="0.35">
      <c r="A1159" s="1">
        <v>1158</v>
      </c>
      <c r="B1159" s="2" t="s">
        <v>3431</v>
      </c>
      <c r="C1159" s="3">
        <v>45189</v>
      </c>
      <c r="D1159" s="3">
        <v>45193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  <c r="V1159">
        <f>YEAR(Table1[[#This Row],[Order Date]])</f>
        <v>2023</v>
      </c>
      <c r="W1159" t="str">
        <f>TEXT(Table1[[#This Row],[Order Date]],"mmm")</f>
        <v>Sep</v>
      </c>
      <c r="X1159">
        <f t="shared" si="54"/>
        <v>12.097999999999999</v>
      </c>
      <c r="Y1159" t="str">
        <f t="shared" si="55"/>
        <v>Profit</v>
      </c>
      <c r="Z1159" t="str">
        <f t="shared" si="56"/>
        <v>No Discount</v>
      </c>
    </row>
    <row r="1160" spans="1:26" x14ac:dyDescent="0.35">
      <c r="A1160" s="1">
        <v>1159</v>
      </c>
      <c r="B1160" s="2" t="s">
        <v>3434</v>
      </c>
      <c r="C1160" s="3">
        <v>45189</v>
      </c>
      <c r="D1160" s="3">
        <v>45192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V1160">
        <f>YEAR(Table1[[#This Row],[Order Date]])</f>
        <v>2023</v>
      </c>
      <c r="W1160" t="str">
        <f>TEXT(Table1[[#This Row],[Order Date]],"mmm")</f>
        <v>Sep</v>
      </c>
      <c r="X1160">
        <f t="shared" si="54"/>
        <v>-5.0098000000000269</v>
      </c>
      <c r="Y1160" t="str">
        <f t="shared" si="55"/>
        <v>Loss</v>
      </c>
      <c r="Z1160" t="str">
        <f t="shared" si="56"/>
        <v>Low</v>
      </c>
    </row>
    <row r="1161" spans="1:26" x14ac:dyDescent="0.35">
      <c r="A1161" s="1">
        <v>1160</v>
      </c>
      <c r="B1161" s="2" t="s">
        <v>3437</v>
      </c>
      <c r="C1161" s="3">
        <v>45189</v>
      </c>
      <c r="D1161" s="3">
        <v>45192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V1161">
        <f>YEAR(Table1[[#This Row],[Order Date]])</f>
        <v>2023</v>
      </c>
      <c r="W1161" t="str">
        <f>TEXT(Table1[[#This Row],[Order Date]],"mmm")</f>
        <v>Sep</v>
      </c>
      <c r="X1161">
        <f t="shared" si="54"/>
        <v>-14.097999999999995</v>
      </c>
      <c r="Y1161" t="str">
        <f t="shared" si="55"/>
        <v>Loss</v>
      </c>
      <c r="Z1161" t="str">
        <f t="shared" si="56"/>
        <v>Medium</v>
      </c>
    </row>
    <row r="1162" spans="1:26" x14ac:dyDescent="0.35">
      <c r="A1162" s="1">
        <v>1161</v>
      </c>
      <c r="B1162" s="2" t="s">
        <v>3434</v>
      </c>
      <c r="C1162" s="3">
        <v>45189</v>
      </c>
      <c r="D1162" s="3">
        <v>45192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V1162">
        <f>YEAR(Table1[[#This Row],[Order Date]])</f>
        <v>2023</v>
      </c>
      <c r="W1162" t="str">
        <f>TEXT(Table1[[#This Row],[Order Date]],"mmm")</f>
        <v>Sep</v>
      </c>
      <c r="X1162">
        <f t="shared" si="54"/>
        <v>70.197999999999965</v>
      </c>
      <c r="Y1162" t="str">
        <f t="shared" si="55"/>
        <v>Profit</v>
      </c>
      <c r="Z1162" t="str">
        <f t="shared" si="56"/>
        <v>Low</v>
      </c>
    </row>
    <row r="1163" spans="1:26" x14ac:dyDescent="0.35">
      <c r="A1163" s="1">
        <v>1162</v>
      </c>
      <c r="B1163" s="2" t="s">
        <v>3431</v>
      </c>
      <c r="C1163" s="3">
        <v>45189</v>
      </c>
      <c r="D1163" s="3">
        <v>45193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  <c r="V1163">
        <f>YEAR(Table1[[#This Row],[Order Date]])</f>
        <v>2023</v>
      </c>
      <c r="W1163" t="str">
        <f>TEXT(Table1[[#This Row],[Order Date]],"mmm")</f>
        <v>Sep</v>
      </c>
      <c r="X1163">
        <f t="shared" si="54"/>
        <v>16.9694</v>
      </c>
      <c r="Y1163" t="str">
        <f t="shared" si="55"/>
        <v>Profit</v>
      </c>
      <c r="Z1163" t="str">
        <f t="shared" si="56"/>
        <v>No Discount</v>
      </c>
    </row>
    <row r="1164" spans="1:26" x14ac:dyDescent="0.35">
      <c r="A1164" s="1">
        <v>1163</v>
      </c>
      <c r="B1164" s="2" t="s">
        <v>3442</v>
      </c>
      <c r="C1164" s="3">
        <v>45189</v>
      </c>
      <c r="D1164" s="3">
        <v>45194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V1164">
        <f>YEAR(Table1[[#This Row],[Order Date]])</f>
        <v>2023</v>
      </c>
      <c r="W1164" t="str">
        <f>TEXT(Table1[[#This Row],[Order Date]],"mmm")</f>
        <v>Sep</v>
      </c>
      <c r="X1164">
        <f t="shared" si="54"/>
        <v>-67.947000000000017</v>
      </c>
      <c r="Y1164" t="str">
        <f t="shared" si="55"/>
        <v>Loss</v>
      </c>
      <c r="Z1164" t="str">
        <f t="shared" si="56"/>
        <v>High</v>
      </c>
    </row>
    <row r="1165" spans="1:26" x14ac:dyDescent="0.35">
      <c r="A1165" s="1">
        <v>1164</v>
      </c>
      <c r="B1165" s="2" t="s">
        <v>3445</v>
      </c>
      <c r="C1165" s="3">
        <v>45189</v>
      </c>
      <c r="D1165" s="3">
        <v>45195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</v>
      </c>
      <c r="T1165" s="1">
        <v>0</v>
      </c>
      <c r="U1165" s="1">
        <v>11.858400000000003</v>
      </c>
      <c r="V1165">
        <f>YEAR(Table1[[#This Row],[Order Date]])</f>
        <v>2023</v>
      </c>
      <c r="W1165" t="str">
        <f>TEXT(Table1[[#This Row],[Order Date]],"mmm")</f>
        <v>Sep</v>
      </c>
      <c r="X1165">
        <f t="shared" si="54"/>
        <v>2.9646000000000008</v>
      </c>
      <c r="Y1165" t="str">
        <f t="shared" si="55"/>
        <v>Profit</v>
      </c>
      <c r="Z1165" t="str">
        <f t="shared" si="56"/>
        <v>No Discount</v>
      </c>
    </row>
    <row r="1166" spans="1:26" x14ac:dyDescent="0.35">
      <c r="A1166" s="1">
        <v>1165</v>
      </c>
      <c r="B1166" s="2" t="s">
        <v>3434</v>
      </c>
      <c r="C1166" s="3">
        <v>45189</v>
      </c>
      <c r="D1166" s="3">
        <v>45192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  <c r="V1166">
        <f>YEAR(Table1[[#This Row],[Order Date]])</f>
        <v>2023</v>
      </c>
      <c r="W1166" t="str">
        <f>TEXT(Table1[[#This Row],[Order Date]],"mmm")</f>
        <v>Sep</v>
      </c>
      <c r="X1166">
        <f t="shared" si="54"/>
        <v>8.0548000000000002</v>
      </c>
      <c r="Y1166" t="str">
        <f t="shared" si="55"/>
        <v>Profit</v>
      </c>
      <c r="Z1166" t="str">
        <f t="shared" si="56"/>
        <v>No Discount</v>
      </c>
    </row>
    <row r="1167" spans="1:26" x14ac:dyDescent="0.35">
      <c r="A1167" s="1">
        <v>1166</v>
      </c>
      <c r="B1167" s="2" t="s">
        <v>3449</v>
      </c>
      <c r="C1167" s="3">
        <v>45189</v>
      </c>
      <c r="D1167" s="3">
        <v>45194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V1167">
        <f>YEAR(Table1[[#This Row],[Order Date]])</f>
        <v>2023</v>
      </c>
      <c r="W1167" t="str">
        <f>TEXT(Table1[[#This Row],[Order Date]],"mmm")</f>
        <v>Sep</v>
      </c>
      <c r="X1167">
        <f t="shared" si="54"/>
        <v>0.49279999999999996</v>
      </c>
      <c r="Y1167" t="str">
        <f t="shared" si="55"/>
        <v>Profit</v>
      </c>
      <c r="Z1167" t="str">
        <f t="shared" si="56"/>
        <v>Low</v>
      </c>
    </row>
    <row r="1168" spans="1:26" x14ac:dyDescent="0.35">
      <c r="A1168" s="1">
        <v>1167</v>
      </c>
      <c r="B1168" s="2" t="s">
        <v>3445</v>
      </c>
      <c r="C1168" s="3">
        <v>45189</v>
      </c>
      <c r="D1168" s="3">
        <v>45195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V1168">
        <f>YEAR(Table1[[#This Row],[Order Date]])</f>
        <v>2023</v>
      </c>
      <c r="W1168" t="str">
        <f>TEXT(Table1[[#This Row],[Order Date]],"mmm")</f>
        <v>Sep</v>
      </c>
      <c r="X1168">
        <f t="shared" si="54"/>
        <v>2.1917999999999993</v>
      </c>
      <c r="Y1168" t="str">
        <f t="shared" si="55"/>
        <v>Profit</v>
      </c>
      <c r="Z1168" t="str">
        <f t="shared" si="56"/>
        <v>Low</v>
      </c>
    </row>
    <row r="1169" spans="1:26" x14ac:dyDescent="0.35">
      <c r="A1169" s="1">
        <v>1168</v>
      </c>
      <c r="B1169" s="2" t="s">
        <v>3450</v>
      </c>
      <c r="C1169" s="3">
        <v>45189</v>
      </c>
      <c r="D1169" s="3">
        <v>45195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>
        <f>YEAR(Table1[[#This Row],[Order Date]])</f>
        <v>2023</v>
      </c>
      <c r="W1169" t="str">
        <f>TEXT(Table1[[#This Row],[Order Date]],"mmm")</f>
        <v>Sep</v>
      </c>
      <c r="X1169">
        <f t="shared" si="54"/>
        <v>2.2907999999999999</v>
      </c>
      <c r="Y1169" t="str">
        <f t="shared" si="55"/>
        <v>Profit</v>
      </c>
      <c r="Z1169" t="str">
        <f t="shared" si="56"/>
        <v>No Discount</v>
      </c>
    </row>
    <row r="1170" spans="1:26" x14ac:dyDescent="0.35">
      <c r="A1170" s="1">
        <v>1169</v>
      </c>
      <c r="B1170" s="2" t="s">
        <v>3434</v>
      </c>
      <c r="C1170" s="3">
        <v>45189</v>
      </c>
      <c r="D1170" s="3">
        <v>45192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75.179999999999993</v>
      </c>
      <c r="S1170" s="1">
        <v>6</v>
      </c>
      <c r="T1170" s="1">
        <v>0</v>
      </c>
      <c r="U1170" s="1">
        <v>35.334599999999995</v>
      </c>
      <c r="V1170">
        <f>YEAR(Table1[[#This Row],[Order Date]])</f>
        <v>2023</v>
      </c>
      <c r="W1170" t="str">
        <f>TEXT(Table1[[#This Row],[Order Date]],"mmm")</f>
        <v>Sep</v>
      </c>
      <c r="X1170">
        <f t="shared" si="54"/>
        <v>5.8890999999999991</v>
      </c>
      <c r="Y1170" t="str">
        <f t="shared" si="55"/>
        <v>Profit</v>
      </c>
      <c r="Z1170" t="str">
        <f t="shared" si="56"/>
        <v>No Discount</v>
      </c>
    </row>
    <row r="1171" spans="1:26" x14ac:dyDescent="0.35">
      <c r="A1171" s="1">
        <v>1170</v>
      </c>
      <c r="B1171" s="2" t="s">
        <v>3450</v>
      </c>
      <c r="C1171" s="3">
        <v>45189</v>
      </c>
      <c r="D1171" s="3">
        <v>45195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  <c r="V1171">
        <f>YEAR(Table1[[#This Row],[Order Date]])</f>
        <v>2023</v>
      </c>
      <c r="W1171" t="str">
        <f>TEXT(Table1[[#This Row],[Order Date]],"mmm")</f>
        <v>Sep</v>
      </c>
      <c r="X1171">
        <f t="shared" si="54"/>
        <v>2.6606999999999998</v>
      </c>
      <c r="Y1171" t="str">
        <f t="shared" si="55"/>
        <v>Profit</v>
      </c>
      <c r="Z1171" t="str">
        <f t="shared" si="56"/>
        <v>No Discount</v>
      </c>
    </row>
    <row r="1172" spans="1:26" x14ac:dyDescent="0.35">
      <c r="A1172" s="1">
        <v>1171</v>
      </c>
      <c r="B1172" s="2" t="s">
        <v>3457</v>
      </c>
      <c r="C1172" s="3">
        <v>45189</v>
      </c>
      <c r="D1172" s="3">
        <v>45193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</v>
      </c>
      <c r="T1172" s="1">
        <v>0</v>
      </c>
      <c r="U1172" s="1">
        <v>3.8519999999999994</v>
      </c>
      <c r="V1172">
        <f>YEAR(Table1[[#This Row],[Order Date]])</f>
        <v>2023</v>
      </c>
      <c r="W1172" t="str">
        <f>TEXT(Table1[[#This Row],[Order Date]],"mmm")</f>
        <v>Sep</v>
      </c>
      <c r="X1172">
        <f t="shared" si="54"/>
        <v>1.9259999999999997</v>
      </c>
      <c r="Y1172" t="str">
        <f t="shared" si="55"/>
        <v>Profit</v>
      </c>
      <c r="Z1172" t="str">
        <f t="shared" si="56"/>
        <v>No Discount</v>
      </c>
    </row>
    <row r="1173" spans="1:26" x14ac:dyDescent="0.35">
      <c r="A1173" s="1">
        <v>1172</v>
      </c>
      <c r="B1173" s="2" t="s">
        <v>3431</v>
      </c>
      <c r="C1173" s="3">
        <v>45189</v>
      </c>
      <c r="D1173" s="3">
        <v>45193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</v>
      </c>
      <c r="T1173" s="1">
        <v>0</v>
      </c>
      <c r="U1173" s="1">
        <v>26.391200000000005</v>
      </c>
      <c r="V1173">
        <f>YEAR(Table1[[#This Row],[Order Date]])</f>
        <v>2023</v>
      </c>
      <c r="W1173" t="str">
        <f>TEXT(Table1[[#This Row],[Order Date]],"mmm")</f>
        <v>Sep</v>
      </c>
      <c r="X1173">
        <f t="shared" si="54"/>
        <v>13.195600000000002</v>
      </c>
      <c r="Y1173" t="str">
        <f t="shared" si="55"/>
        <v>Profit</v>
      </c>
      <c r="Z1173" t="str">
        <f t="shared" si="56"/>
        <v>No Discount</v>
      </c>
    </row>
    <row r="1174" spans="1:26" x14ac:dyDescent="0.35">
      <c r="A1174" s="1">
        <v>1173</v>
      </c>
      <c r="B1174" s="2" t="s">
        <v>3437</v>
      </c>
      <c r="C1174" s="3">
        <v>45189</v>
      </c>
      <c r="D1174" s="3">
        <v>45192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V1174">
        <f>YEAR(Table1[[#This Row],[Order Date]])</f>
        <v>2023</v>
      </c>
      <c r="W1174" t="str">
        <f>TEXT(Table1[[#This Row],[Order Date]],"mmm")</f>
        <v>Sep</v>
      </c>
      <c r="X1174">
        <f t="shared" si="54"/>
        <v>1.7374999999999998</v>
      </c>
      <c r="Y1174" t="str">
        <f t="shared" si="55"/>
        <v>Profit</v>
      </c>
      <c r="Z1174" t="str">
        <f t="shared" si="56"/>
        <v>Low</v>
      </c>
    </row>
    <row r="1175" spans="1:26" x14ac:dyDescent="0.35">
      <c r="A1175" s="1">
        <v>1174</v>
      </c>
      <c r="B1175" s="2" t="s">
        <v>3434</v>
      </c>
      <c r="C1175" s="3">
        <v>45189</v>
      </c>
      <c r="D1175" s="3">
        <v>45192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  <c r="V1175">
        <f>YEAR(Table1[[#This Row],[Order Date]])</f>
        <v>2023</v>
      </c>
      <c r="W1175" t="str">
        <f>TEXT(Table1[[#This Row],[Order Date]],"mmm")</f>
        <v>Sep</v>
      </c>
      <c r="X1175">
        <f t="shared" si="54"/>
        <v>73.495100000000008</v>
      </c>
      <c r="Y1175" t="str">
        <f t="shared" si="55"/>
        <v>Profit</v>
      </c>
      <c r="Z1175" t="str">
        <f t="shared" si="56"/>
        <v>No Discount</v>
      </c>
    </row>
    <row r="1176" spans="1:26" x14ac:dyDescent="0.35">
      <c r="A1176" s="1">
        <v>1175</v>
      </c>
      <c r="B1176" s="2" t="s">
        <v>3434</v>
      </c>
      <c r="C1176" s="3">
        <v>45189</v>
      </c>
      <c r="D1176" s="3">
        <v>45192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629.94999999999993</v>
      </c>
      <c r="S1176" s="1">
        <v>5</v>
      </c>
      <c r="T1176" s="1">
        <v>0</v>
      </c>
      <c r="U1176" s="1">
        <v>157.48750000000001</v>
      </c>
      <c r="V1176">
        <f>YEAR(Table1[[#This Row],[Order Date]])</f>
        <v>2023</v>
      </c>
      <c r="W1176" t="str">
        <f>TEXT(Table1[[#This Row],[Order Date]],"mmm")</f>
        <v>Sep</v>
      </c>
      <c r="X1176">
        <f t="shared" si="54"/>
        <v>31.497500000000002</v>
      </c>
      <c r="Y1176" t="str">
        <f t="shared" si="55"/>
        <v>Profit</v>
      </c>
      <c r="Z1176" t="str">
        <f t="shared" si="56"/>
        <v>No Discount</v>
      </c>
    </row>
    <row r="1177" spans="1:26" x14ac:dyDescent="0.35">
      <c r="A1177" s="1">
        <v>1176</v>
      </c>
      <c r="B1177" s="2" t="s">
        <v>3464</v>
      </c>
      <c r="C1177" s="3">
        <v>45189</v>
      </c>
      <c r="D1177" s="3">
        <v>45191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>
        <v>37.68</v>
      </c>
      <c r="S1177" s="4">
        <v>6</v>
      </c>
      <c r="T1177" s="4">
        <v>0</v>
      </c>
      <c r="U1177" s="4">
        <v>16.96</v>
      </c>
      <c r="V1177">
        <f>YEAR(Table1[[#This Row],[Order Date]])</f>
        <v>2023</v>
      </c>
      <c r="W1177" t="str">
        <f>TEXT(Table1[[#This Row],[Order Date]],"mmm")</f>
        <v>Sep</v>
      </c>
      <c r="X1177">
        <f t="shared" si="54"/>
        <v>2.8266666666666667</v>
      </c>
      <c r="Y1177" t="str">
        <f t="shared" si="55"/>
        <v>Profit</v>
      </c>
      <c r="Z1177" t="str">
        <f t="shared" si="56"/>
        <v>No Discount</v>
      </c>
    </row>
    <row r="1178" spans="1:26" x14ac:dyDescent="0.35">
      <c r="A1178" s="1">
        <v>1177</v>
      </c>
      <c r="B1178" s="2" t="s">
        <v>3468</v>
      </c>
      <c r="C1178" s="3">
        <v>45190</v>
      </c>
      <c r="D1178" s="3">
        <v>45192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V1178">
        <f>YEAR(Table1[[#This Row],[Order Date]])</f>
        <v>2023</v>
      </c>
      <c r="W1178" t="str">
        <f>TEXT(Table1[[#This Row],[Order Date]],"mmm")</f>
        <v>Sep</v>
      </c>
      <c r="X1178">
        <f t="shared" si="54"/>
        <v>-3.7379999999999995</v>
      </c>
      <c r="Y1178" t="str">
        <f t="shared" si="55"/>
        <v>Loss</v>
      </c>
      <c r="Z1178" t="str">
        <f t="shared" si="56"/>
        <v>High</v>
      </c>
    </row>
    <row r="1179" spans="1:26" x14ac:dyDescent="0.35">
      <c r="A1179" s="1">
        <v>1178</v>
      </c>
      <c r="B1179" s="2" t="s">
        <v>3472</v>
      </c>
      <c r="C1179" s="3">
        <v>45190</v>
      </c>
      <c r="D1179" s="3">
        <v>45191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</v>
      </c>
      <c r="T1179" s="1">
        <v>0</v>
      </c>
      <c r="U1179" s="1">
        <v>7.5283999999999978</v>
      </c>
      <c r="V1179">
        <f>YEAR(Table1[[#This Row],[Order Date]])</f>
        <v>2023</v>
      </c>
      <c r="W1179" t="str">
        <f>TEXT(Table1[[#This Row],[Order Date]],"mmm")</f>
        <v>Sep</v>
      </c>
      <c r="X1179">
        <f t="shared" si="54"/>
        <v>3.7641999999999989</v>
      </c>
      <c r="Y1179" t="str">
        <f t="shared" si="55"/>
        <v>Profit</v>
      </c>
      <c r="Z1179" t="str">
        <f t="shared" si="56"/>
        <v>No Discount</v>
      </c>
    </row>
    <row r="1180" spans="1:26" x14ac:dyDescent="0.35">
      <c r="A1180" s="1">
        <v>1179</v>
      </c>
      <c r="B1180" s="2" t="s">
        <v>3472</v>
      </c>
      <c r="C1180" s="3">
        <v>45190</v>
      </c>
      <c r="D1180" s="3">
        <v>45191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36.269999999999996</v>
      </c>
      <c r="S1180" s="1">
        <v>3</v>
      </c>
      <c r="T1180" s="1">
        <v>0</v>
      </c>
      <c r="U1180" s="1">
        <v>10.880999999999997</v>
      </c>
      <c r="V1180">
        <f>YEAR(Table1[[#This Row],[Order Date]])</f>
        <v>2023</v>
      </c>
      <c r="W1180" t="str">
        <f>TEXT(Table1[[#This Row],[Order Date]],"mmm")</f>
        <v>Sep</v>
      </c>
      <c r="X1180">
        <f t="shared" si="54"/>
        <v>3.6269999999999989</v>
      </c>
      <c r="Y1180" t="str">
        <f t="shared" si="55"/>
        <v>Profit</v>
      </c>
      <c r="Z1180" t="str">
        <f t="shared" si="56"/>
        <v>No Discount</v>
      </c>
    </row>
    <row r="1181" spans="1:26" x14ac:dyDescent="0.35">
      <c r="A1181" s="1">
        <v>1180</v>
      </c>
      <c r="B1181" s="2" t="s">
        <v>3475</v>
      </c>
      <c r="C1181" s="3">
        <v>45190</v>
      </c>
      <c r="D1181" s="3">
        <v>45194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59.519999999999996</v>
      </c>
      <c r="S1181" s="1">
        <v>3</v>
      </c>
      <c r="T1181" s="1">
        <v>0</v>
      </c>
      <c r="U1181" s="1">
        <v>15.475200000000001</v>
      </c>
      <c r="V1181">
        <f>YEAR(Table1[[#This Row],[Order Date]])</f>
        <v>2023</v>
      </c>
      <c r="W1181" t="str">
        <f>TEXT(Table1[[#This Row],[Order Date]],"mmm")</f>
        <v>Sep</v>
      </c>
      <c r="X1181">
        <f t="shared" si="54"/>
        <v>5.1584000000000003</v>
      </c>
      <c r="Y1181" t="str">
        <f t="shared" si="55"/>
        <v>Profit</v>
      </c>
      <c r="Z1181" t="str">
        <f t="shared" si="56"/>
        <v>No Discount</v>
      </c>
    </row>
    <row r="1182" spans="1:26" x14ac:dyDescent="0.35">
      <c r="A1182" s="1">
        <v>1181</v>
      </c>
      <c r="B1182" s="2" t="s">
        <v>3478</v>
      </c>
      <c r="C1182" s="3">
        <v>45190</v>
      </c>
      <c r="D1182" s="3">
        <v>45194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</v>
      </c>
      <c r="T1182" s="1">
        <v>0</v>
      </c>
      <c r="U1182" s="1">
        <v>17.1678</v>
      </c>
      <c r="V1182">
        <f>YEAR(Table1[[#This Row],[Order Date]])</f>
        <v>2023</v>
      </c>
      <c r="W1182" t="str">
        <f>TEXT(Table1[[#This Row],[Order Date]],"mmm")</f>
        <v>Sep</v>
      </c>
      <c r="X1182">
        <f t="shared" si="54"/>
        <v>5.7225999999999999</v>
      </c>
      <c r="Y1182" t="str">
        <f t="shared" si="55"/>
        <v>Profit</v>
      </c>
      <c r="Z1182" t="str">
        <f t="shared" si="56"/>
        <v>No Discount</v>
      </c>
    </row>
    <row r="1183" spans="1:26" x14ac:dyDescent="0.35">
      <c r="A1183" s="1">
        <v>1182</v>
      </c>
      <c r="B1183" s="2" t="s">
        <v>3483</v>
      </c>
      <c r="C1183" s="3">
        <v>45190</v>
      </c>
      <c r="D1183" s="3">
        <v>45193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V1183">
        <f>YEAR(Table1[[#This Row],[Order Date]])</f>
        <v>2023</v>
      </c>
      <c r="W1183" t="str">
        <f>TEXT(Table1[[#This Row],[Order Date]],"mmm")</f>
        <v>Sep</v>
      </c>
      <c r="X1183">
        <f t="shared" si="54"/>
        <v>-1.6789999999999996</v>
      </c>
      <c r="Y1183" t="str">
        <f t="shared" si="55"/>
        <v>Loss</v>
      </c>
      <c r="Z1183" t="str">
        <f t="shared" si="56"/>
        <v>High</v>
      </c>
    </row>
    <row r="1184" spans="1:26" x14ac:dyDescent="0.35">
      <c r="A1184" s="1">
        <v>1183</v>
      </c>
      <c r="B1184" s="2" t="s">
        <v>3475</v>
      </c>
      <c r="C1184" s="3">
        <v>45190</v>
      </c>
      <c r="D1184" s="3">
        <v>45194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  <c r="V1184">
        <f>YEAR(Table1[[#This Row],[Order Date]])</f>
        <v>2023</v>
      </c>
      <c r="W1184" t="str">
        <f>TEXT(Table1[[#This Row],[Order Date]],"mmm")</f>
        <v>Sep</v>
      </c>
      <c r="X1184">
        <f t="shared" si="54"/>
        <v>3.6566000000000001</v>
      </c>
      <c r="Y1184" t="str">
        <f t="shared" si="55"/>
        <v>Profit</v>
      </c>
      <c r="Z1184" t="str">
        <f t="shared" si="56"/>
        <v>No Discount</v>
      </c>
    </row>
    <row r="1185" spans="1:26" x14ac:dyDescent="0.35">
      <c r="A1185" s="1">
        <v>1184</v>
      </c>
      <c r="B1185" s="2" t="s">
        <v>3475</v>
      </c>
      <c r="C1185" s="3">
        <v>45190</v>
      </c>
      <c r="D1185" s="3">
        <v>45194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78.349999999999994</v>
      </c>
      <c r="S1185" s="1">
        <v>5</v>
      </c>
      <c r="T1185" s="1">
        <v>0</v>
      </c>
      <c r="U1185" s="1">
        <v>36.824499999999993</v>
      </c>
      <c r="V1185">
        <f>YEAR(Table1[[#This Row],[Order Date]])</f>
        <v>2023</v>
      </c>
      <c r="W1185" t="str">
        <f>TEXT(Table1[[#This Row],[Order Date]],"mmm")</f>
        <v>Sep</v>
      </c>
      <c r="X1185">
        <f t="shared" si="54"/>
        <v>7.3648999999999987</v>
      </c>
      <c r="Y1185" t="str">
        <f t="shared" si="55"/>
        <v>Profit</v>
      </c>
      <c r="Z1185" t="str">
        <f t="shared" si="56"/>
        <v>No Discount</v>
      </c>
    </row>
    <row r="1186" spans="1:26" x14ac:dyDescent="0.35">
      <c r="A1186" s="1">
        <v>1185</v>
      </c>
      <c r="B1186" s="2" t="s">
        <v>3488</v>
      </c>
      <c r="C1186" s="3">
        <v>45190</v>
      </c>
      <c r="D1186" s="3">
        <v>45193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V1186">
        <f>YEAR(Table1[[#This Row],[Order Date]])</f>
        <v>2023</v>
      </c>
      <c r="W1186" t="str">
        <f>TEXT(Table1[[#This Row],[Order Date]],"mmm")</f>
        <v>Sep</v>
      </c>
      <c r="X1186">
        <f t="shared" si="54"/>
        <v>0.78029999999999999</v>
      </c>
      <c r="Y1186" t="str">
        <f t="shared" si="55"/>
        <v>Profit</v>
      </c>
      <c r="Z1186" t="str">
        <f t="shared" si="56"/>
        <v>Low</v>
      </c>
    </row>
    <row r="1187" spans="1:26" x14ac:dyDescent="0.35">
      <c r="A1187" s="1">
        <v>1186</v>
      </c>
      <c r="B1187" s="2" t="s">
        <v>3472</v>
      </c>
      <c r="C1187" s="3">
        <v>45190</v>
      </c>
      <c r="D1187" s="3">
        <v>45191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</v>
      </c>
      <c r="T1187" s="1">
        <v>0</v>
      </c>
      <c r="U1187" s="1">
        <v>3.1104000000000003</v>
      </c>
      <c r="V1187">
        <f>YEAR(Table1[[#This Row],[Order Date]])</f>
        <v>2023</v>
      </c>
      <c r="W1187" t="str">
        <f>TEXT(Table1[[#This Row],[Order Date]],"mmm")</f>
        <v>Sep</v>
      </c>
      <c r="X1187">
        <f t="shared" si="54"/>
        <v>3.1104000000000003</v>
      </c>
      <c r="Y1187" t="str">
        <f t="shared" si="55"/>
        <v>Profit</v>
      </c>
      <c r="Z1187" t="str">
        <f t="shared" si="56"/>
        <v>No Discount</v>
      </c>
    </row>
    <row r="1188" spans="1:26" x14ac:dyDescent="0.35">
      <c r="A1188" s="1">
        <v>1187</v>
      </c>
      <c r="B1188" s="2" t="s">
        <v>3475</v>
      </c>
      <c r="C1188" s="3">
        <v>45190</v>
      </c>
      <c r="D1188" s="3">
        <v>45194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38.520000000000003</v>
      </c>
      <c r="S1188" s="1">
        <v>9</v>
      </c>
      <c r="T1188" s="1">
        <v>0</v>
      </c>
      <c r="U1188" s="1">
        <v>17.333999999999996</v>
      </c>
      <c r="V1188">
        <f>YEAR(Table1[[#This Row],[Order Date]])</f>
        <v>2023</v>
      </c>
      <c r="W1188" t="str">
        <f>TEXT(Table1[[#This Row],[Order Date]],"mmm")</f>
        <v>Sep</v>
      </c>
      <c r="X1188">
        <f t="shared" si="54"/>
        <v>1.9259999999999995</v>
      </c>
      <c r="Y1188" t="str">
        <f t="shared" si="55"/>
        <v>Profit</v>
      </c>
      <c r="Z1188" t="str">
        <f t="shared" si="56"/>
        <v>No Discount</v>
      </c>
    </row>
    <row r="1189" spans="1:26" x14ac:dyDescent="0.35">
      <c r="A1189" s="1">
        <v>1188</v>
      </c>
      <c r="B1189" s="2" t="s">
        <v>3475</v>
      </c>
      <c r="C1189" s="3">
        <v>45190</v>
      </c>
      <c r="D1189" s="3">
        <v>45194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>
        <f>YEAR(Table1[[#This Row],[Order Date]])</f>
        <v>2023</v>
      </c>
      <c r="W1189" t="str">
        <f>TEXT(Table1[[#This Row],[Order Date]],"mmm")</f>
        <v>Sep</v>
      </c>
      <c r="X1189">
        <f t="shared" si="54"/>
        <v>3.1605000000000003</v>
      </c>
      <c r="Y1189" t="str">
        <f t="shared" si="55"/>
        <v>Profit</v>
      </c>
      <c r="Z1189" t="str">
        <f t="shared" si="56"/>
        <v>No Discount</v>
      </c>
    </row>
    <row r="1190" spans="1:26" x14ac:dyDescent="0.35">
      <c r="A1190" s="1">
        <v>1189</v>
      </c>
      <c r="B1190" s="2" t="s">
        <v>3488</v>
      </c>
      <c r="C1190" s="3">
        <v>45190</v>
      </c>
      <c r="D1190" s="3">
        <v>45193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11.352000000000002</v>
      </c>
      <c r="S1190" s="1">
        <v>3</v>
      </c>
      <c r="T1190" s="1">
        <v>0.2</v>
      </c>
      <c r="U1190" s="1">
        <v>4.1151</v>
      </c>
      <c r="V1190">
        <f>YEAR(Table1[[#This Row],[Order Date]])</f>
        <v>2023</v>
      </c>
      <c r="W1190" t="str">
        <f>TEXT(Table1[[#This Row],[Order Date]],"mmm")</f>
        <v>Sep</v>
      </c>
      <c r="X1190">
        <f t="shared" si="54"/>
        <v>1.3716999999999999</v>
      </c>
      <c r="Y1190" t="str">
        <f t="shared" si="55"/>
        <v>Profit</v>
      </c>
      <c r="Z1190" t="str">
        <f t="shared" si="56"/>
        <v>Low</v>
      </c>
    </row>
    <row r="1191" spans="1:26" x14ac:dyDescent="0.35">
      <c r="A1191" s="1">
        <v>1190</v>
      </c>
      <c r="B1191" s="2" t="s">
        <v>3493</v>
      </c>
      <c r="C1191" s="3">
        <v>45190</v>
      </c>
      <c r="D1191" s="3">
        <v>45192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  <c r="V1191">
        <f>YEAR(Table1[[#This Row],[Order Date]])</f>
        <v>2023</v>
      </c>
      <c r="W1191" t="str">
        <f>TEXT(Table1[[#This Row],[Order Date]],"mmm")</f>
        <v>Sep</v>
      </c>
      <c r="X1191">
        <f t="shared" si="54"/>
        <v>233.99609999999998</v>
      </c>
      <c r="Y1191" t="str">
        <f t="shared" si="55"/>
        <v>Profit</v>
      </c>
      <c r="Z1191" t="str">
        <f t="shared" si="56"/>
        <v>No Discount</v>
      </c>
    </row>
    <row r="1192" spans="1:26" x14ac:dyDescent="0.35">
      <c r="A1192" s="1">
        <v>1191</v>
      </c>
      <c r="B1192" s="2" t="s">
        <v>3475</v>
      </c>
      <c r="C1192" s="3">
        <v>45190</v>
      </c>
      <c r="D1192" s="3">
        <v>45194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V1192">
        <f>YEAR(Table1[[#This Row],[Order Date]])</f>
        <v>2023</v>
      </c>
      <c r="W1192" t="str">
        <f>TEXT(Table1[[#This Row],[Order Date]],"mmm")</f>
        <v>Sep</v>
      </c>
      <c r="X1192">
        <f t="shared" si="54"/>
        <v>11.999200000000002</v>
      </c>
      <c r="Y1192" t="str">
        <f t="shared" si="55"/>
        <v>Profit</v>
      </c>
      <c r="Z1192" t="str">
        <f t="shared" si="56"/>
        <v>Low</v>
      </c>
    </row>
    <row r="1193" spans="1:26" x14ac:dyDescent="0.35">
      <c r="A1193" s="1">
        <v>1192</v>
      </c>
      <c r="B1193" s="2" t="s">
        <v>3493</v>
      </c>
      <c r="C1193" s="3">
        <v>45190</v>
      </c>
      <c r="D1193" s="3">
        <v>45192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V1193">
        <f>YEAR(Table1[[#This Row],[Order Date]])</f>
        <v>2023</v>
      </c>
      <c r="W1193" t="str">
        <f>TEXT(Table1[[#This Row],[Order Date]],"mmm")</f>
        <v>Sep</v>
      </c>
      <c r="X1193">
        <f t="shared" si="54"/>
        <v>13.859099999999984</v>
      </c>
      <c r="Y1193" t="str">
        <f t="shared" si="55"/>
        <v>Profit</v>
      </c>
      <c r="Z1193" t="str">
        <f t="shared" si="56"/>
        <v>Low</v>
      </c>
    </row>
    <row r="1194" spans="1:26" x14ac:dyDescent="0.35">
      <c r="A1194" s="1">
        <v>1193</v>
      </c>
      <c r="B1194" s="2" t="s">
        <v>3502</v>
      </c>
      <c r="C1194" s="3">
        <v>45191</v>
      </c>
      <c r="D1194" s="3">
        <v>45198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V1194">
        <f>YEAR(Table1[[#This Row],[Order Date]])</f>
        <v>2023</v>
      </c>
      <c r="W1194" t="str">
        <f>TEXT(Table1[[#This Row],[Order Date]],"mmm")</f>
        <v>Sep</v>
      </c>
      <c r="X1194">
        <f t="shared" si="54"/>
        <v>20.927399999999992</v>
      </c>
      <c r="Y1194" t="str">
        <f t="shared" si="55"/>
        <v>Profit</v>
      </c>
      <c r="Z1194" t="str">
        <f t="shared" si="56"/>
        <v>Low</v>
      </c>
    </row>
    <row r="1195" spans="1:26" x14ac:dyDescent="0.35">
      <c r="A1195" s="1">
        <v>1194</v>
      </c>
      <c r="B1195" s="2" t="s">
        <v>3502</v>
      </c>
      <c r="C1195" s="3">
        <v>45191</v>
      </c>
      <c r="D1195" s="3">
        <v>45198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</v>
      </c>
      <c r="T1195" s="1">
        <v>0</v>
      </c>
      <c r="U1195" s="1">
        <v>35.078399999999995</v>
      </c>
      <c r="V1195">
        <f>YEAR(Table1[[#This Row],[Order Date]])</f>
        <v>2023</v>
      </c>
      <c r="W1195" t="str">
        <f>TEXT(Table1[[#This Row],[Order Date]],"mmm")</f>
        <v>Sep</v>
      </c>
      <c r="X1195">
        <f t="shared" si="54"/>
        <v>11.692799999999998</v>
      </c>
      <c r="Y1195" t="str">
        <f t="shared" si="55"/>
        <v>Profit</v>
      </c>
      <c r="Z1195" t="str">
        <f t="shared" si="56"/>
        <v>No Discount</v>
      </c>
    </row>
    <row r="1196" spans="1:26" x14ac:dyDescent="0.35">
      <c r="A1196" s="1">
        <v>1195</v>
      </c>
      <c r="B1196" s="2" t="s">
        <v>3502</v>
      </c>
      <c r="C1196" s="3">
        <v>45191</v>
      </c>
      <c r="D1196" s="3">
        <v>45198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</v>
      </c>
      <c r="T1196" s="1">
        <v>0</v>
      </c>
      <c r="U1196" s="1">
        <v>5.7376000000000005</v>
      </c>
      <c r="V1196">
        <f>YEAR(Table1[[#This Row],[Order Date]])</f>
        <v>2023</v>
      </c>
      <c r="W1196" t="str">
        <f>TEXT(Table1[[#This Row],[Order Date]],"mmm")</f>
        <v>Sep</v>
      </c>
      <c r="X1196">
        <f t="shared" si="54"/>
        <v>1.4344000000000001</v>
      </c>
      <c r="Y1196" t="str">
        <f t="shared" si="55"/>
        <v>Profit</v>
      </c>
      <c r="Z1196" t="str">
        <f t="shared" si="56"/>
        <v>No Discount</v>
      </c>
    </row>
    <row r="1197" spans="1:26" x14ac:dyDescent="0.35">
      <c r="A1197" s="1">
        <v>1196</v>
      </c>
      <c r="B1197" s="2" t="s">
        <v>3502</v>
      </c>
      <c r="C1197" s="3">
        <v>45191</v>
      </c>
      <c r="D1197" s="3">
        <v>45198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V1197">
        <f>YEAR(Table1[[#This Row],[Order Date]])</f>
        <v>2023</v>
      </c>
      <c r="W1197" t="str">
        <f>TEXT(Table1[[#This Row],[Order Date]],"mmm")</f>
        <v>Sep</v>
      </c>
      <c r="X1197">
        <f t="shared" si="54"/>
        <v>1.3944000000000001</v>
      </c>
      <c r="Y1197" t="str">
        <f t="shared" si="55"/>
        <v>Profit</v>
      </c>
      <c r="Z1197" t="str">
        <f t="shared" si="56"/>
        <v>Low</v>
      </c>
    </row>
    <row r="1198" spans="1:26" x14ac:dyDescent="0.35">
      <c r="A1198" s="1">
        <v>1197</v>
      </c>
      <c r="B1198" s="2" t="s">
        <v>3511</v>
      </c>
      <c r="C1198" s="3">
        <v>45191</v>
      </c>
      <c r="D1198" s="3">
        <v>45193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>
        <f>YEAR(Table1[[#This Row],[Order Date]])</f>
        <v>2023</v>
      </c>
      <c r="W1198" t="str">
        <f>TEXT(Table1[[#This Row],[Order Date]],"mmm")</f>
        <v>Sep</v>
      </c>
      <c r="X1198">
        <f t="shared" si="54"/>
        <v>0.83520000000000005</v>
      </c>
      <c r="Y1198" t="str">
        <f t="shared" si="55"/>
        <v>Profit</v>
      </c>
      <c r="Z1198" t="str">
        <f t="shared" si="56"/>
        <v>Low</v>
      </c>
    </row>
    <row r="1199" spans="1:26" x14ac:dyDescent="0.35">
      <c r="A1199" s="1">
        <v>1198</v>
      </c>
      <c r="B1199" s="2" t="s">
        <v>3513</v>
      </c>
      <c r="C1199" s="3">
        <v>45191</v>
      </c>
      <c r="D1199" s="3">
        <v>45197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  <c r="V1199">
        <f>YEAR(Table1[[#This Row],[Order Date]])</f>
        <v>2023</v>
      </c>
      <c r="W1199" t="str">
        <f>TEXT(Table1[[#This Row],[Order Date]],"mmm")</f>
        <v>Sep</v>
      </c>
      <c r="X1199">
        <f t="shared" si="54"/>
        <v>8.4725000000000001</v>
      </c>
      <c r="Y1199" t="str">
        <f t="shared" si="55"/>
        <v>Profit</v>
      </c>
      <c r="Z1199" t="str">
        <f t="shared" si="56"/>
        <v>No Discount</v>
      </c>
    </row>
    <row r="1200" spans="1:26" x14ac:dyDescent="0.35">
      <c r="A1200" s="1">
        <v>1199</v>
      </c>
      <c r="B1200" s="2" t="s">
        <v>3513</v>
      </c>
      <c r="C1200" s="3">
        <v>45191</v>
      </c>
      <c r="D1200" s="3">
        <v>45197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</v>
      </c>
      <c r="T1200" s="1">
        <v>0</v>
      </c>
      <c r="U1200" s="1">
        <v>0.40679999999999694</v>
      </c>
      <c r="V1200">
        <f>YEAR(Table1[[#This Row],[Order Date]])</f>
        <v>2023</v>
      </c>
      <c r="W1200" t="str">
        <f>TEXT(Table1[[#This Row],[Order Date]],"mmm")</f>
        <v>Sep</v>
      </c>
      <c r="X1200">
        <f t="shared" si="54"/>
        <v>0.20339999999999847</v>
      </c>
      <c r="Y1200" t="str">
        <f t="shared" si="55"/>
        <v>Profit</v>
      </c>
      <c r="Z1200" t="str">
        <f t="shared" si="56"/>
        <v>No Discount</v>
      </c>
    </row>
    <row r="1201" spans="1:26" x14ac:dyDescent="0.35">
      <c r="A1201" s="1">
        <v>1200</v>
      </c>
      <c r="B1201" s="2" t="s">
        <v>3516</v>
      </c>
      <c r="C1201" s="3">
        <v>45191</v>
      </c>
      <c r="D1201" s="3">
        <v>45196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</v>
      </c>
      <c r="T1201" s="1">
        <v>0.2</v>
      </c>
      <c r="U1201" s="1">
        <v>-82.884</v>
      </c>
      <c r="V1201">
        <f>YEAR(Table1[[#This Row],[Order Date]])</f>
        <v>2023</v>
      </c>
      <c r="W1201" t="str">
        <f>TEXT(Table1[[#This Row],[Order Date]],"mmm")</f>
        <v>Sep</v>
      </c>
      <c r="X1201">
        <f t="shared" si="54"/>
        <v>-27.628</v>
      </c>
      <c r="Y1201" t="str">
        <f t="shared" si="55"/>
        <v>Loss</v>
      </c>
      <c r="Z1201" t="str">
        <f t="shared" si="56"/>
        <v>Low</v>
      </c>
    </row>
    <row r="1202" spans="1:26" x14ac:dyDescent="0.35">
      <c r="A1202" s="1">
        <v>1201</v>
      </c>
      <c r="B1202" s="2" t="s">
        <v>3519</v>
      </c>
      <c r="C1202" s="3">
        <v>45192</v>
      </c>
      <c r="D1202" s="3">
        <v>45197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V1202">
        <f>YEAR(Table1[[#This Row],[Order Date]])</f>
        <v>2023</v>
      </c>
      <c r="W1202" t="str">
        <f>TEXT(Table1[[#This Row],[Order Date]],"mmm")</f>
        <v>Sep</v>
      </c>
      <c r="X1202">
        <f t="shared" si="54"/>
        <v>6.8391999999999955</v>
      </c>
      <c r="Y1202" t="str">
        <f t="shared" si="55"/>
        <v>Profit</v>
      </c>
      <c r="Z1202" t="str">
        <f t="shared" si="56"/>
        <v>Low</v>
      </c>
    </row>
    <row r="1203" spans="1:26" x14ac:dyDescent="0.35">
      <c r="A1203" s="1">
        <v>1202</v>
      </c>
      <c r="B1203" s="2" t="s">
        <v>3520</v>
      </c>
      <c r="C1203" s="3">
        <v>45192</v>
      </c>
      <c r="D1203" s="3">
        <v>45194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</v>
      </c>
      <c r="T1203" s="1">
        <v>0</v>
      </c>
      <c r="U1203" s="1">
        <v>2.8535999999999988</v>
      </c>
      <c r="V1203">
        <f>YEAR(Table1[[#This Row],[Order Date]])</f>
        <v>2023</v>
      </c>
      <c r="W1203" t="str">
        <f>TEXT(Table1[[#This Row],[Order Date]],"mmm")</f>
        <v>Sep</v>
      </c>
      <c r="X1203">
        <f t="shared" si="54"/>
        <v>0.9511999999999996</v>
      </c>
      <c r="Y1203" t="str">
        <f t="shared" si="55"/>
        <v>Profit</v>
      </c>
      <c r="Z1203" t="str">
        <f t="shared" si="56"/>
        <v>No Discount</v>
      </c>
    </row>
    <row r="1204" spans="1:26" x14ac:dyDescent="0.35">
      <c r="A1204" s="1">
        <v>1203</v>
      </c>
      <c r="B1204" s="2" t="s">
        <v>3523</v>
      </c>
      <c r="C1204" s="3">
        <v>45192</v>
      </c>
      <c r="D1204" s="3">
        <v>45197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</v>
      </c>
      <c r="T1204" s="1">
        <v>0</v>
      </c>
      <c r="U1204" s="1">
        <v>6.47</v>
      </c>
      <c r="V1204">
        <f>YEAR(Table1[[#This Row],[Order Date]])</f>
        <v>2023</v>
      </c>
      <c r="W1204" t="str">
        <f>TEXT(Table1[[#This Row],[Order Date]],"mmm")</f>
        <v>Sep</v>
      </c>
      <c r="X1204">
        <f t="shared" si="54"/>
        <v>3.2349999999999999</v>
      </c>
      <c r="Y1204" t="str">
        <f t="shared" si="55"/>
        <v>Profit</v>
      </c>
      <c r="Z1204" t="str">
        <f t="shared" si="56"/>
        <v>No Discount</v>
      </c>
    </row>
    <row r="1205" spans="1:26" x14ac:dyDescent="0.35">
      <c r="A1205" s="1">
        <v>1204</v>
      </c>
      <c r="B1205" s="2" t="s">
        <v>3523</v>
      </c>
      <c r="C1205" s="3">
        <v>45192</v>
      </c>
      <c r="D1205" s="3">
        <v>45197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9449.9500000000007</v>
      </c>
      <c r="S1205" s="1">
        <v>5</v>
      </c>
      <c r="T1205" s="1">
        <v>0</v>
      </c>
      <c r="U1205" s="1">
        <v>4630.4755000000005</v>
      </c>
      <c r="V1205">
        <f>YEAR(Table1[[#This Row],[Order Date]])</f>
        <v>2023</v>
      </c>
      <c r="W1205" t="str">
        <f>TEXT(Table1[[#This Row],[Order Date]],"mmm")</f>
        <v>Sep</v>
      </c>
      <c r="X1205">
        <f t="shared" si="54"/>
        <v>926.09510000000012</v>
      </c>
      <c r="Y1205" t="str">
        <f t="shared" si="55"/>
        <v>Profit</v>
      </c>
      <c r="Z1205" t="str">
        <f t="shared" si="56"/>
        <v>No Discount</v>
      </c>
    </row>
    <row r="1206" spans="1:26" x14ac:dyDescent="0.35">
      <c r="A1206" s="1">
        <v>1205</v>
      </c>
      <c r="B1206" s="2" t="s">
        <v>3528</v>
      </c>
      <c r="C1206" s="3">
        <v>45192</v>
      </c>
      <c r="D1206" s="3">
        <v>45197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</v>
      </c>
      <c r="T1206" s="1">
        <v>0.2</v>
      </c>
      <c r="U1206" s="1">
        <v>47.060999999999993</v>
      </c>
      <c r="V1206">
        <f>YEAR(Table1[[#This Row],[Order Date]])</f>
        <v>2023</v>
      </c>
      <c r="W1206" t="str">
        <f>TEXT(Table1[[#This Row],[Order Date]],"mmm")</f>
        <v>Sep</v>
      </c>
      <c r="X1206">
        <f t="shared" si="54"/>
        <v>15.686999999999998</v>
      </c>
      <c r="Y1206" t="str">
        <f t="shared" si="55"/>
        <v>Profit</v>
      </c>
      <c r="Z1206" t="str">
        <f t="shared" si="56"/>
        <v>Low</v>
      </c>
    </row>
    <row r="1207" spans="1:26" x14ac:dyDescent="0.35">
      <c r="A1207" s="1">
        <v>1206</v>
      </c>
      <c r="B1207" s="2" t="s">
        <v>3529</v>
      </c>
      <c r="C1207" s="3">
        <v>45192</v>
      </c>
      <c r="D1207" s="3">
        <v>45199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V1207">
        <f>YEAR(Table1[[#This Row],[Order Date]])</f>
        <v>2023</v>
      </c>
      <c r="W1207" t="str">
        <f>TEXT(Table1[[#This Row],[Order Date]],"mmm")</f>
        <v>Sep</v>
      </c>
      <c r="X1207">
        <f t="shared" si="54"/>
        <v>1.7309999999999999</v>
      </c>
      <c r="Y1207" t="str">
        <f t="shared" si="55"/>
        <v>Profit</v>
      </c>
      <c r="Z1207" t="str">
        <f t="shared" si="56"/>
        <v>Low</v>
      </c>
    </row>
    <row r="1208" spans="1:26" x14ac:dyDescent="0.35">
      <c r="A1208" s="1">
        <v>1207</v>
      </c>
      <c r="B1208" s="2" t="s">
        <v>3533</v>
      </c>
      <c r="C1208" s="3">
        <v>45192</v>
      </c>
      <c r="D1208" s="3">
        <v>45196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</v>
      </c>
      <c r="T1208" s="1">
        <v>0</v>
      </c>
      <c r="U1208" s="1">
        <v>5.4487999999999994</v>
      </c>
      <c r="V1208">
        <f>YEAR(Table1[[#This Row],[Order Date]])</f>
        <v>2023</v>
      </c>
      <c r="W1208" t="str">
        <f>TEXT(Table1[[#This Row],[Order Date]],"mmm")</f>
        <v>Sep</v>
      </c>
      <c r="X1208">
        <f t="shared" si="54"/>
        <v>1.3621999999999999</v>
      </c>
      <c r="Y1208" t="str">
        <f t="shared" si="55"/>
        <v>Profit</v>
      </c>
      <c r="Z1208" t="str">
        <f t="shared" si="56"/>
        <v>No Discount</v>
      </c>
    </row>
    <row r="1209" spans="1:26" x14ac:dyDescent="0.35">
      <c r="A1209" s="1">
        <v>1208</v>
      </c>
      <c r="B1209" s="2" t="s">
        <v>3520</v>
      </c>
      <c r="C1209" s="3">
        <v>45192</v>
      </c>
      <c r="D1209" s="3">
        <v>45194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</v>
      </c>
      <c r="T1209" s="1">
        <v>0</v>
      </c>
      <c r="U1209" s="1">
        <v>15.524999999999999</v>
      </c>
      <c r="V1209">
        <f>YEAR(Table1[[#This Row],[Order Date]])</f>
        <v>2023</v>
      </c>
      <c r="W1209" t="str">
        <f>TEXT(Table1[[#This Row],[Order Date]],"mmm")</f>
        <v>Sep</v>
      </c>
      <c r="X1209">
        <f t="shared" si="54"/>
        <v>5.1749999999999998</v>
      </c>
      <c r="Y1209" t="str">
        <f t="shared" si="55"/>
        <v>Profit</v>
      </c>
      <c r="Z1209" t="str">
        <f t="shared" si="56"/>
        <v>No Discount</v>
      </c>
    </row>
    <row r="1210" spans="1:26" x14ac:dyDescent="0.35">
      <c r="A1210" s="1">
        <v>1209</v>
      </c>
      <c r="B1210" s="2" t="s">
        <v>3538</v>
      </c>
      <c r="C1210" s="3">
        <v>45192</v>
      </c>
      <c r="D1210" s="3">
        <v>45197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</v>
      </c>
      <c r="T1210" s="1">
        <v>0.2</v>
      </c>
      <c r="U1210" s="1">
        <v>10.080000000000002</v>
      </c>
      <c r="V1210">
        <f>YEAR(Table1[[#This Row],[Order Date]])</f>
        <v>2023</v>
      </c>
      <c r="W1210" t="str">
        <f>TEXT(Table1[[#This Row],[Order Date]],"mmm")</f>
        <v>Sep</v>
      </c>
      <c r="X1210">
        <f t="shared" si="54"/>
        <v>1.1200000000000001</v>
      </c>
      <c r="Y1210" t="str">
        <f t="shared" si="55"/>
        <v>Profit</v>
      </c>
      <c r="Z1210" t="str">
        <f t="shared" si="56"/>
        <v>Low</v>
      </c>
    </row>
    <row r="1211" spans="1:26" x14ac:dyDescent="0.35">
      <c r="A1211" s="1">
        <v>1210</v>
      </c>
      <c r="B1211" s="2" t="s">
        <v>3523</v>
      </c>
      <c r="C1211" s="3">
        <v>45192</v>
      </c>
      <c r="D1211" s="3">
        <v>45197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32.400000000000006</v>
      </c>
      <c r="S1211" s="1">
        <v>5</v>
      </c>
      <c r="T1211" s="1">
        <v>0</v>
      </c>
      <c r="U1211" s="1">
        <v>15.552000000000001</v>
      </c>
      <c r="V1211">
        <f>YEAR(Table1[[#This Row],[Order Date]])</f>
        <v>2023</v>
      </c>
      <c r="W1211" t="str">
        <f>TEXT(Table1[[#This Row],[Order Date]],"mmm")</f>
        <v>Sep</v>
      </c>
      <c r="X1211">
        <f t="shared" si="54"/>
        <v>3.1104000000000003</v>
      </c>
      <c r="Y1211" t="str">
        <f t="shared" si="55"/>
        <v>Profit</v>
      </c>
      <c r="Z1211" t="str">
        <f t="shared" si="56"/>
        <v>No Discount</v>
      </c>
    </row>
    <row r="1212" spans="1:26" x14ac:dyDescent="0.35">
      <c r="A1212" s="1">
        <v>1211</v>
      </c>
      <c r="B1212" s="2" t="s">
        <v>3523</v>
      </c>
      <c r="C1212" s="3">
        <v>45192</v>
      </c>
      <c r="D1212" s="3">
        <v>45197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404.90000000000003</v>
      </c>
      <c r="S1212" s="1">
        <v>5</v>
      </c>
      <c r="T1212" s="1">
        <v>0</v>
      </c>
      <c r="U1212" s="1">
        <v>16.195999999999984</v>
      </c>
      <c r="V1212">
        <f>YEAR(Table1[[#This Row],[Order Date]])</f>
        <v>2023</v>
      </c>
      <c r="W1212" t="str">
        <f>TEXT(Table1[[#This Row],[Order Date]],"mmm")</f>
        <v>Sep</v>
      </c>
      <c r="X1212">
        <f t="shared" si="54"/>
        <v>3.2391999999999967</v>
      </c>
      <c r="Y1212" t="str">
        <f t="shared" si="55"/>
        <v>Profit</v>
      </c>
      <c r="Z1212" t="str">
        <f t="shared" si="56"/>
        <v>No Discount</v>
      </c>
    </row>
    <row r="1213" spans="1:26" x14ac:dyDescent="0.35">
      <c r="A1213" s="1">
        <v>1212</v>
      </c>
      <c r="B1213" s="2" t="s">
        <v>3519</v>
      </c>
      <c r="C1213" s="3">
        <v>45192</v>
      </c>
      <c r="D1213" s="3">
        <v>45197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83.984000000000009</v>
      </c>
      <c r="S1213" s="1">
        <v>2</v>
      </c>
      <c r="T1213" s="1">
        <v>0.2</v>
      </c>
      <c r="U1213" s="1">
        <v>31.494</v>
      </c>
      <c r="V1213">
        <f>YEAR(Table1[[#This Row],[Order Date]])</f>
        <v>2023</v>
      </c>
      <c r="W1213" t="str">
        <f>TEXT(Table1[[#This Row],[Order Date]],"mmm")</f>
        <v>Sep</v>
      </c>
      <c r="X1213">
        <f t="shared" si="54"/>
        <v>15.747</v>
      </c>
      <c r="Y1213" t="str">
        <f t="shared" si="55"/>
        <v>Profit</v>
      </c>
      <c r="Z1213" t="str">
        <f t="shared" si="56"/>
        <v>Low</v>
      </c>
    </row>
    <row r="1214" spans="1:26" x14ac:dyDescent="0.35">
      <c r="A1214" s="1">
        <v>1213</v>
      </c>
      <c r="B1214" s="2" t="s">
        <v>3541</v>
      </c>
      <c r="C1214" s="3">
        <v>45193</v>
      </c>
      <c r="D1214" s="3">
        <v>45198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</v>
      </c>
      <c r="T1214" s="1">
        <v>0</v>
      </c>
      <c r="U1214" s="1">
        <v>8.4783999999999935</v>
      </c>
      <c r="V1214">
        <f>YEAR(Table1[[#This Row],[Order Date]])</f>
        <v>2023</v>
      </c>
      <c r="W1214" t="str">
        <f>TEXT(Table1[[#This Row],[Order Date]],"mmm")</f>
        <v>Sep</v>
      </c>
      <c r="X1214">
        <f t="shared" si="54"/>
        <v>2.1195999999999984</v>
      </c>
      <c r="Y1214" t="str">
        <f t="shared" si="55"/>
        <v>Profit</v>
      </c>
      <c r="Z1214" t="str">
        <f t="shared" si="56"/>
        <v>No Discount</v>
      </c>
    </row>
    <row r="1215" spans="1:26" x14ac:dyDescent="0.35">
      <c r="A1215" s="1">
        <v>1214</v>
      </c>
      <c r="B1215" s="2" t="s">
        <v>3546</v>
      </c>
      <c r="C1215" s="3">
        <v>45193</v>
      </c>
      <c r="D1215" s="3">
        <v>45193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>
        <v>391.98</v>
      </c>
      <c r="S1215" s="4">
        <v>2</v>
      </c>
      <c r="T1215" s="4">
        <v>0</v>
      </c>
      <c r="U1215" s="4">
        <v>109.75</v>
      </c>
      <c r="V1215">
        <f>YEAR(Table1[[#This Row],[Order Date]])</f>
        <v>2023</v>
      </c>
      <c r="W1215" t="str">
        <f>TEXT(Table1[[#This Row],[Order Date]],"mmm")</f>
        <v>Sep</v>
      </c>
      <c r="X1215">
        <f t="shared" si="54"/>
        <v>54.875</v>
      </c>
      <c r="Y1215" t="str">
        <f t="shared" si="55"/>
        <v>Profit</v>
      </c>
      <c r="Z1215" t="str">
        <f t="shared" si="56"/>
        <v>No Discount</v>
      </c>
    </row>
    <row r="1216" spans="1:26" x14ac:dyDescent="0.35">
      <c r="A1216" s="1">
        <v>1215</v>
      </c>
      <c r="B1216" s="2" t="s">
        <v>3546</v>
      </c>
      <c r="C1216" s="3">
        <v>45193</v>
      </c>
      <c r="D1216" s="3">
        <v>45193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>
        <v>437.85</v>
      </c>
      <c r="S1216" s="4">
        <v>3</v>
      </c>
      <c r="T1216" s="4">
        <v>0</v>
      </c>
      <c r="U1216" s="4">
        <v>131.36000000000001</v>
      </c>
      <c r="V1216">
        <f>YEAR(Table1[[#This Row],[Order Date]])</f>
        <v>2023</v>
      </c>
      <c r="W1216" t="str">
        <f>TEXT(Table1[[#This Row],[Order Date]],"mmm")</f>
        <v>Sep</v>
      </c>
      <c r="X1216">
        <f t="shared" si="54"/>
        <v>43.786666666666669</v>
      </c>
      <c r="Y1216" t="str">
        <f t="shared" si="55"/>
        <v>Profit</v>
      </c>
      <c r="Z1216" t="str">
        <f t="shared" si="56"/>
        <v>No Discount</v>
      </c>
    </row>
    <row r="1217" spans="1:26" x14ac:dyDescent="0.35">
      <c r="A1217" s="1">
        <v>1216</v>
      </c>
      <c r="B1217" s="2" t="s">
        <v>3549</v>
      </c>
      <c r="C1217" s="3">
        <v>45194</v>
      </c>
      <c r="D1217" s="3">
        <v>45199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V1217">
        <f>YEAR(Table1[[#This Row],[Order Date]])</f>
        <v>2023</v>
      </c>
      <c r="W1217" t="str">
        <f>TEXT(Table1[[#This Row],[Order Date]],"mmm")</f>
        <v>Sep</v>
      </c>
      <c r="X1217">
        <f t="shared" si="54"/>
        <v>-48.615600000000015</v>
      </c>
      <c r="Y1217" t="str">
        <f t="shared" si="55"/>
        <v>Loss</v>
      </c>
      <c r="Z1217" t="str">
        <f t="shared" si="56"/>
        <v>Medium</v>
      </c>
    </row>
    <row r="1218" spans="1:26" x14ac:dyDescent="0.35">
      <c r="A1218" s="1">
        <v>1217</v>
      </c>
      <c r="B1218" s="2" t="s">
        <v>3552</v>
      </c>
      <c r="C1218" s="3">
        <v>45194</v>
      </c>
      <c r="D1218" s="3">
        <v>45199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V1218">
        <f>YEAR(Table1[[#This Row],[Order Date]])</f>
        <v>2023</v>
      </c>
      <c r="W1218" t="str">
        <f>TEXT(Table1[[#This Row],[Order Date]],"mmm")</f>
        <v>Sep</v>
      </c>
      <c r="X1218">
        <f t="shared" ref="X1218:X1281" si="57">IFERROR(U1218/S1218,0)</f>
        <v>1.1842999999999995</v>
      </c>
      <c r="Y1218" t="str">
        <f t="shared" ref="Y1218:Y1281" si="58">IF(U1218&gt;0,"Profit",IF(U1218&lt;0,"Loss","Break-even"))</f>
        <v>Profit</v>
      </c>
      <c r="Z1218" t="str">
        <f t="shared" ref="Z1218:Z1281" si="59">IF(T1218=0,"No Discount",IF(T1218&lt;=0.2,"Low",IF(T1218&lt;=0.4,"Medium","High")))</f>
        <v>Low</v>
      </c>
    </row>
    <row r="1219" spans="1:26" x14ac:dyDescent="0.35">
      <c r="A1219" s="1">
        <v>1218</v>
      </c>
      <c r="B1219" s="2" t="s">
        <v>3549</v>
      </c>
      <c r="C1219" s="3">
        <v>45194</v>
      </c>
      <c r="D1219" s="3">
        <v>45199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V1219">
        <f>YEAR(Table1[[#This Row],[Order Date]])</f>
        <v>2023</v>
      </c>
      <c r="W1219" t="str">
        <f>TEXT(Table1[[#This Row],[Order Date]],"mmm")</f>
        <v>Sep</v>
      </c>
      <c r="X1219">
        <f t="shared" si="57"/>
        <v>-2.1792000000000007</v>
      </c>
      <c r="Y1219" t="str">
        <f t="shared" si="58"/>
        <v>Loss</v>
      </c>
      <c r="Z1219" t="str">
        <f t="shared" si="59"/>
        <v>High</v>
      </c>
    </row>
    <row r="1220" spans="1:26" x14ac:dyDescent="0.35">
      <c r="A1220" s="1">
        <v>1219</v>
      </c>
      <c r="B1220" s="2" t="s">
        <v>3549</v>
      </c>
      <c r="C1220" s="3">
        <v>45194</v>
      </c>
      <c r="D1220" s="3">
        <v>45199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V1220">
        <f>YEAR(Table1[[#This Row],[Order Date]])</f>
        <v>2023</v>
      </c>
      <c r="W1220" t="str">
        <f>TEXT(Table1[[#This Row],[Order Date]],"mmm")</f>
        <v>Sep</v>
      </c>
      <c r="X1220">
        <f t="shared" si="57"/>
        <v>0.55079999999999985</v>
      </c>
      <c r="Y1220" t="str">
        <f t="shared" si="58"/>
        <v>Profit</v>
      </c>
      <c r="Z1220" t="str">
        <f t="shared" si="59"/>
        <v>Low</v>
      </c>
    </row>
    <row r="1221" spans="1:26" x14ac:dyDescent="0.35">
      <c r="A1221" s="1">
        <v>1220</v>
      </c>
      <c r="B1221" s="2" t="s">
        <v>3549</v>
      </c>
      <c r="C1221" s="3">
        <v>45194</v>
      </c>
      <c r="D1221" s="3">
        <v>45199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V1221">
        <f>YEAR(Table1[[#This Row],[Order Date]])</f>
        <v>2023</v>
      </c>
      <c r="W1221" t="str">
        <f>TEXT(Table1[[#This Row],[Order Date]],"mmm")</f>
        <v>Sep</v>
      </c>
      <c r="X1221">
        <f t="shared" si="57"/>
        <v>1.3199999999999998</v>
      </c>
      <c r="Y1221" t="str">
        <f t="shared" si="58"/>
        <v>Profit</v>
      </c>
      <c r="Z1221" t="str">
        <f t="shared" si="59"/>
        <v>Low</v>
      </c>
    </row>
    <row r="1222" spans="1:26" x14ac:dyDescent="0.35">
      <c r="A1222" s="1">
        <v>1221</v>
      </c>
      <c r="B1222" s="2" t="s">
        <v>3559</v>
      </c>
      <c r="C1222" s="3">
        <v>45195</v>
      </c>
      <c r="D1222" s="3">
        <v>45196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585.55200000000002</v>
      </c>
      <c r="S1222" s="1">
        <v>3</v>
      </c>
      <c r="T1222" s="1">
        <v>0.2</v>
      </c>
      <c r="U1222" s="1">
        <v>73.19399999999996</v>
      </c>
      <c r="V1222">
        <f>YEAR(Table1[[#This Row],[Order Date]])</f>
        <v>2023</v>
      </c>
      <c r="W1222" t="str">
        <f>TEXT(Table1[[#This Row],[Order Date]],"mmm")</f>
        <v>Sep</v>
      </c>
      <c r="X1222">
        <f t="shared" si="57"/>
        <v>24.397999999999985</v>
      </c>
      <c r="Y1222" t="str">
        <f t="shared" si="58"/>
        <v>Profit</v>
      </c>
      <c r="Z1222" t="str">
        <f t="shared" si="59"/>
        <v>Low</v>
      </c>
    </row>
    <row r="1223" spans="1:26" x14ac:dyDescent="0.35">
      <c r="A1223" s="1">
        <v>1222</v>
      </c>
      <c r="B1223" s="2" t="s">
        <v>3562</v>
      </c>
      <c r="C1223" s="3">
        <v>45195</v>
      </c>
      <c r="D1223" s="3">
        <v>45200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145.56800000000001</v>
      </c>
      <c r="S1223" s="1">
        <v>2</v>
      </c>
      <c r="T1223" s="1">
        <v>0.2</v>
      </c>
      <c r="U1223" s="1">
        <v>0</v>
      </c>
      <c r="V1223">
        <f>YEAR(Table1[[#This Row],[Order Date]])</f>
        <v>2023</v>
      </c>
      <c r="W1223" t="str">
        <f>TEXT(Table1[[#This Row],[Order Date]],"mmm")</f>
        <v>Sep</v>
      </c>
      <c r="X1223">
        <f t="shared" si="57"/>
        <v>0</v>
      </c>
      <c r="Y1223" t="str">
        <f t="shared" si="58"/>
        <v>Break-even</v>
      </c>
      <c r="Z1223" t="str">
        <f t="shared" si="59"/>
        <v>Low</v>
      </c>
    </row>
    <row r="1224" spans="1:26" x14ac:dyDescent="0.35">
      <c r="A1224" s="1">
        <v>1223</v>
      </c>
      <c r="B1224" s="2" t="s">
        <v>3565</v>
      </c>
      <c r="C1224" s="3">
        <v>45195</v>
      </c>
      <c r="D1224" s="3">
        <v>45199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  <c r="V1224">
        <f>YEAR(Table1[[#This Row],[Order Date]])</f>
        <v>2023</v>
      </c>
      <c r="W1224" t="str">
        <f>TEXT(Table1[[#This Row],[Order Date]],"mmm")</f>
        <v>Sep</v>
      </c>
      <c r="X1224">
        <f t="shared" si="57"/>
        <v>4.7664</v>
      </c>
      <c r="Y1224" t="str">
        <f t="shared" si="58"/>
        <v>Profit</v>
      </c>
      <c r="Z1224" t="str">
        <f t="shared" si="59"/>
        <v>Low</v>
      </c>
    </row>
    <row r="1225" spans="1:26" x14ac:dyDescent="0.35">
      <c r="A1225" s="1">
        <v>1224</v>
      </c>
      <c r="B1225" s="2" t="s">
        <v>3565</v>
      </c>
      <c r="C1225" s="3">
        <v>45195</v>
      </c>
      <c r="D1225" s="3">
        <v>45199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V1225">
        <f>YEAR(Table1[[#This Row],[Order Date]])</f>
        <v>2023</v>
      </c>
      <c r="W1225" t="str">
        <f>TEXT(Table1[[#This Row],[Order Date]],"mmm")</f>
        <v>Sep</v>
      </c>
      <c r="X1225">
        <f t="shared" si="57"/>
        <v>0.51720000000000022</v>
      </c>
      <c r="Y1225" t="str">
        <f t="shared" si="58"/>
        <v>Profit</v>
      </c>
      <c r="Z1225" t="str">
        <f t="shared" si="59"/>
        <v>Low</v>
      </c>
    </row>
    <row r="1226" spans="1:26" x14ac:dyDescent="0.35">
      <c r="A1226" s="1">
        <v>1225</v>
      </c>
      <c r="B1226" s="2" t="s">
        <v>3568</v>
      </c>
      <c r="C1226" s="3">
        <v>45195</v>
      </c>
      <c r="D1226" s="3">
        <v>45199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V1226">
        <f>YEAR(Table1[[#This Row],[Order Date]])</f>
        <v>2023</v>
      </c>
      <c r="W1226" t="str">
        <f>TEXT(Table1[[#This Row],[Order Date]],"mmm")</f>
        <v>Sep</v>
      </c>
      <c r="X1226">
        <f t="shared" si="57"/>
        <v>0.20879999999999979</v>
      </c>
      <c r="Y1226" t="str">
        <f t="shared" si="58"/>
        <v>Profit</v>
      </c>
      <c r="Z1226" t="str">
        <f t="shared" si="59"/>
        <v>Low</v>
      </c>
    </row>
    <row r="1227" spans="1:26" x14ac:dyDescent="0.35">
      <c r="A1227" s="1">
        <v>1226</v>
      </c>
      <c r="B1227" s="2" t="s">
        <v>3571</v>
      </c>
      <c r="C1227" s="3">
        <v>45195</v>
      </c>
      <c r="D1227" s="3">
        <v>45200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</v>
      </c>
      <c r="T1227" s="1">
        <v>0.2</v>
      </c>
      <c r="U1227" s="1">
        <v>14.39520000000001</v>
      </c>
      <c r="V1227">
        <f>YEAR(Table1[[#This Row],[Order Date]])</f>
        <v>2023</v>
      </c>
      <c r="W1227" t="str">
        <f>TEXT(Table1[[#This Row],[Order Date]],"mmm")</f>
        <v>Sep</v>
      </c>
      <c r="X1227">
        <f t="shared" si="57"/>
        <v>4.7984000000000036</v>
      </c>
      <c r="Y1227" t="str">
        <f t="shared" si="58"/>
        <v>Profit</v>
      </c>
      <c r="Z1227" t="str">
        <f t="shared" si="59"/>
        <v>Low</v>
      </c>
    </row>
    <row r="1228" spans="1:26" x14ac:dyDescent="0.35">
      <c r="A1228" s="1">
        <v>1227</v>
      </c>
      <c r="B1228" s="2" t="s">
        <v>3565</v>
      </c>
      <c r="C1228" s="3">
        <v>45195</v>
      </c>
      <c r="D1228" s="3">
        <v>45199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5.9700000000000006</v>
      </c>
      <c r="S1228" s="1">
        <v>5</v>
      </c>
      <c r="T1228" s="1">
        <v>0.7</v>
      </c>
      <c r="U1228" s="1">
        <v>-4.577</v>
      </c>
      <c r="V1228">
        <f>YEAR(Table1[[#This Row],[Order Date]])</f>
        <v>2023</v>
      </c>
      <c r="W1228" t="str">
        <f>TEXT(Table1[[#This Row],[Order Date]],"mmm")</f>
        <v>Sep</v>
      </c>
      <c r="X1228">
        <f t="shared" si="57"/>
        <v>-0.91539999999999999</v>
      </c>
      <c r="Y1228" t="str">
        <f t="shared" si="58"/>
        <v>Loss</v>
      </c>
      <c r="Z1228" t="str">
        <f t="shared" si="59"/>
        <v>High</v>
      </c>
    </row>
    <row r="1229" spans="1:26" x14ac:dyDescent="0.35">
      <c r="A1229" s="1">
        <v>1228</v>
      </c>
      <c r="B1229" s="2" t="s">
        <v>3578</v>
      </c>
      <c r="C1229" s="3">
        <v>45195</v>
      </c>
      <c r="D1229" s="3">
        <v>45195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V1229">
        <f>YEAR(Table1[[#This Row],[Order Date]])</f>
        <v>2023</v>
      </c>
      <c r="W1229" t="str">
        <f>TEXT(Table1[[#This Row],[Order Date]],"mmm")</f>
        <v>Sep</v>
      </c>
      <c r="X1229">
        <f t="shared" si="57"/>
        <v>-1.4016000000000002</v>
      </c>
      <c r="Y1229" t="str">
        <f t="shared" si="58"/>
        <v>Loss</v>
      </c>
      <c r="Z1229" t="str">
        <f t="shared" si="59"/>
        <v>High</v>
      </c>
    </row>
    <row r="1230" spans="1:26" x14ac:dyDescent="0.35">
      <c r="A1230" s="1">
        <v>1229</v>
      </c>
      <c r="B1230" s="2" t="s">
        <v>3568</v>
      </c>
      <c r="C1230" s="3">
        <v>45195</v>
      </c>
      <c r="D1230" s="3">
        <v>45199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V1230">
        <f>YEAR(Table1[[#This Row],[Order Date]])</f>
        <v>2023</v>
      </c>
      <c r="W1230" t="str">
        <f>TEXT(Table1[[#This Row],[Order Date]],"mmm")</f>
        <v>Sep</v>
      </c>
      <c r="X1230">
        <f t="shared" si="57"/>
        <v>2.775599999999999</v>
      </c>
      <c r="Y1230" t="str">
        <f t="shared" si="58"/>
        <v>Profit</v>
      </c>
      <c r="Z1230" t="str">
        <f t="shared" si="59"/>
        <v>Low</v>
      </c>
    </row>
    <row r="1231" spans="1:26" x14ac:dyDescent="0.35">
      <c r="A1231" s="1">
        <v>1230</v>
      </c>
      <c r="B1231" s="2" t="s">
        <v>3559</v>
      </c>
      <c r="C1231" s="3">
        <v>45195</v>
      </c>
      <c r="D1231" s="3">
        <v>45196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>
        <f>YEAR(Table1[[#This Row],[Order Date]])</f>
        <v>2023</v>
      </c>
      <c r="W1231" t="str">
        <f>TEXT(Table1[[#This Row],[Order Date]],"mmm")</f>
        <v>Sep</v>
      </c>
      <c r="X1231">
        <f t="shared" si="57"/>
        <v>3.1104000000000003</v>
      </c>
      <c r="Y1231" t="str">
        <f t="shared" si="58"/>
        <v>Profit</v>
      </c>
      <c r="Z1231" t="str">
        <f t="shared" si="59"/>
        <v>No Discount</v>
      </c>
    </row>
    <row r="1232" spans="1:26" x14ac:dyDescent="0.35">
      <c r="A1232" s="1">
        <v>1231</v>
      </c>
      <c r="B1232" s="2" t="s">
        <v>3582</v>
      </c>
      <c r="C1232" s="3">
        <v>45195</v>
      </c>
      <c r="D1232" s="3">
        <v>45199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  <c r="V1232">
        <f>YEAR(Table1[[#This Row],[Order Date]])</f>
        <v>2023</v>
      </c>
      <c r="W1232" t="str">
        <f>TEXT(Table1[[#This Row],[Order Date]],"mmm")</f>
        <v>Sep</v>
      </c>
      <c r="X1232">
        <f t="shared" si="57"/>
        <v>40.315600000000003</v>
      </c>
      <c r="Y1232" t="str">
        <f t="shared" si="58"/>
        <v>Profit</v>
      </c>
      <c r="Z1232" t="str">
        <f t="shared" si="59"/>
        <v>No Discount</v>
      </c>
    </row>
    <row r="1233" spans="1:26" x14ac:dyDescent="0.35">
      <c r="A1233" s="1">
        <v>1232</v>
      </c>
      <c r="B1233" s="2" t="s">
        <v>3568</v>
      </c>
      <c r="C1233" s="3">
        <v>45195</v>
      </c>
      <c r="D1233" s="3">
        <v>45199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V1233">
        <f>YEAR(Table1[[#This Row],[Order Date]])</f>
        <v>2023</v>
      </c>
      <c r="W1233" t="str">
        <f>TEXT(Table1[[#This Row],[Order Date]],"mmm")</f>
        <v>Sep</v>
      </c>
      <c r="X1233">
        <f t="shared" si="57"/>
        <v>0.23639999999999983</v>
      </c>
      <c r="Y1233" t="str">
        <f t="shared" si="58"/>
        <v>Profit</v>
      </c>
      <c r="Z1233" t="str">
        <f t="shared" si="59"/>
        <v>Low</v>
      </c>
    </row>
    <row r="1234" spans="1:26" x14ac:dyDescent="0.35">
      <c r="A1234" s="1">
        <v>1233</v>
      </c>
      <c r="B1234" s="2" t="s">
        <v>3589</v>
      </c>
      <c r="C1234" s="3">
        <v>45195</v>
      </c>
      <c r="D1234" s="3">
        <v>45200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>
        <f>YEAR(Table1[[#This Row],[Order Date]])</f>
        <v>2023</v>
      </c>
      <c r="W1234" t="str">
        <f>TEXT(Table1[[#This Row],[Order Date]],"mmm")</f>
        <v>Sep</v>
      </c>
      <c r="X1234">
        <f t="shared" si="57"/>
        <v>3.4960000000000004</v>
      </c>
      <c r="Y1234" t="str">
        <f t="shared" si="58"/>
        <v>Profit</v>
      </c>
      <c r="Z1234" t="str">
        <f t="shared" si="59"/>
        <v>Low</v>
      </c>
    </row>
    <row r="1235" spans="1:26" x14ac:dyDescent="0.35">
      <c r="A1235" s="1">
        <v>1234</v>
      </c>
      <c r="B1235" s="2" t="s">
        <v>3592</v>
      </c>
      <c r="C1235" s="3">
        <v>45196</v>
      </c>
      <c r="D1235" s="3">
        <v>45200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V1235">
        <f>YEAR(Table1[[#This Row],[Order Date]])</f>
        <v>2023</v>
      </c>
      <c r="W1235" t="str">
        <f>TEXT(Table1[[#This Row],[Order Date]],"mmm")</f>
        <v>Sep</v>
      </c>
      <c r="X1235">
        <f t="shared" si="57"/>
        <v>9.0588000000000015</v>
      </c>
      <c r="Y1235" t="str">
        <f t="shared" si="58"/>
        <v>Profit</v>
      </c>
      <c r="Z1235" t="str">
        <f t="shared" si="59"/>
        <v>Low</v>
      </c>
    </row>
    <row r="1236" spans="1:26" x14ac:dyDescent="0.35">
      <c r="A1236" s="1">
        <v>1235</v>
      </c>
      <c r="B1236" s="2" t="s">
        <v>3595</v>
      </c>
      <c r="C1236" s="3">
        <v>45196</v>
      </c>
      <c r="D1236" s="3">
        <v>45202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87.539999999999992</v>
      </c>
      <c r="S1236" s="1">
        <v>3</v>
      </c>
      <c r="T1236" s="1">
        <v>0</v>
      </c>
      <c r="U1236" s="1">
        <v>37.642200000000003</v>
      </c>
      <c r="V1236">
        <f>YEAR(Table1[[#This Row],[Order Date]])</f>
        <v>2023</v>
      </c>
      <c r="W1236" t="str">
        <f>TEXT(Table1[[#This Row],[Order Date]],"mmm")</f>
        <v>Sep</v>
      </c>
      <c r="X1236">
        <f t="shared" si="57"/>
        <v>12.547400000000001</v>
      </c>
      <c r="Y1236" t="str">
        <f t="shared" si="58"/>
        <v>Profit</v>
      </c>
      <c r="Z1236" t="str">
        <f t="shared" si="59"/>
        <v>No Discount</v>
      </c>
    </row>
    <row r="1237" spans="1:26" x14ac:dyDescent="0.35">
      <c r="A1237" s="1">
        <v>1236</v>
      </c>
      <c r="B1237" s="2" t="s">
        <v>3592</v>
      </c>
      <c r="C1237" s="3">
        <v>45196</v>
      </c>
      <c r="D1237" s="3">
        <v>45200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  <c r="V1237">
        <f>YEAR(Table1[[#This Row],[Order Date]])</f>
        <v>2023</v>
      </c>
      <c r="W1237" t="str">
        <f>TEXT(Table1[[#This Row],[Order Date]],"mmm")</f>
        <v>Sep</v>
      </c>
      <c r="X1237">
        <f t="shared" si="57"/>
        <v>20.085100000000001</v>
      </c>
      <c r="Y1237" t="str">
        <f t="shared" si="58"/>
        <v>Profit</v>
      </c>
      <c r="Z1237" t="str">
        <f t="shared" si="59"/>
        <v>No Discount</v>
      </c>
    </row>
    <row r="1238" spans="1:26" x14ac:dyDescent="0.35">
      <c r="A1238" s="1">
        <v>1237</v>
      </c>
      <c r="B1238" s="2" t="s">
        <v>3598</v>
      </c>
      <c r="C1238" s="3">
        <v>45197</v>
      </c>
      <c r="D1238" s="3">
        <v>45202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V1238">
        <f>YEAR(Table1[[#This Row],[Order Date]])</f>
        <v>2023</v>
      </c>
      <c r="W1238" t="str">
        <f>TEXT(Table1[[#This Row],[Order Date]],"mmm")</f>
        <v>Sep</v>
      </c>
      <c r="X1238">
        <f t="shared" si="57"/>
        <v>4.213599999999996</v>
      </c>
      <c r="Y1238" t="str">
        <f t="shared" si="58"/>
        <v>Profit</v>
      </c>
      <c r="Z1238" t="str">
        <f t="shared" si="59"/>
        <v>Low</v>
      </c>
    </row>
    <row r="1239" spans="1:26" x14ac:dyDescent="0.35">
      <c r="A1239" s="1">
        <v>1238</v>
      </c>
      <c r="B1239" s="2" t="s">
        <v>3601</v>
      </c>
      <c r="C1239" s="3">
        <v>45197</v>
      </c>
      <c r="D1239" s="3">
        <v>45202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</v>
      </c>
      <c r="T1239" s="1">
        <v>0.2</v>
      </c>
      <c r="U1239" s="1">
        <v>31.283199999999987</v>
      </c>
      <c r="V1239">
        <f>YEAR(Table1[[#This Row],[Order Date]])</f>
        <v>2023</v>
      </c>
      <c r="W1239" t="str">
        <f>TEXT(Table1[[#This Row],[Order Date]],"mmm")</f>
        <v>Sep</v>
      </c>
      <c r="X1239">
        <f t="shared" si="57"/>
        <v>3.9103999999999983</v>
      </c>
      <c r="Y1239" t="str">
        <f t="shared" si="58"/>
        <v>Profit</v>
      </c>
      <c r="Z1239" t="str">
        <f t="shared" si="59"/>
        <v>Low</v>
      </c>
    </row>
    <row r="1240" spans="1:26" x14ac:dyDescent="0.35">
      <c r="A1240" s="1">
        <v>1239</v>
      </c>
      <c r="B1240" s="2" t="s">
        <v>3601</v>
      </c>
      <c r="C1240" s="3">
        <v>45197</v>
      </c>
      <c r="D1240" s="3">
        <v>45202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V1240">
        <f>YEAR(Table1[[#This Row],[Order Date]])</f>
        <v>2023</v>
      </c>
      <c r="W1240" t="str">
        <f>TEXT(Table1[[#This Row],[Order Date]],"mmm")</f>
        <v>Sep</v>
      </c>
      <c r="X1240">
        <f t="shared" si="57"/>
        <v>1.8703999999999998</v>
      </c>
      <c r="Y1240" t="str">
        <f t="shared" si="58"/>
        <v>Profit</v>
      </c>
      <c r="Z1240" t="str">
        <f t="shared" si="59"/>
        <v>Low</v>
      </c>
    </row>
    <row r="1241" spans="1:26" x14ac:dyDescent="0.35">
      <c r="A1241" s="1">
        <v>1240</v>
      </c>
      <c r="B1241" s="2" t="s">
        <v>3606</v>
      </c>
      <c r="C1241" s="3">
        <v>45197</v>
      </c>
      <c r="D1241" s="3">
        <v>45202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</v>
      </c>
      <c r="T1241" s="1">
        <v>0</v>
      </c>
      <c r="U1241" s="1">
        <v>12.490200000000003</v>
      </c>
      <c r="V1241">
        <f>YEAR(Table1[[#This Row],[Order Date]])</f>
        <v>2023</v>
      </c>
      <c r="W1241" t="str">
        <f>TEXT(Table1[[#This Row],[Order Date]],"mmm")</f>
        <v>Sep</v>
      </c>
      <c r="X1241">
        <f t="shared" si="57"/>
        <v>4.1634000000000011</v>
      </c>
      <c r="Y1241" t="str">
        <f t="shared" si="58"/>
        <v>Profit</v>
      </c>
      <c r="Z1241" t="str">
        <f t="shared" si="59"/>
        <v>No Discount</v>
      </c>
    </row>
    <row r="1242" spans="1:26" x14ac:dyDescent="0.35">
      <c r="A1242" s="1">
        <v>1241</v>
      </c>
      <c r="B1242" s="2" t="s">
        <v>3609</v>
      </c>
      <c r="C1242" s="3">
        <v>45197</v>
      </c>
      <c r="D1242" s="3">
        <v>45202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6">
        <v>10.688000000000001</v>
      </c>
      <c r="S1242" s="6">
        <v>2</v>
      </c>
      <c r="T1242" s="6">
        <v>0.2</v>
      </c>
      <c r="U1242" s="6">
        <v>3.7407999999999997</v>
      </c>
      <c r="V1242">
        <f>YEAR(Table1[[#This Row],[Order Date]])</f>
        <v>2023</v>
      </c>
      <c r="W1242" t="str">
        <f>TEXT(Table1[[#This Row],[Order Date]],"mmm")</f>
        <v>Sep</v>
      </c>
      <c r="X1242">
        <f t="shared" si="57"/>
        <v>1.8703999999999998</v>
      </c>
      <c r="Y1242" t="str">
        <f t="shared" si="58"/>
        <v>Profit</v>
      </c>
      <c r="Z1242" t="str">
        <f t="shared" si="59"/>
        <v>Low</v>
      </c>
    </row>
    <row r="1243" spans="1:26" x14ac:dyDescent="0.35">
      <c r="A1243" s="1">
        <v>1242</v>
      </c>
      <c r="B1243" s="2" t="s">
        <v>3610</v>
      </c>
      <c r="C1243" s="3">
        <v>45198</v>
      </c>
      <c r="D1243" s="3">
        <v>45202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</v>
      </c>
      <c r="T1243" s="1">
        <v>0</v>
      </c>
      <c r="U1243" s="1">
        <v>36.381599999999992</v>
      </c>
      <c r="V1243">
        <f>YEAR(Table1[[#This Row],[Order Date]])</f>
        <v>2023</v>
      </c>
      <c r="W1243" t="str">
        <f>TEXT(Table1[[#This Row],[Order Date]],"mmm")</f>
        <v>Sep</v>
      </c>
      <c r="X1243">
        <f t="shared" si="57"/>
        <v>9.0953999999999979</v>
      </c>
      <c r="Y1243" t="str">
        <f t="shared" si="58"/>
        <v>Profit</v>
      </c>
      <c r="Z1243" t="str">
        <f t="shared" si="59"/>
        <v>No Discount</v>
      </c>
    </row>
    <row r="1244" spans="1:26" x14ac:dyDescent="0.35">
      <c r="A1244" s="1">
        <v>1243</v>
      </c>
      <c r="B1244" s="2" t="s">
        <v>3615</v>
      </c>
      <c r="C1244" s="3">
        <v>45198</v>
      </c>
      <c r="D1244" s="3">
        <v>45200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  <c r="V1244">
        <f>YEAR(Table1[[#This Row],[Order Date]])</f>
        <v>2023</v>
      </c>
      <c r="W1244" t="str">
        <f>TEXT(Table1[[#This Row],[Order Date]],"mmm")</f>
        <v>Sep</v>
      </c>
      <c r="X1244">
        <f t="shared" si="57"/>
        <v>1.4783999999999999</v>
      </c>
      <c r="Y1244" t="str">
        <f t="shared" si="58"/>
        <v>Profit</v>
      </c>
      <c r="Z1244" t="str">
        <f t="shared" si="59"/>
        <v>No Discount</v>
      </c>
    </row>
    <row r="1245" spans="1:26" x14ac:dyDescent="0.35">
      <c r="A1245" s="1">
        <v>1244</v>
      </c>
      <c r="B1245" s="2" t="s">
        <v>3618</v>
      </c>
      <c r="C1245" s="3">
        <v>45198</v>
      </c>
      <c r="D1245" s="3">
        <v>45202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  <c r="V1245">
        <f>YEAR(Table1[[#This Row],[Order Date]])</f>
        <v>2023</v>
      </c>
      <c r="W1245" t="str">
        <f>TEXT(Table1[[#This Row],[Order Date]],"mmm")</f>
        <v>Sep</v>
      </c>
      <c r="X1245">
        <f t="shared" si="57"/>
        <v>26.597999999999999</v>
      </c>
      <c r="Y1245" t="str">
        <f t="shared" si="58"/>
        <v>Profit</v>
      </c>
      <c r="Z1245" t="str">
        <f t="shared" si="59"/>
        <v>No Discount</v>
      </c>
    </row>
    <row r="1246" spans="1:26" x14ac:dyDescent="0.35">
      <c r="A1246" s="1">
        <v>1245</v>
      </c>
      <c r="B1246" s="2" t="s">
        <v>3615</v>
      </c>
      <c r="C1246" s="3">
        <v>45198</v>
      </c>
      <c r="D1246" s="3">
        <v>45200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2348.8200000000002</v>
      </c>
      <c r="S1246" s="1">
        <v>9</v>
      </c>
      <c r="T1246" s="1">
        <v>0</v>
      </c>
      <c r="U1246" s="1">
        <v>399.29939999999976</v>
      </c>
      <c r="V1246">
        <f>YEAR(Table1[[#This Row],[Order Date]])</f>
        <v>2023</v>
      </c>
      <c r="W1246" t="str">
        <f>TEXT(Table1[[#This Row],[Order Date]],"mmm")</f>
        <v>Sep</v>
      </c>
      <c r="X1246">
        <f t="shared" si="57"/>
        <v>44.366599999999977</v>
      </c>
      <c r="Y1246" t="str">
        <f t="shared" si="58"/>
        <v>Profit</v>
      </c>
      <c r="Z1246" t="str">
        <f t="shared" si="59"/>
        <v>No Discount</v>
      </c>
    </row>
    <row r="1247" spans="1:26" x14ac:dyDescent="0.35">
      <c r="A1247" s="1">
        <v>1246</v>
      </c>
      <c r="B1247" s="2" t="s">
        <v>3621</v>
      </c>
      <c r="C1247" s="3">
        <v>45198</v>
      </c>
      <c r="D1247" s="3">
        <v>45202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V1247">
        <f>YEAR(Table1[[#This Row],[Order Date]])</f>
        <v>2023</v>
      </c>
      <c r="W1247" t="str">
        <f>TEXT(Table1[[#This Row],[Order Date]],"mmm")</f>
        <v>Sep</v>
      </c>
      <c r="X1247">
        <f t="shared" si="57"/>
        <v>-20.152800000000006</v>
      </c>
      <c r="Y1247" t="str">
        <f t="shared" si="58"/>
        <v>Loss</v>
      </c>
      <c r="Z1247" t="str">
        <f t="shared" si="59"/>
        <v>Medium</v>
      </c>
    </row>
    <row r="1248" spans="1:26" x14ac:dyDescent="0.35">
      <c r="A1248" s="1">
        <v>1247</v>
      </c>
      <c r="B1248" s="2" t="s">
        <v>3621</v>
      </c>
      <c r="C1248" s="3">
        <v>45198</v>
      </c>
      <c r="D1248" s="3">
        <v>45202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>
        <f>YEAR(Table1[[#This Row],[Order Date]])</f>
        <v>2023</v>
      </c>
      <c r="W1248" t="str">
        <f>TEXT(Table1[[#This Row],[Order Date]],"mmm")</f>
        <v>Sep</v>
      </c>
      <c r="X1248">
        <f t="shared" si="57"/>
        <v>-40.927199999999999</v>
      </c>
      <c r="Y1248" t="str">
        <f t="shared" si="58"/>
        <v>Loss</v>
      </c>
      <c r="Z1248" t="str">
        <f t="shared" si="59"/>
        <v>Medium</v>
      </c>
    </row>
    <row r="1249" spans="1:26" x14ac:dyDescent="0.35">
      <c r="A1249" s="1">
        <v>1248</v>
      </c>
      <c r="B1249" s="2" t="s">
        <v>3621</v>
      </c>
      <c r="C1249" s="3">
        <v>45198</v>
      </c>
      <c r="D1249" s="3">
        <v>45202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V1249">
        <f>YEAR(Table1[[#This Row],[Order Date]])</f>
        <v>2023</v>
      </c>
      <c r="W1249" t="str">
        <f>TEXT(Table1[[#This Row],[Order Date]],"mmm")</f>
        <v>Sep</v>
      </c>
      <c r="X1249">
        <f t="shared" si="57"/>
        <v>0.4927999999999999</v>
      </c>
      <c r="Y1249" t="str">
        <f t="shared" si="58"/>
        <v>Profit</v>
      </c>
      <c r="Z1249" t="str">
        <f t="shared" si="59"/>
        <v>Low</v>
      </c>
    </row>
    <row r="1250" spans="1:26" x14ac:dyDescent="0.35">
      <c r="A1250" s="1">
        <v>1249</v>
      </c>
      <c r="B1250" s="2" t="s">
        <v>3624</v>
      </c>
      <c r="C1250" s="3">
        <v>45198</v>
      </c>
      <c r="D1250" s="3">
        <v>45203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V1250">
        <f>YEAR(Table1[[#This Row],[Order Date]])</f>
        <v>2023</v>
      </c>
      <c r="W1250" t="str">
        <f>TEXT(Table1[[#This Row],[Order Date]],"mmm")</f>
        <v>Sep</v>
      </c>
      <c r="X1250">
        <f t="shared" si="57"/>
        <v>1.5699999999999994</v>
      </c>
      <c r="Y1250" t="str">
        <f t="shared" si="58"/>
        <v>Profit</v>
      </c>
      <c r="Z1250" t="str">
        <f t="shared" si="59"/>
        <v>Low</v>
      </c>
    </row>
    <row r="1251" spans="1:26" x14ac:dyDescent="0.35">
      <c r="A1251" s="1">
        <v>1250</v>
      </c>
      <c r="B1251" s="2" t="s">
        <v>3618</v>
      </c>
      <c r="C1251" s="3">
        <v>45198</v>
      </c>
      <c r="D1251" s="3">
        <v>45202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>
        <f>YEAR(Table1[[#This Row],[Order Date]])</f>
        <v>2023</v>
      </c>
      <c r="W1251" t="str">
        <f>TEXT(Table1[[#This Row],[Order Date]],"mmm")</f>
        <v>Sep</v>
      </c>
      <c r="X1251">
        <f t="shared" si="57"/>
        <v>0.71940000000000004</v>
      </c>
      <c r="Y1251" t="str">
        <f t="shared" si="58"/>
        <v>Profit</v>
      </c>
      <c r="Z1251" t="str">
        <f t="shared" si="59"/>
        <v>No Discount</v>
      </c>
    </row>
    <row r="1252" spans="1:26" x14ac:dyDescent="0.35">
      <c r="A1252" s="1">
        <v>1251</v>
      </c>
      <c r="B1252" s="2" t="s">
        <v>3610</v>
      </c>
      <c r="C1252" s="3">
        <v>45198</v>
      </c>
      <c r="D1252" s="3">
        <v>45202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18.899999999999999</v>
      </c>
      <c r="S1252" s="1">
        <v>3</v>
      </c>
      <c r="T1252" s="1">
        <v>0</v>
      </c>
      <c r="U1252" s="1">
        <v>8.6939999999999991</v>
      </c>
      <c r="V1252">
        <f>YEAR(Table1[[#This Row],[Order Date]])</f>
        <v>2023</v>
      </c>
      <c r="W1252" t="str">
        <f>TEXT(Table1[[#This Row],[Order Date]],"mmm")</f>
        <v>Sep</v>
      </c>
      <c r="X1252">
        <f t="shared" si="57"/>
        <v>2.8979999999999997</v>
      </c>
      <c r="Y1252" t="str">
        <f t="shared" si="58"/>
        <v>Profit</v>
      </c>
      <c r="Z1252" t="str">
        <f t="shared" si="59"/>
        <v>No Discount</v>
      </c>
    </row>
    <row r="1253" spans="1:26" x14ac:dyDescent="0.35">
      <c r="A1253" s="1">
        <v>1252</v>
      </c>
      <c r="B1253" s="2" t="s">
        <v>3621</v>
      </c>
      <c r="C1253" s="3">
        <v>45198</v>
      </c>
      <c r="D1253" s="3">
        <v>45202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</v>
      </c>
      <c r="T1253" s="1">
        <v>0.2</v>
      </c>
      <c r="U1253" s="1">
        <v>18.017999999999997</v>
      </c>
      <c r="V1253">
        <f>YEAR(Table1[[#This Row],[Order Date]])</f>
        <v>2023</v>
      </c>
      <c r="W1253" t="str">
        <f>TEXT(Table1[[#This Row],[Order Date]],"mmm")</f>
        <v>Sep</v>
      </c>
      <c r="X1253">
        <f t="shared" si="57"/>
        <v>1.6379999999999997</v>
      </c>
      <c r="Y1253" t="str">
        <f t="shared" si="58"/>
        <v>Profit</v>
      </c>
      <c r="Z1253" t="str">
        <f t="shared" si="59"/>
        <v>Low</v>
      </c>
    </row>
    <row r="1254" spans="1:26" x14ac:dyDescent="0.35">
      <c r="A1254" s="1">
        <v>1253</v>
      </c>
      <c r="B1254" s="2" t="s">
        <v>3621</v>
      </c>
      <c r="C1254" s="3">
        <v>45198</v>
      </c>
      <c r="D1254" s="3">
        <v>45202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>
        <f>YEAR(Table1[[#This Row],[Order Date]])</f>
        <v>2023</v>
      </c>
      <c r="W1254" t="str">
        <f>TEXT(Table1[[#This Row],[Order Date]],"mmm")</f>
        <v>Sep</v>
      </c>
      <c r="X1254">
        <f t="shared" si="57"/>
        <v>1.7003999999999999</v>
      </c>
      <c r="Y1254" t="str">
        <f t="shared" si="58"/>
        <v>Profit</v>
      </c>
      <c r="Z1254" t="str">
        <f t="shared" si="59"/>
        <v>Low</v>
      </c>
    </row>
    <row r="1255" spans="1:26" x14ac:dyDescent="0.35">
      <c r="A1255" s="1">
        <v>1254</v>
      </c>
      <c r="B1255" s="2" t="s">
        <v>3610</v>
      </c>
      <c r="C1255" s="3">
        <v>45198</v>
      </c>
      <c r="D1255" s="3">
        <v>45202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</v>
      </c>
      <c r="T1255" s="1">
        <v>0</v>
      </c>
      <c r="U1255" s="1">
        <v>37.9848</v>
      </c>
      <c r="V1255">
        <f>YEAR(Table1[[#This Row],[Order Date]])</f>
        <v>2023</v>
      </c>
      <c r="W1255" t="str">
        <f>TEXT(Table1[[#This Row],[Order Date]],"mmm")</f>
        <v>Sep</v>
      </c>
      <c r="X1255">
        <f t="shared" si="57"/>
        <v>18.9924</v>
      </c>
      <c r="Y1255" t="str">
        <f t="shared" si="58"/>
        <v>Profit</v>
      </c>
      <c r="Z1255" t="str">
        <f t="shared" si="59"/>
        <v>No Discount</v>
      </c>
    </row>
    <row r="1256" spans="1:26" x14ac:dyDescent="0.35">
      <c r="A1256" s="1">
        <v>1255</v>
      </c>
      <c r="B1256" s="2" t="s">
        <v>3618</v>
      </c>
      <c r="C1256" s="3">
        <v>45198</v>
      </c>
      <c r="D1256" s="3">
        <v>45202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</v>
      </c>
      <c r="T1256" s="1">
        <v>0</v>
      </c>
      <c r="U1256" s="1">
        <v>3.1104000000000003</v>
      </c>
      <c r="V1256">
        <f>YEAR(Table1[[#This Row],[Order Date]])</f>
        <v>2023</v>
      </c>
      <c r="W1256" t="str">
        <f>TEXT(Table1[[#This Row],[Order Date]],"mmm")</f>
        <v>Sep</v>
      </c>
      <c r="X1256">
        <f t="shared" si="57"/>
        <v>3.1104000000000003</v>
      </c>
      <c r="Y1256" t="str">
        <f t="shared" si="58"/>
        <v>Profit</v>
      </c>
      <c r="Z1256" t="str">
        <f t="shared" si="59"/>
        <v>No Discount</v>
      </c>
    </row>
    <row r="1257" spans="1:26" x14ac:dyDescent="0.35">
      <c r="A1257" s="1">
        <v>1256</v>
      </c>
      <c r="B1257" s="2" t="s">
        <v>3624</v>
      </c>
      <c r="C1257" s="3">
        <v>45198</v>
      </c>
      <c r="D1257" s="3">
        <v>45203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</v>
      </c>
      <c r="T1257" s="1">
        <v>0</v>
      </c>
      <c r="U1257" s="1">
        <v>153.47250000000003</v>
      </c>
      <c r="V1257">
        <f>YEAR(Table1[[#This Row],[Order Date]])</f>
        <v>2023</v>
      </c>
      <c r="W1257" t="str">
        <f>TEXT(Table1[[#This Row],[Order Date]],"mmm")</f>
        <v>Sep</v>
      </c>
      <c r="X1257">
        <f t="shared" si="57"/>
        <v>30.694500000000005</v>
      </c>
      <c r="Y1257" t="str">
        <f t="shared" si="58"/>
        <v>Profit</v>
      </c>
      <c r="Z1257" t="str">
        <f t="shared" si="59"/>
        <v>No Discount</v>
      </c>
    </row>
    <row r="1258" spans="1:26" x14ac:dyDescent="0.35">
      <c r="A1258" s="1">
        <v>1257</v>
      </c>
      <c r="B1258" s="2" t="s">
        <v>3610</v>
      </c>
      <c r="C1258" s="3">
        <v>45198</v>
      </c>
      <c r="D1258" s="3">
        <v>45202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</v>
      </c>
      <c r="T1258" s="1">
        <v>0</v>
      </c>
      <c r="U1258" s="1">
        <v>362.84040000000005</v>
      </c>
      <c r="V1258">
        <f>YEAR(Table1[[#This Row],[Order Date]])</f>
        <v>2023</v>
      </c>
      <c r="W1258" t="str">
        <f>TEXT(Table1[[#This Row],[Order Date]],"mmm")</f>
        <v>Sep</v>
      </c>
      <c r="X1258">
        <f t="shared" si="57"/>
        <v>40.315600000000003</v>
      </c>
      <c r="Y1258" t="str">
        <f t="shared" si="58"/>
        <v>Profit</v>
      </c>
      <c r="Z1258" t="str">
        <f t="shared" si="59"/>
        <v>No Discount</v>
      </c>
    </row>
    <row r="1259" spans="1:26" x14ac:dyDescent="0.35">
      <c r="A1259" s="1">
        <v>1258</v>
      </c>
      <c r="B1259" s="2" t="s">
        <v>3618</v>
      </c>
      <c r="C1259" s="3">
        <v>45198</v>
      </c>
      <c r="D1259" s="3">
        <v>45202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</v>
      </c>
      <c r="T1259" s="1">
        <v>0</v>
      </c>
      <c r="U1259" s="1">
        <v>16.788600000000002</v>
      </c>
      <c r="V1259">
        <f>YEAR(Table1[[#This Row],[Order Date]])</f>
        <v>2023</v>
      </c>
      <c r="W1259" t="str">
        <f>TEXT(Table1[[#This Row],[Order Date]],"mmm")</f>
        <v>Sep</v>
      </c>
      <c r="X1259">
        <f t="shared" si="57"/>
        <v>16.788600000000002</v>
      </c>
      <c r="Y1259" t="str">
        <f t="shared" si="58"/>
        <v>Profit</v>
      </c>
      <c r="Z1259" t="str">
        <f t="shared" si="59"/>
        <v>No Discount</v>
      </c>
    </row>
    <row r="1260" spans="1:26" x14ac:dyDescent="0.35">
      <c r="A1260" s="1">
        <v>1259</v>
      </c>
      <c r="B1260" s="2" t="s">
        <v>3621</v>
      </c>
      <c r="C1260" s="3">
        <v>45198</v>
      </c>
      <c r="D1260" s="3">
        <v>45202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V1260">
        <f>YEAR(Table1[[#This Row],[Order Date]])</f>
        <v>2023</v>
      </c>
      <c r="W1260" t="str">
        <f>TEXT(Table1[[#This Row],[Order Date]],"mmm")</f>
        <v>Sep</v>
      </c>
      <c r="X1260">
        <f t="shared" si="57"/>
        <v>-56.301000000000009</v>
      </c>
      <c r="Y1260" t="str">
        <f t="shared" si="58"/>
        <v>Loss</v>
      </c>
      <c r="Z1260" t="str">
        <f t="shared" si="59"/>
        <v>Low</v>
      </c>
    </row>
    <row r="1261" spans="1:26" x14ac:dyDescent="0.35">
      <c r="A1261" s="1">
        <v>1260</v>
      </c>
      <c r="B1261" s="2" t="s">
        <v>3618</v>
      </c>
      <c r="C1261" s="3">
        <v>45198</v>
      </c>
      <c r="D1261" s="3">
        <v>45202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</v>
      </c>
      <c r="T1261" s="1">
        <v>0.2</v>
      </c>
      <c r="U1261" s="1">
        <v>223.05399999999995</v>
      </c>
      <c r="V1261">
        <f>YEAR(Table1[[#This Row],[Order Date]])</f>
        <v>2023</v>
      </c>
      <c r="W1261" t="str">
        <f>TEXT(Table1[[#This Row],[Order Date]],"mmm")</f>
        <v>Sep</v>
      </c>
      <c r="X1261">
        <f t="shared" si="57"/>
        <v>111.52699999999997</v>
      </c>
      <c r="Y1261" t="str">
        <f t="shared" si="58"/>
        <v>Profit</v>
      </c>
      <c r="Z1261" t="str">
        <f t="shared" si="59"/>
        <v>Low</v>
      </c>
    </row>
    <row r="1262" spans="1:26" x14ac:dyDescent="0.35">
      <c r="A1262" s="1">
        <v>1261</v>
      </c>
      <c r="B1262" s="2" t="s">
        <v>3641</v>
      </c>
      <c r="C1262" s="3">
        <v>45199</v>
      </c>
      <c r="D1262" s="3">
        <v>45205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</v>
      </c>
      <c r="T1262" s="1">
        <v>0</v>
      </c>
      <c r="U1262" s="1">
        <v>5.1815999999999995</v>
      </c>
      <c r="V1262">
        <f>YEAR(Table1[[#This Row],[Order Date]])</f>
        <v>2023</v>
      </c>
      <c r="W1262" t="str">
        <f>TEXT(Table1[[#This Row],[Order Date]],"mmm")</f>
        <v>Sep</v>
      </c>
      <c r="X1262">
        <f t="shared" si="57"/>
        <v>1.7271999999999998</v>
      </c>
      <c r="Y1262" t="str">
        <f t="shared" si="58"/>
        <v>Profit</v>
      </c>
      <c r="Z1262" t="str">
        <f t="shared" si="59"/>
        <v>No Discount</v>
      </c>
    </row>
    <row r="1263" spans="1:26" x14ac:dyDescent="0.35">
      <c r="A1263" s="1">
        <v>1262</v>
      </c>
      <c r="B1263" s="2" t="s">
        <v>3642</v>
      </c>
      <c r="C1263" s="3">
        <v>45199</v>
      </c>
      <c r="D1263" s="3">
        <v>45203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V1263">
        <f>YEAR(Table1[[#This Row],[Order Date]])</f>
        <v>2023</v>
      </c>
      <c r="W1263" t="str">
        <f>TEXT(Table1[[#This Row],[Order Date]],"mmm")</f>
        <v>Sep</v>
      </c>
      <c r="X1263">
        <f t="shared" si="57"/>
        <v>1.8745999999999992</v>
      </c>
      <c r="Y1263" t="str">
        <f t="shared" si="58"/>
        <v>Profit</v>
      </c>
      <c r="Z1263" t="str">
        <f t="shared" si="59"/>
        <v>Low</v>
      </c>
    </row>
    <row r="1264" spans="1:26" x14ac:dyDescent="0.35">
      <c r="A1264" s="1">
        <v>1263</v>
      </c>
      <c r="B1264" s="2" t="s">
        <v>3646</v>
      </c>
      <c r="C1264" s="3">
        <v>45199</v>
      </c>
      <c r="D1264" s="3">
        <v>45199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V1264">
        <f>YEAR(Table1[[#This Row],[Order Date]])</f>
        <v>2023</v>
      </c>
      <c r="W1264" t="str">
        <f>TEXT(Table1[[#This Row],[Order Date]],"mmm")</f>
        <v>Sep</v>
      </c>
      <c r="X1264">
        <f t="shared" si="57"/>
        <v>9.9425999999999988</v>
      </c>
      <c r="Y1264" t="str">
        <f t="shared" si="58"/>
        <v>Profit</v>
      </c>
      <c r="Z1264" t="str">
        <f t="shared" si="59"/>
        <v>Low</v>
      </c>
    </row>
    <row r="1265" spans="1:26" x14ac:dyDescent="0.35">
      <c r="A1265" s="1">
        <v>1264</v>
      </c>
      <c r="B1265" s="2" t="s">
        <v>3651</v>
      </c>
      <c r="C1265" s="3">
        <v>45199</v>
      </c>
      <c r="D1265" s="3">
        <v>45203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  <c r="V1265">
        <f>YEAR(Table1[[#This Row],[Order Date]])</f>
        <v>2023</v>
      </c>
      <c r="W1265" t="str">
        <f>TEXT(Table1[[#This Row],[Order Date]],"mmm")</f>
        <v>Sep</v>
      </c>
      <c r="X1265">
        <f t="shared" si="57"/>
        <v>1.9275</v>
      </c>
      <c r="Y1265" t="str">
        <f t="shared" si="58"/>
        <v>Profit</v>
      </c>
      <c r="Z1265" t="str">
        <f t="shared" si="59"/>
        <v>Low</v>
      </c>
    </row>
    <row r="1266" spans="1:26" x14ac:dyDescent="0.35">
      <c r="A1266" s="1">
        <v>1265</v>
      </c>
      <c r="B1266" s="2" t="s">
        <v>3654</v>
      </c>
      <c r="C1266" s="3">
        <v>45199</v>
      </c>
      <c r="D1266" s="3">
        <v>45203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</v>
      </c>
      <c r="T1266" s="1">
        <v>0</v>
      </c>
      <c r="U1266" s="1">
        <v>24.47</v>
      </c>
      <c r="V1266">
        <f>YEAR(Table1[[#This Row],[Order Date]])</f>
        <v>2023</v>
      </c>
      <c r="W1266" t="str">
        <f>TEXT(Table1[[#This Row],[Order Date]],"mmm")</f>
        <v>Sep</v>
      </c>
      <c r="X1266">
        <f t="shared" si="57"/>
        <v>24.47</v>
      </c>
      <c r="Y1266" t="str">
        <f t="shared" si="58"/>
        <v>Profit</v>
      </c>
      <c r="Z1266" t="str">
        <f t="shared" si="59"/>
        <v>No Discount</v>
      </c>
    </row>
    <row r="1267" spans="1:26" x14ac:dyDescent="0.35">
      <c r="A1267" s="1">
        <v>1266</v>
      </c>
      <c r="B1267" s="2" t="s">
        <v>3657</v>
      </c>
      <c r="C1267" s="3">
        <v>45199</v>
      </c>
      <c r="D1267" s="3">
        <v>45204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15.552000000000003</v>
      </c>
      <c r="S1267" s="1">
        <v>3</v>
      </c>
      <c r="T1267" s="1">
        <v>0.2</v>
      </c>
      <c r="U1267" s="1">
        <v>5.4432</v>
      </c>
      <c r="V1267">
        <f>YEAR(Table1[[#This Row],[Order Date]])</f>
        <v>2023</v>
      </c>
      <c r="W1267" t="str">
        <f>TEXT(Table1[[#This Row],[Order Date]],"mmm")</f>
        <v>Sep</v>
      </c>
      <c r="X1267">
        <f t="shared" si="57"/>
        <v>1.8144</v>
      </c>
      <c r="Y1267" t="str">
        <f t="shared" si="58"/>
        <v>Profit</v>
      </c>
      <c r="Z1267" t="str">
        <f t="shared" si="59"/>
        <v>Low</v>
      </c>
    </row>
    <row r="1268" spans="1:26" x14ac:dyDescent="0.35">
      <c r="A1268" s="1">
        <v>1267</v>
      </c>
      <c r="B1268" s="2" t="s">
        <v>3659</v>
      </c>
      <c r="C1268" s="3">
        <v>45200</v>
      </c>
      <c r="D1268" s="3">
        <v>45204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</v>
      </c>
      <c r="T1268" s="1">
        <v>0</v>
      </c>
      <c r="U1268" s="1">
        <v>0</v>
      </c>
      <c r="V1268">
        <f>YEAR(Table1[[#This Row],[Order Date]])</f>
        <v>2023</v>
      </c>
      <c r="W1268" t="str">
        <f>TEXT(Table1[[#This Row],[Order Date]],"mmm")</f>
        <v>Oct</v>
      </c>
      <c r="X1268">
        <f t="shared" si="57"/>
        <v>0</v>
      </c>
      <c r="Y1268" t="str">
        <f t="shared" si="58"/>
        <v>Break-even</v>
      </c>
      <c r="Z1268" t="str">
        <f t="shared" si="59"/>
        <v>No Discount</v>
      </c>
    </row>
    <row r="1269" spans="1:26" x14ac:dyDescent="0.35">
      <c r="A1269" s="1">
        <v>1268</v>
      </c>
      <c r="B1269" s="2" t="s">
        <v>3663</v>
      </c>
      <c r="C1269" s="3">
        <v>45201</v>
      </c>
      <c r="D1269" s="3">
        <v>45204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12.768000000000001</v>
      </c>
      <c r="S1269" s="1">
        <v>6</v>
      </c>
      <c r="T1269" s="1">
        <v>0.2</v>
      </c>
      <c r="U1269" s="1">
        <v>4.628400000000001</v>
      </c>
      <c r="V1269">
        <f>YEAR(Table1[[#This Row],[Order Date]])</f>
        <v>2023</v>
      </c>
      <c r="W1269" t="str">
        <f>TEXT(Table1[[#This Row],[Order Date]],"mmm")</f>
        <v>Oct</v>
      </c>
      <c r="X1269">
        <f t="shared" si="57"/>
        <v>0.7714000000000002</v>
      </c>
      <c r="Y1269" t="str">
        <f t="shared" si="58"/>
        <v>Profit</v>
      </c>
      <c r="Z1269" t="str">
        <f t="shared" si="59"/>
        <v>Low</v>
      </c>
    </row>
    <row r="1270" spans="1:26" x14ac:dyDescent="0.35">
      <c r="A1270" s="1">
        <v>1269</v>
      </c>
      <c r="B1270" s="2" t="s">
        <v>3663</v>
      </c>
      <c r="C1270" s="3">
        <v>45201</v>
      </c>
      <c r="D1270" s="3">
        <v>45204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V1270">
        <f>YEAR(Table1[[#This Row],[Order Date]])</f>
        <v>2023</v>
      </c>
      <c r="W1270" t="str">
        <f>TEXT(Table1[[#This Row],[Order Date]],"mmm")</f>
        <v>Oct</v>
      </c>
      <c r="X1270">
        <f t="shared" si="57"/>
        <v>0.72999999999999987</v>
      </c>
      <c r="Y1270" t="str">
        <f t="shared" si="58"/>
        <v>Profit</v>
      </c>
      <c r="Z1270" t="str">
        <f t="shared" si="59"/>
        <v>Low</v>
      </c>
    </row>
    <row r="1271" spans="1:26" x14ac:dyDescent="0.35">
      <c r="A1271" s="1">
        <v>1270</v>
      </c>
      <c r="B1271" s="2" t="s">
        <v>3663</v>
      </c>
      <c r="C1271" s="3">
        <v>45201</v>
      </c>
      <c r="D1271" s="3">
        <v>45204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V1271">
        <f>YEAR(Table1[[#This Row],[Order Date]])</f>
        <v>2023</v>
      </c>
      <c r="W1271" t="str">
        <f>TEXT(Table1[[#This Row],[Order Date]],"mmm")</f>
        <v>Oct</v>
      </c>
      <c r="X1271">
        <f t="shared" si="57"/>
        <v>1.7051999999999998</v>
      </c>
      <c r="Y1271" t="str">
        <f t="shared" si="58"/>
        <v>Profit</v>
      </c>
      <c r="Z1271" t="str">
        <f t="shared" si="59"/>
        <v>Low</v>
      </c>
    </row>
    <row r="1272" spans="1:26" x14ac:dyDescent="0.35">
      <c r="A1272" s="1">
        <v>1271</v>
      </c>
      <c r="B1272" s="2" t="s">
        <v>3663</v>
      </c>
      <c r="C1272" s="3">
        <v>45201</v>
      </c>
      <c r="D1272" s="3">
        <v>45204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</v>
      </c>
      <c r="T1272" s="1">
        <v>0.2</v>
      </c>
      <c r="U1272" s="1">
        <v>-3.2639999999999993</v>
      </c>
      <c r="V1272">
        <f>YEAR(Table1[[#This Row],[Order Date]])</f>
        <v>2023</v>
      </c>
      <c r="W1272" t="str">
        <f>TEXT(Table1[[#This Row],[Order Date]],"mmm")</f>
        <v>Oct</v>
      </c>
      <c r="X1272">
        <f t="shared" si="57"/>
        <v>-1.6319999999999997</v>
      </c>
      <c r="Y1272" t="str">
        <f t="shared" si="58"/>
        <v>Loss</v>
      </c>
      <c r="Z1272" t="str">
        <f t="shared" si="59"/>
        <v>Low</v>
      </c>
    </row>
    <row r="1273" spans="1:26" x14ac:dyDescent="0.35">
      <c r="A1273" s="1">
        <v>1272</v>
      </c>
      <c r="B1273" s="2" t="s">
        <v>3663</v>
      </c>
      <c r="C1273" s="3">
        <v>45201</v>
      </c>
      <c r="D1273" s="3">
        <v>45204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</v>
      </c>
      <c r="T1273" s="1">
        <v>0.2</v>
      </c>
      <c r="U1273" s="1">
        <v>-8.9500000000001023E-2</v>
      </c>
      <c r="V1273">
        <f>YEAR(Table1[[#This Row],[Order Date]])</f>
        <v>2023</v>
      </c>
      <c r="W1273" t="str">
        <f>TEXT(Table1[[#This Row],[Order Date]],"mmm")</f>
        <v>Oct</v>
      </c>
      <c r="X1273">
        <f t="shared" si="57"/>
        <v>-8.9500000000001023E-2</v>
      </c>
      <c r="Y1273" t="str">
        <f t="shared" si="58"/>
        <v>Loss</v>
      </c>
      <c r="Z1273" t="str">
        <f t="shared" si="59"/>
        <v>Low</v>
      </c>
    </row>
    <row r="1274" spans="1:26" x14ac:dyDescent="0.35">
      <c r="A1274" s="1">
        <v>1273</v>
      </c>
      <c r="B1274" s="2" t="s">
        <v>3663</v>
      </c>
      <c r="C1274" s="3">
        <v>45201</v>
      </c>
      <c r="D1274" s="3">
        <v>45204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</v>
      </c>
      <c r="T1274" s="1">
        <v>0.2</v>
      </c>
      <c r="U1274" s="1">
        <v>20.157899999999991</v>
      </c>
      <c r="V1274">
        <f>YEAR(Table1[[#This Row],[Order Date]])</f>
        <v>2023</v>
      </c>
      <c r="W1274" t="str">
        <f>TEXT(Table1[[#This Row],[Order Date]],"mmm")</f>
        <v>Oct</v>
      </c>
      <c r="X1274">
        <f t="shared" si="57"/>
        <v>6.7192999999999969</v>
      </c>
      <c r="Y1274" t="str">
        <f t="shared" si="58"/>
        <v>Profit</v>
      </c>
      <c r="Z1274" t="str">
        <f t="shared" si="59"/>
        <v>Low</v>
      </c>
    </row>
    <row r="1275" spans="1:26" x14ac:dyDescent="0.35">
      <c r="A1275" s="1">
        <v>1274</v>
      </c>
      <c r="B1275" s="2" t="s">
        <v>3663</v>
      </c>
      <c r="C1275" s="3">
        <v>45201</v>
      </c>
      <c r="D1275" s="3">
        <v>45204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318.40000000000003</v>
      </c>
      <c r="S1275" s="1">
        <v>2</v>
      </c>
      <c r="T1275" s="1">
        <v>0.2</v>
      </c>
      <c r="U1275" s="1">
        <v>107.46</v>
      </c>
      <c r="V1275">
        <f>YEAR(Table1[[#This Row],[Order Date]])</f>
        <v>2023</v>
      </c>
      <c r="W1275" t="str">
        <f>TEXT(Table1[[#This Row],[Order Date]],"mmm")</f>
        <v>Oct</v>
      </c>
      <c r="X1275">
        <f t="shared" si="57"/>
        <v>53.73</v>
      </c>
      <c r="Y1275" t="str">
        <f t="shared" si="58"/>
        <v>Profit</v>
      </c>
      <c r="Z1275" t="str">
        <f t="shared" si="59"/>
        <v>Low</v>
      </c>
    </row>
    <row r="1276" spans="1:26" x14ac:dyDescent="0.35">
      <c r="A1276" s="1">
        <v>1275</v>
      </c>
      <c r="B1276" s="2" t="s">
        <v>3677</v>
      </c>
      <c r="C1276" s="3">
        <v>45202</v>
      </c>
      <c r="D1276" s="3">
        <v>45207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</v>
      </c>
      <c r="T1276" s="1">
        <v>0.2</v>
      </c>
      <c r="U1276" s="1">
        <v>13.764599999999994</v>
      </c>
      <c r="V1276">
        <f>YEAR(Table1[[#This Row],[Order Date]])</f>
        <v>2023</v>
      </c>
      <c r="W1276" t="str">
        <f>TEXT(Table1[[#This Row],[Order Date]],"mmm")</f>
        <v>Oct</v>
      </c>
      <c r="X1276">
        <f t="shared" si="57"/>
        <v>4.5881999999999978</v>
      </c>
      <c r="Y1276" t="str">
        <f t="shared" si="58"/>
        <v>Profit</v>
      </c>
      <c r="Z1276" t="str">
        <f t="shared" si="59"/>
        <v>Low</v>
      </c>
    </row>
    <row r="1277" spans="1:26" x14ac:dyDescent="0.35">
      <c r="A1277" s="1">
        <v>1276</v>
      </c>
      <c r="B1277" s="2" t="s">
        <v>3682</v>
      </c>
      <c r="C1277" s="3">
        <v>45202</v>
      </c>
      <c r="D1277" s="3">
        <v>45207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</v>
      </c>
      <c r="T1277" s="1">
        <v>0.3</v>
      </c>
      <c r="U1277" s="1">
        <v>-70.104300000000023</v>
      </c>
      <c r="V1277">
        <f>YEAR(Table1[[#This Row],[Order Date]])</f>
        <v>2023</v>
      </c>
      <c r="W1277" t="str">
        <f>TEXT(Table1[[#This Row],[Order Date]],"mmm")</f>
        <v>Oct</v>
      </c>
      <c r="X1277">
        <f t="shared" si="57"/>
        <v>-23.368100000000009</v>
      </c>
      <c r="Y1277" t="str">
        <f t="shared" si="58"/>
        <v>Loss</v>
      </c>
      <c r="Z1277" t="str">
        <f t="shared" si="59"/>
        <v>Medium</v>
      </c>
    </row>
    <row r="1278" spans="1:26" x14ac:dyDescent="0.35">
      <c r="A1278" s="1">
        <v>1277</v>
      </c>
      <c r="B1278" s="2" t="s">
        <v>3686</v>
      </c>
      <c r="C1278" s="3">
        <v>45202</v>
      </c>
      <c r="D1278" s="3">
        <v>45206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V1278">
        <f>YEAR(Table1[[#This Row],[Order Date]])</f>
        <v>2023</v>
      </c>
      <c r="W1278" t="str">
        <f>TEXT(Table1[[#This Row],[Order Date]],"mmm")</f>
        <v>Oct</v>
      </c>
      <c r="X1278">
        <f t="shared" si="57"/>
        <v>-6.3552000000000026</v>
      </c>
      <c r="Y1278" t="str">
        <f t="shared" si="58"/>
        <v>Loss</v>
      </c>
      <c r="Z1278" t="str">
        <f t="shared" si="59"/>
        <v>High</v>
      </c>
    </row>
    <row r="1279" spans="1:26" x14ac:dyDescent="0.35">
      <c r="A1279" s="1">
        <v>1278</v>
      </c>
      <c r="B1279" s="2" t="s">
        <v>3677</v>
      </c>
      <c r="C1279" s="3">
        <v>45202</v>
      </c>
      <c r="D1279" s="3">
        <v>45207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V1279">
        <f>YEAR(Table1[[#This Row],[Order Date]])</f>
        <v>2023</v>
      </c>
      <c r="W1279" t="str">
        <f>TEXT(Table1[[#This Row],[Order Date]],"mmm")</f>
        <v>Oct</v>
      </c>
      <c r="X1279">
        <f t="shared" si="57"/>
        <v>3.5857999999999848</v>
      </c>
      <c r="Y1279" t="str">
        <f t="shared" si="58"/>
        <v>Profit</v>
      </c>
      <c r="Z1279" t="str">
        <f t="shared" si="59"/>
        <v>Low</v>
      </c>
    </row>
    <row r="1280" spans="1:26" x14ac:dyDescent="0.35">
      <c r="A1280" s="1">
        <v>1279</v>
      </c>
      <c r="B1280" s="2" t="s">
        <v>3689</v>
      </c>
      <c r="C1280" s="3">
        <v>45202</v>
      </c>
      <c r="D1280" s="3">
        <v>45208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V1280">
        <f>YEAR(Table1[[#This Row],[Order Date]])</f>
        <v>2023</v>
      </c>
      <c r="W1280" t="str">
        <f>TEXT(Table1[[#This Row],[Order Date]],"mmm")</f>
        <v>Oct</v>
      </c>
      <c r="X1280">
        <f t="shared" si="57"/>
        <v>0.15480000000000013</v>
      </c>
      <c r="Y1280" t="str">
        <f t="shared" si="58"/>
        <v>Profit</v>
      </c>
      <c r="Z1280" t="str">
        <f t="shared" si="59"/>
        <v>Low</v>
      </c>
    </row>
    <row r="1281" spans="1:26" x14ac:dyDescent="0.35">
      <c r="A1281" s="1">
        <v>1280</v>
      </c>
      <c r="B1281" s="2" t="s">
        <v>3691</v>
      </c>
      <c r="C1281" s="3">
        <v>45202</v>
      </c>
      <c r="D1281" s="3">
        <v>45202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V1281">
        <f>YEAR(Table1[[#This Row],[Order Date]])</f>
        <v>2023</v>
      </c>
      <c r="W1281" t="str">
        <f>TEXT(Table1[[#This Row],[Order Date]],"mmm")</f>
        <v>Oct</v>
      </c>
      <c r="X1281">
        <f t="shared" si="57"/>
        <v>2.0993999999999993</v>
      </c>
      <c r="Y1281" t="str">
        <f t="shared" si="58"/>
        <v>Profit</v>
      </c>
      <c r="Z1281" t="str">
        <f t="shared" si="59"/>
        <v>Low</v>
      </c>
    </row>
    <row r="1282" spans="1:26" x14ac:dyDescent="0.35">
      <c r="A1282" s="1">
        <v>1281</v>
      </c>
      <c r="B1282" s="2" t="s">
        <v>3686</v>
      </c>
      <c r="C1282" s="3">
        <v>45202</v>
      </c>
      <c r="D1282" s="3">
        <v>45206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V1282">
        <f>YEAR(Table1[[#This Row],[Order Date]])</f>
        <v>2023</v>
      </c>
      <c r="W1282" t="str">
        <f>TEXT(Table1[[#This Row],[Order Date]],"mmm")</f>
        <v>Oct</v>
      </c>
      <c r="X1282">
        <f t="shared" ref="X1282:X1345" si="60">IFERROR(U1282/S1282,0)</f>
        <v>-1.0132000000000001</v>
      </c>
      <c r="Y1282" t="str">
        <f t="shared" ref="Y1282:Y1345" si="61">IF(U1282&gt;0,"Profit",IF(U1282&lt;0,"Loss","Break-even"))</f>
        <v>Loss</v>
      </c>
      <c r="Z1282" t="str">
        <f t="shared" ref="Z1282:Z1345" si="62">IF(T1282=0,"No Discount",IF(T1282&lt;=0.2,"Low",IF(T1282&lt;=0.4,"Medium","High")))</f>
        <v>High</v>
      </c>
    </row>
    <row r="1283" spans="1:26" x14ac:dyDescent="0.35">
      <c r="A1283" s="1">
        <v>1282</v>
      </c>
      <c r="B1283" s="2" t="s">
        <v>3691</v>
      </c>
      <c r="C1283" s="3">
        <v>45202</v>
      </c>
      <c r="D1283" s="3">
        <v>45202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V1283">
        <f>YEAR(Table1[[#This Row],[Order Date]])</f>
        <v>2023</v>
      </c>
      <c r="W1283" t="str">
        <f>TEXT(Table1[[#This Row],[Order Date]],"mmm")</f>
        <v>Oct</v>
      </c>
      <c r="X1283">
        <f t="shared" si="60"/>
        <v>0.97739999999999971</v>
      </c>
      <c r="Y1283" t="str">
        <f t="shared" si="61"/>
        <v>Profit</v>
      </c>
      <c r="Z1283" t="str">
        <f t="shared" si="62"/>
        <v>Low</v>
      </c>
    </row>
    <row r="1284" spans="1:26" x14ac:dyDescent="0.35">
      <c r="A1284" s="1">
        <v>1283</v>
      </c>
      <c r="B1284" s="2" t="s">
        <v>3686</v>
      </c>
      <c r="C1284" s="3">
        <v>45202</v>
      </c>
      <c r="D1284" s="3">
        <v>45206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V1284">
        <f>YEAR(Table1[[#This Row],[Order Date]])</f>
        <v>2023</v>
      </c>
      <c r="W1284" t="str">
        <f>TEXT(Table1[[#This Row],[Order Date]],"mmm")</f>
        <v>Oct</v>
      </c>
      <c r="X1284">
        <f t="shared" si="60"/>
        <v>-0.94200000000000006</v>
      </c>
      <c r="Y1284" t="str">
        <f t="shared" si="61"/>
        <v>Loss</v>
      </c>
      <c r="Z1284" t="str">
        <f t="shared" si="62"/>
        <v>Low</v>
      </c>
    </row>
    <row r="1285" spans="1:26" x14ac:dyDescent="0.35">
      <c r="A1285" s="1">
        <v>1284</v>
      </c>
      <c r="B1285" s="2" t="s">
        <v>3686</v>
      </c>
      <c r="C1285" s="3">
        <v>45202</v>
      </c>
      <c r="D1285" s="3">
        <v>45206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V1285">
        <f>YEAR(Table1[[#This Row],[Order Date]])</f>
        <v>2023</v>
      </c>
      <c r="W1285" t="str">
        <f>TEXT(Table1[[#This Row],[Order Date]],"mmm")</f>
        <v>Oct</v>
      </c>
      <c r="X1285">
        <f t="shared" si="60"/>
        <v>0.28959999999999991</v>
      </c>
      <c r="Y1285" t="str">
        <f t="shared" si="61"/>
        <v>Profit</v>
      </c>
      <c r="Z1285" t="str">
        <f t="shared" si="62"/>
        <v>Low</v>
      </c>
    </row>
    <row r="1286" spans="1:26" x14ac:dyDescent="0.35">
      <c r="A1286" s="1">
        <v>1285</v>
      </c>
      <c r="B1286" s="2" t="s">
        <v>3686</v>
      </c>
      <c r="C1286" s="3">
        <v>45202</v>
      </c>
      <c r="D1286" s="3">
        <v>45206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V1286">
        <f>YEAR(Table1[[#This Row],[Order Date]])</f>
        <v>2023</v>
      </c>
      <c r="W1286" t="str">
        <f>TEXT(Table1[[#This Row],[Order Date]],"mmm")</f>
        <v>Oct</v>
      </c>
      <c r="X1286">
        <f t="shared" si="60"/>
        <v>0.86239999999999983</v>
      </c>
      <c r="Y1286" t="str">
        <f t="shared" si="61"/>
        <v>Profit</v>
      </c>
      <c r="Z1286" t="str">
        <f t="shared" si="62"/>
        <v>Low</v>
      </c>
    </row>
    <row r="1287" spans="1:26" x14ac:dyDescent="0.35">
      <c r="A1287" s="1">
        <v>1286</v>
      </c>
      <c r="B1287" s="2" t="s">
        <v>3689</v>
      </c>
      <c r="C1287" s="3">
        <v>45202</v>
      </c>
      <c r="D1287" s="3">
        <v>45208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V1287">
        <f>YEAR(Table1[[#This Row],[Order Date]])</f>
        <v>2023</v>
      </c>
      <c r="W1287" t="str">
        <f>TEXT(Table1[[#This Row],[Order Date]],"mmm")</f>
        <v>Oct</v>
      </c>
      <c r="X1287">
        <f t="shared" si="60"/>
        <v>2.3087999999999997</v>
      </c>
      <c r="Y1287" t="str">
        <f t="shared" si="61"/>
        <v>Profit</v>
      </c>
      <c r="Z1287" t="str">
        <f t="shared" si="62"/>
        <v>Low</v>
      </c>
    </row>
    <row r="1288" spans="1:26" x14ac:dyDescent="0.35">
      <c r="A1288" s="1">
        <v>1287</v>
      </c>
      <c r="B1288" s="2" t="s">
        <v>3691</v>
      </c>
      <c r="C1288" s="3">
        <v>45202</v>
      </c>
      <c r="D1288" s="3">
        <v>45202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</v>
      </c>
      <c r="T1288" s="1">
        <v>0.2</v>
      </c>
      <c r="U1288" s="1">
        <v>-3.5622000000000043</v>
      </c>
      <c r="V1288">
        <f>YEAR(Table1[[#This Row],[Order Date]])</f>
        <v>2023</v>
      </c>
      <c r="W1288" t="str">
        <f>TEXT(Table1[[#This Row],[Order Date]],"mmm")</f>
        <v>Oct</v>
      </c>
      <c r="X1288">
        <f t="shared" si="60"/>
        <v>-1.1874000000000013</v>
      </c>
      <c r="Y1288" t="str">
        <f t="shared" si="61"/>
        <v>Loss</v>
      </c>
      <c r="Z1288" t="str">
        <f t="shared" si="62"/>
        <v>Low</v>
      </c>
    </row>
    <row r="1289" spans="1:26" x14ac:dyDescent="0.35">
      <c r="A1289" s="1">
        <v>1288</v>
      </c>
      <c r="B1289" s="2" t="s">
        <v>3700</v>
      </c>
      <c r="C1289" s="3">
        <v>45203</v>
      </c>
      <c r="D1289" s="3">
        <v>45205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</v>
      </c>
      <c r="T1289" s="1">
        <v>0.1</v>
      </c>
      <c r="U1289" s="1">
        <v>-6.5490000000000492</v>
      </c>
      <c r="V1289">
        <f>YEAR(Table1[[#This Row],[Order Date]])</f>
        <v>2023</v>
      </c>
      <c r="W1289" t="str">
        <f>TEXT(Table1[[#This Row],[Order Date]],"mmm")</f>
        <v>Oct</v>
      </c>
      <c r="X1289">
        <f t="shared" si="60"/>
        <v>-1.3098000000000098</v>
      </c>
      <c r="Y1289" t="str">
        <f t="shared" si="61"/>
        <v>Loss</v>
      </c>
      <c r="Z1289" t="str">
        <f t="shared" si="62"/>
        <v>Low</v>
      </c>
    </row>
    <row r="1290" spans="1:26" x14ac:dyDescent="0.35">
      <c r="A1290" s="1">
        <v>1289</v>
      </c>
      <c r="B1290" s="2" t="s">
        <v>3703</v>
      </c>
      <c r="C1290" s="3">
        <v>45203</v>
      </c>
      <c r="D1290" s="3">
        <v>45207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95.64800000000001</v>
      </c>
      <c r="S1290" s="1">
        <v>2</v>
      </c>
      <c r="T1290" s="1">
        <v>0.2</v>
      </c>
      <c r="U1290" s="1">
        <v>31.085599999999989</v>
      </c>
      <c r="V1290">
        <f>YEAR(Table1[[#This Row],[Order Date]])</f>
        <v>2023</v>
      </c>
      <c r="W1290" t="str">
        <f>TEXT(Table1[[#This Row],[Order Date]],"mmm")</f>
        <v>Oct</v>
      </c>
      <c r="X1290">
        <f t="shared" si="60"/>
        <v>15.542799999999994</v>
      </c>
      <c r="Y1290" t="str">
        <f t="shared" si="61"/>
        <v>Profit</v>
      </c>
      <c r="Z1290" t="str">
        <f t="shared" si="62"/>
        <v>Low</v>
      </c>
    </row>
    <row r="1291" spans="1:26" x14ac:dyDescent="0.35">
      <c r="A1291" s="1">
        <v>1290</v>
      </c>
      <c r="B1291" s="2" t="s">
        <v>3706</v>
      </c>
      <c r="C1291" s="3">
        <v>45203</v>
      </c>
      <c r="D1291" s="3">
        <v>45208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</v>
      </c>
      <c r="T1291" s="1">
        <v>0</v>
      </c>
      <c r="U1291" s="1">
        <v>13.742799999999999</v>
      </c>
      <c r="V1291">
        <f>YEAR(Table1[[#This Row],[Order Date]])</f>
        <v>2023</v>
      </c>
      <c r="W1291" t="str">
        <f>TEXT(Table1[[#This Row],[Order Date]],"mmm")</f>
        <v>Oct</v>
      </c>
      <c r="X1291">
        <f t="shared" si="60"/>
        <v>3.4356999999999998</v>
      </c>
      <c r="Y1291" t="str">
        <f t="shared" si="61"/>
        <v>Profit</v>
      </c>
      <c r="Z1291" t="str">
        <f t="shared" si="62"/>
        <v>No Discount</v>
      </c>
    </row>
    <row r="1292" spans="1:26" x14ac:dyDescent="0.35">
      <c r="A1292" s="1">
        <v>1291</v>
      </c>
      <c r="B1292" s="2" t="s">
        <v>3703</v>
      </c>
      <c r="C1292" s="3">
        <v>45203</v>
      </c>
      <c r="D1292" s="3">
        <v>45207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14.450000000000001</v>
      </c>
      <c r="S1292" s="1">
        <v>5</v>
      </c>
      <c r="T1292" s="1">
        <v>0</v>
      </c>
      <c r="U1292" s="1">
        <v>6.7915000000000001</v>
      </c>
      <c r="V1292">
        <f>YEAR(Table1[[#This Row],[Order Date]])</f>
        <v>2023</v>
      </c>
      <c r="W1292" t="str">
        <f>TEXT(Table1[[#This Row],[Order Date]],"mmm")</f>
        <v>Oct</v>
      </c>
      <c r="X1292">
        <f t="shared" si="60"/>
        <v>1.3583000000000001</v>
      </c>
      <c r="Y1292" t="str">
        <f t="shared" si="61"/>
        <v>Profit</v>
      </c>
      <c r="Z1292" t="str">
        <f t="shared" si="62"/>
        <v>No Discount</v>
      </c>
    </row>
    <row r="1293" spans="1:26" x14ac:dyDescent="0.35">
      <c r="A1293" s="1">
        <v>1292</v>
      </c>
      <c r="B1293" s="2" t="s">
        <v>3713</v>
      </c>
      <c r="C1293" s="3">
        <v>45204</v>
      </c>
      <c r="D1293" s="3">
        <v>45209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</v>
      </c>
      <c r="T1293" s="1">
        <v>0.2</v>
      </c>
      <c r="U1293" s="1">
        <v>11.489999999999991</v>
      </c>
      <c r="V1293">
        <f>YEAR(Table1[[#This Row],[Order Date]])</f>
        <v>2023</v>
      </c>
      <c r="W1293" t="str">
        <f>TEXT(Table1[[#This Row],[Order Date]],"mmm")</f>
        <v>Oct</v>
      </c>
      <c r="X1293">
        <f t="shared" si="60"/>
        <v>2.2979999999999983</v>
      </c>
      <c r="Y1293" t="str">
        <f t="shared" si="61"/>
        <v>Profit</v>
      </c>
      <c r="Z1293" t="str">
        <f t="shared" si="62"/>
        <v>Low</v>
      </c>
    </row>
    <row r="1294" spans="1:26" x14ac:dyDescent="0.35">
      <c r="A1294" s="1">
        <v>1293</v>
      </c>
      <c r="B1294" s="2" t="s">
        <v>3716</v>
      </c>
      <c r="C1294" s="3">
        <v>45204</v>
      </c>
      <c r="D1294" s="3">
        <v>45205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</v>
      </c>
      <c r="T1294" s="1">
        <v>0</v>
      </c>
      <c r="U1294" s="1">
        <v>34.992999999999995</v>
      </c>
      <c r="V1294">
        <f>YEAR(Table1[[#This Row],[Order Date]])</f>
        <v>2023</v>
      </c>
      <c r="W1294" t="str">
        <f>TEXT(Table1[[#This Row],[Order Date]],"mmm")</f>
        <v>Oct</v>
      </c>
      <c r="X1294">
        <f t="shared" si="60"/>
        <v>17.496499999999997</v>
      </c>
      <c r="Y1294" t="str">
        <f t="shared" si="61"/>
        <v>Profit</v>
      </c>
      <c r="Z1294" t="str">
        <f t="shared" si="62"/>
        <v>No Discount</v>
      </c>
    </row>
    <row r="1295" spans="1:26" x14ac:dyDescent="0.35">
      <c r="A1295" s="1">
        <v>1294</v>
      </c>
      <c r="B1295" s="2" t="s">
        <v>3717</v>
      </c>
      <c r="C1295" s="3">
        <v>45204</v>
      </c>
      <c r="D1295" s="3">
        <v>45209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7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>
        <v>435.17</v>
      </c>
      <c r="S1295" s="4">
        <v>4</v>
      </c>
      <c r="T1295" s="4">
        <v>0.2</v>
      </c>
      <c r="U1295" s="4">
        <v>-59.84</v>
      </c>
      <c r="V1295">
        <f>YEAR(Table1[[#This Row],[Order Date]])</f>
        <v>2023</v>
      </c>
      <c r="W1295" t="str">
        <f>TEXT(Table1[[#This Row],[Order Date]],"mmm")</f>
        <v>Oct</v>
      </c>
      <c r="X1295">
        <f t="shared" si="60"/>
        <v>-14.96</v>
      </c>
      <c r="Y1295" t="str">
        <f t="shared" si="61"/>
        <v>Loss</v>
      </c>
      <c r="Z1295" t="str">
        <f t="shared" si="62"/>
        <v>Low</v>
      </c>
    </row>
    <row r="1296" spans="1:26" x14ac:dyDescent="0.35">
      <c r="A1296" s="1">
        <v>1295</v>
      </c>
      <c r="B1296" s="2" t="s">
        <v>3717</v>
      </c>
      <c r="C1296" s="3">
        <v>45204</v>
      </c>
      <c r="D1296" s="3">
        <v>45209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>
        <v>72.900000000000006</v>
      </c>
      <c r="S1296" s="4">
        <v>5</v>
      </c>
      <c r="T1296" s="4">
        <v>0</v>
      </c>
      <c r="U1296" s="4">
        <v>26.97</v>
      </c>
      <c r="V1296">
        <f>YEAR(Table1[[#This Row],[Order Date]])</f>
        <v>2023</v>
      </c>
      <c r="W1296" t="str">
        <f>TEXT(Table1[[#This Row],[Order Date]],"mmm")</f>
        <v>Oct</v>
      </c>
      <c r="X1296">
        <f t="shared" si="60"/>
        <v>5.3940000000000001</v>
      </c>
      <c r="Y1296" t="str">
        <f t="shared" si="61"/>
        <v>Profit</v>
      </c>
      <c r="Z1296" t="str">
        <f t="shared" si="62"/>
        <v>No Discount</v>
      </c>
    </row>
    <row r="1297" spans="1:26" x14ac:dyDescent="0.35">
      <c r="A1297" s="1">
        <v>1296</v>
      </c>
      <c r="B1297" s="2" t="s">
        <v>3717</v>
      </c>
      <c r="C1297" s="3">
        <v>45204</v>
      </c>
      <c r="D1297" s="3">
        <v>45209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>
        <v>206.35</v>
      </c>
      <c r="S1297" s="4">
        <v>3</v>
      </c>
      <c r="T1297" s="4">
        <v>0.2</v>
      </c>
      <c r="U1297" s="4">
        <v>5.16</v>
      </c>
      <c r="V1297">
        <f>YEAR(Table1[[#This Row],[Order Date]])</f>
        <v>2023</v>
      </c>
      <c r="W1297" t="str">
        <f>TEXT(Table1[[#This Row],[Order Date]],"mmm")</f>
        <v>Oct</v>
      </c>
      <c r="X1297">
        <f t="shared" si="60"/>
        <v>1.72</v>
      </c>
      <c r="Y1297" t="str">
        <f t="shared" si="61"/>
        <v>Profit</v>
      </c>
      <c r="Z1297" t="str">
        <f t="shared" si="62"/>
        <v>Low</v>
      </c>
    </row>
    <row r="1298" spans="1:26" x14ac:dyDescent="0.35">
      <c r="A1298" s="1">
        <v>1297</v>
      </c>
      <c r="B1298" s="2" t="s">
        <v>3717</v>
      </c>
      <c r="C1298" s="3">
        <v>45204</v>
      </c>
      <c r="D1298" s="3">
        <v>45209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>
        <v>15.8</v>
      </c>
      <c r="S1298" s="4">
        <v>4</v>
      </c>
      <c r="T1298" s="4">
        <v>0</v>
      </c>
      <c r="U1298" s="4">
        <v>4.1100000000000003</v>
      </c>
      <c r="V1298">
        <f>YEAR(Table1[[#This Row],[Order Date]])</f>
        <v>2023</v>
      </c>
      <c r="W1298" t="str">
        <f>TEXT(Table1[[#This Row],[Order Date]],"mmm")</f>
        <v>Oct</v>
      </c>
      <c r="X1298">
        <f t="shared" si="60"/>
        <v>1.0275000000000001</v>
      </c>
      <c r="Y1298" t="str">
        <f t="shared" si="61"/>
        <v>Profit</v>
      </c>
      <c r="Z1298" t="str">
        <f t="shared" si="62"/>
        <v>No Discount</v>
      </c>
    </row>
    <row r="1299" spans="1:26" x14ac:dyDescent="0.35">
      <c r="A1299" s="1">
        <v>1298</v>
      </c>
      <c r="B1299" s="2" t="s">
        <v>3717</v>
      </c>
      <c r="C1299" s="3">
        <v>45204</v>
      </c>
      <c r="D1299" s="3">
        <v>45209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7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>
        <v>14.9</v>
      </c>
      <c r="S1299" s="4">
        <v>5</v>
      </c>
      <c r="T1299" s="4">
        <v>0</v>
      </c>
      <c r="U1299" s="4">
        <v>6.85</v>
      </c>
      <c r="V1299">
        <f>YEAR(Table1[[#This Row],[Order Date]])</f>
        <v>2023</v>
      </c>
      <c r="W1299" t="str">
        <f>TEXT(Table1[[#This Row],[Order Date]],"mmm")</f>
        <v>Oct</v>
      </c>
      <c r="X1299">
        <f t="shared" si="60"/>
        <v>1.3699999999999999</v>
      </c>
      <c r="Y1299" t="str">
        <f t="shared" si="61"/>
        <v>Profit</v>
      </c>
      <c r="Z1299" t="str">
        <f t="shared" si="62"/>
        <v>No Discount</v>
      </c>
    </row>
    <row r="1300" spans="1:26" x14ac:dyDescent="0.35">
      <c r="A1300" s="1">
        <v>1299</v>
      </c>
      <c r="B1300" s="2" t="s">
        <v>3717</v>
      </c>
      <c r="C1300" s="3">
        <v>45204</v>
      </c>
      <c r="D1300" s="3">
        <v>45209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>
        <v>7.99</v>
      </c>
      <c r="S1300" s="4">
        <v>1</v>
      </c>
      <c r="T1300" s="4">
        <v>0.2</v>
      </c>
      <c r="U1300" s="4">
        <v>2.7</v>
      </c>
      <c r="V1300">
        <f>YEAR(Table1[[#This Row],[Order Date]])</f>
        <v>2023</v>
      </c>
      <c r="W1300" t="str">
        <f>TEXT(Table1[[#This Row],[Order Date]],"mmm")</f>
        <v>Oct</v>
      </c>
      <c r="X1300">
        <f t="shared" si="60"/>
        <v>2.7</v>
      </c>
      <c r="Y1300" t="str">
        <f t="shared" si="61"/>
        <v>Profit</v>
      </c>
      <c r="Z1300" t="str">
        <f t="shared" si="62"/>
        <v>Low</v>
      </c>
    </row>
    <row r="1301" spans="1:26" x14ac:dyDescent="0.35">
      <c r="A1301" s="1">
        <v>1300</v>
      </c>
      <c r="B1301" s="2" t="s">
        <v>3727</v>
      </c>
      <c r="C1301" s="3">
        <v>45205</v>
      </c>
      <c r="D1301" s="3">
        <v>45207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</v>
      </c>
      <c r="T1301" s="1">
        <v>0</v>
      </c>
      <c r="U1301" s="1">
        <v>7.68</v>
      </c>
      <c r="V1301">
        <f>YEAR(Table1[[#This Row],[Order Date]])</f>
        <v>2023</v>
      </c>
      <c r="W1301" t="str">
        <f>TEXT(Table1[[#This Row],[Order Date]],"mmm")</f>
        <v>Oct</v>
      </c>
      <c r="X1301">
        <f t="shared" si="60"/>
        <v>3.84</v>
      </c>
      <c r="Y1301" t="str">
        <f t="shared" si="61"/>
        <v>Profit</v>
      </c>
      <c r="Z1301" t="str">
        <f t="shared" si="62"/>
        <v>No Discount</v>
      </c>
    </row>
    <row r="1302" spans="1:26" x14ac:dyDescent="0.35">
      <c r="A1302" s="1">
        <v>1301</v>
      </c>
      <c r="B1302" s="2" t="s">
        <v>3730</v>
      </c>
      <c r="C1302" s="3">
        <v>45205</v>
      </c>
      <c r="D1302" s="3">
        <v>45212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V1302">
        <f>YEAR(Table1[[#This Row],[Order Date]])</f>
        <v>2023</v>
      </c>
      <c r="W1302" t="str">
        <f>TEXT(Table1[[#This Row],[Order Date]],"mmm")</f>
        <v>Oct</v>
      </c>
      <c r="X1302">
        <f t="shared" si="60"/>
        <v>-2.727400000000002</v>
      </c>
      <c r="Y1302" t="str">
        <f t="shared" si="61"/>
        <v>Loss</v>
      </c>
      <c r="Z1302" t="str">
        <f t="shared" si="62"/>
        <v>Low</v>
      </c>
    </row>
    <row r="1303" spans="1:26" x14ac:dyDescent="0.35">
      <c r="A1303" s="1">
        <v>1302</v>
      </c>
      <c r="B1303" s="2" t="s">
        <v>3733</v>
      </c>
      <c r="C1303" s="3">
        <v>45205</v>
      </c>
      <c r="D1303" s="3">
        <v>45208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</v>
      </c>
      <c r="T1303" s="1">
        <v>0</v>
      </c>
      <c r="U1303" s="1">
        <v>54.087600000000009</v>
      </c>
      <c r="V1303">
        <f>YEAR(Table1[[#This Row],[Order Date]])</f>
        <v>2023</v>
      </c>
      <c r="W1303" t="str">
        <f>TEXT(Table1[[#This Row],[Order Date]],"mmm")</f>
        <v>Oct</v>
      </c>
      <c r="X1303">
        <f t="shared" si="60"/>
        <v>27.043800000000005</v>
      </c>
      <c r="Y1303" t="str">
        <f t="shared" si="61"/>
        <v>Profit</v>
      </c>
      <c r="Z1303" t="str">
        <f t="shared" si="62"/>
        <v>No Discount</v>
      </c>
    </row>
    <row r="1304" spans="1:26" x14ac:dyDescent="0.35">
      <c r="A1304" s="1">
        <v>1303</v>
      </c>
      <c r="B1304" s="2" t="s">
        <v>3737</v>
      </c>
      <c r="C1304" s="3">
        <v>45205</v>
      </c>
      <c r="D1304" s="3">
        <v>45209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</v>
      </c>
      <c r="T1304" s="1">
        <v>0</v>
      </c>
      <c r="U1304" s="1">
        <v>1.9088999999999996</v>
      </c>
      <c r="V1304">
        <f>YEAR(Table1[[#This Row],[Order Date]])</f>
        <v>2023</v>
      </c>
      <c r="W1304" t="str">
        <f>TEXT(Table1[[#This Row],[Order Date]],"mmm")</f>
        <v>Oct</v>
      </c>
      <c r="X1304">
        <f t="shared" si="60"/>
        <v>0.63629999999999987</v>
      </c>
      <c r="Y1304" t="str">
        <f t="shared" si="61"/>
        <v>Profit</v>
      </c>
      <c r="Z1304" t="str">
        <f t="shared" si="62"/>
        <v>No Discount</v>
      </c>
    </row>
    <row r="1305" spans="1:26" x14ac:dyDescent="0.35">
      <c r="A1305" s="1">
        <v>1304</v>
      </c>
      <c r="B1305" s="2" t="s">
        <v>3740</v>
      </c>
      <c r="C1305" s="3">
        <v>45206</v>
      </c>
      <c r="D1305" s="3">
        <v>45212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V1305">
        <f>YEAR(Table1[[#This Row],[Order Date]])</f>
        <v>2023</v>
      </c>
      <c r="W1305" t="str">
        <f>TEXT(Table1[[#This Row],[Order Date]],"mmm")</f>
        <v>Oct</v>
      </c>
      <c r="X1305">
        <f t="shared" si="60"/>
        <v>4.2224000000000004</v>
      </c>
      <c r="Y1305" t="str">
        <f t="shared" si="61"/>
        <v>Profit</v>
      </c>
      <c r="Z1305" t="str">
        <f t="shared" si="62"/>
        <v>Low</v>
      </c>
    </row>
    <row r="1306" spans="1:26" x14ac:dyDescent="0.35">
      <c r="A1306" s="1">
        <v>1305</v>
      </c>
      <c r="B1306" s="2" t="s">
        <v>3741</v>
      </c>
      <c r="C1306" s="3">
        <v>45206</v>
      </c>
      <c r="D1306" s="3">
        <v>45211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</v>
      </c>
      <c r="T1306" s="1">
        <v>0.2</v>
      </c>
      <c r="U1306" s="1">
        <v>10.744000000000007</v>
      </c>
      <c r="V1306">
        <f>YEAR(Table1[[#This Row],[Order Date]])</f>
        <v>2023</v>
      </c>
      <c r="W1306" t="str">
        <f>TEXT(Table1[[#This Row],[Order Date]],"mmm")</f>
        <v>Oct</v>
      </c>
      <c r="X1306">
        <f t="shared" si="60"/>
        <v>1.0744000000000007</v>
      </c>
      <c r="Y1306" t="str">
        <f t="shared" si="61"/>
        <v>Profit</v>
      </c>
      <c r="Z1306" t="str">
        <f t="shared" si="62"/>
        <v>Low</v>
      </c>
    </row>
    <row r="1307" spans="1:26" x14ac:dyDescent="0.35">
      <c r="A1307" s="1">
        <v>1306</v>
      </c>
      <c r="B1307" s="2" t="s">
        <v>3742</v>
      </c>
      <c r="C1307" s="3">
        <v>45207</v>
      </c>
      <c r="D1307" s="3">
        <v>45212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</v>
      </c>
      <c r="T1307" s="1">
        <v>0</v>
      </c>
      <c r="U1307" s="1">
        <v>55.763999999999996</v>
      </c>
      <c r="V1307">
        <f>YEAR(Table1[[#This Row],[Order Date]])</f>
        <v>2023</v>
      </c>
      <c r="W1307" t="str">
        <f>TEXT(Table1[[#This Row],[Order Date]],"mmm")</f>
        <v>Oct</v>
      </c>
      <c r="X1307">
        <f t="shared" si="60"/>
        <v>13.940999999999999</v>
      </c>
      <c r="Y1307" t="str">
        <f t="shared" si="61"/>
        <v>Profit</v>
      </c>
      <c r="Z1307" t="str">
        <f t="shared" si="62"/>
        <v>No Discount</v>
      </c>
    </row>
    <row r="1308" spans="1:26" x14ac:dyDescent="0.35">
      <c r="A1308" s="1">
        <v>1307</v>
      </c>
      <c r="B1308" s="2" t="s">
        <v>3745</v>
      </c>
      <c r="C1308" s="3">
        <v>45207</v>
      </c>
      <c r="D1308" s="3">
        <v>45207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V1308">
        <f>YEAR(Table1[[#This Row],[Order Date]])</f>
        <v>2023</v>
      </c>
      <c r="W1308" t="str">
        <f>TEXT(Table1[[#This Row],[Order Date]],"mmm")</f>
        <v>Oct</v>
      </c>
      <c r="X1308">
        <f t="shared" si="60"/>
        <v>1.6625999999999994</v>
      </c>
      <c r="Y1308" t="str">
        <f t="shared" si="61"/>
        <v>Profit</v>
      </c>
      <c r="Z1308" t="str">
        <f t="shared" si="62"/>
        <v>Low</v>
      </c>
    </row>
    <row r="1309" spans="1:26" x14ac:dyDescent="0.35">
      <c r="A1309" s="1">
        <v>1308</v>
      </c>
      <c r="B1309" s="2" t="s">
        <v>3748</v>
      </c>
      <c r="C1309" s="3">
        <v>45208</v>
      </c>
      <c r="D1309" s="3">
        <v>45213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144.60000000000002</v>
      </c>
      <c r="S1309" s="1">
        <v>3</v>
      </c>
      <c r="T1309" s="1">
        <v>0</v>
      </c>
      <c r="U1309" s="1">
        <v>41.933999999999983</v>
      </c>
      <c r="V1309">
        <f>YEAR(Table1[[#This Row],[Order Date]])</f>
        <v>2023</v>
      </c>
      <c r="W1309" t="str">
        <f>TEXT(Table1[[#This Row],[Order Date]],"mmm")</f>
        <v>Oct</v>
      </c>
      <c r="X1309">
        <f t="shared" si="60"/>
        <v>13.977999999999994</v>
      </c>
      <c r="Y1309" t="str">
        <f t="shared" si="61"/>
        <v>Profit</v>
      </c>
      <c r="Z1309" t="str">
        <f t="shared" si="62"/>
        <v>No Discount</v>
      </c>
    </row>
    <row r="1310" spans="1:26" x14ac:dyDescent="0.35">
      <c r="A1310" s="1">
        <v>1309</v>
      </c>
      <c r="B1310" s="2" t="s">
        <v>3749</v>
      </c>
      <c r="C1310" s="3">
        <v>45208</v>
      </c>
      <c r="D1310" s="3">
        <v>45214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V1310">
        <f>YEAR(Table1[[#This Row],[Order Date]])</f>
        <v>2023</v>
      </c>
      <c r="W1310" t="str">
        <f>TEXT(Table1[[#This Row],[Order Date]],"mmm")</f>
        <v>Oct</v>
      </c>
      <c r="X1310">
        <f t="shared" si="60"/>
        <v>15.534399999999998</v>
      </c>
      <c r="Y1310" t="str">
        <f t="shared" si="61"/>
        <v>Profit</v>
      </c>
      <c r="Z1310" t="str">
        <f t="shared" si="62"/>
        <v>Low</v>
      </c>
    </row>
    <row r="1311" spans="1:26" x14ac:dyDescent="0.35">
      <c r="A1311" s="1">
        <v>1310</v>
      </c>
      <c r="B1311" s="2" t="s">
        <v>3748</v>
      </c>
      <c r="C1311" s="3">
        <v>45208</v>
      </c>
      <c r="D1311" s="3">
        <v>45213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V1311">
        <f>YEAR(Table1[[#This Row],[Order Date]])</f>
        <v>2023</v>
      </c>
      <c r="W1311" t="str">
        <f>TEXT(Table1[[#This Row],[Order Date]],"mmm")</f>
        <v>Oct</v>
      </c>
      <c r="X1311">
        <f t="shared" si="60"/>
        <v>-2.9985000000000022</v>
      </c>
      <c r="Y1311" t="str">
        <f t="shared" si="61"/>
        <v>Loss</v>
      </c>
      <c r="Z1311" t="str">
        <f t="shared" si="62"/>
        <v>Low</v>
      </c>
    </row>
    <row r="1312" spans="1:26" x14ac:dyDescent="0.35">
      <c r="A1312" s="1">
        <v>1311</v>
      </c>
      <c r="B1312" s="2" t="s">
        <v>3750</v>
      </c>
      <c r="C1312" s="3">
        <v>45209</v>
      </c>
      <c r="D1312" s="3">
        <v>45209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</v>
      </c>
      <c r="T1312" s="1">
        <v>0.2</v>
      </c>
      <c r="U1312" s="1">
        <v>13.764599999999994</v>
      </c>
      <c r="V1312">
        <f>YEAR(Table1[[#This Row],[Order Date]])</f>
        <v>2023</v>
      </c>
      <c r="W1312" t="str">
        <f>TEXT(Table1[[#This Row],[Order Date]],"mmm")</f>
        <v>Oct</v>
      </c>
      <c r="X1312">
        <f t="shared" si="60"/>
        <v>4.5881999999999978</v>
      </c>
      <c r="Y1312" t="str">
        <f t="shared" si="61"/>
        <v>Profit</v>
      </c>
      <c r="Z1312" t="str">
        <f t="shared" si="62"/>
        <v>Low</v>
      </c>
    </row>
    <row r="1313" spans="1:26" x14ac:dyDescent="0.35">
      <c r="A1313" s="1">
        <v>1312</v>
      </c>
      <c r="B1313" s="2" t="s">
        <v>3754</v>
      </c>
      <c r="C1313" s="3">
        <v>45209</v>
      </c>
      <c r="D1313" s="3">
        <v>45213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</v>
      </c>
      <c r="T1313" s="1">
        <v>0.2</v>
      </c>
      <c r="U1313" s="1">
        <v>3.5153999999999979</v>
      </c>
      <c r="V1313">
        <f>YEAR(Table1[[#This Row],[Order Date]])</f>
        <v>2023</v>
      </c>
      <c r="W1313" t="str">
        <f>TEXT(Table1[[#This Row],[Order Date]],"mmm")</f>
        <v>Oct</v>
      </c>
      <c r="X1313">
        <f t="shared" si="60"/>
        <v>0.50219999999999965</v>
      </c>
      <c r="Y1313" t="str">
        <f t="shared" si="61"/>
        <v>Profit</v>
      </c>
      <c r="Z1313" t="str">
        <f t="shared" si="62"/>
        <v>Low</v>
      </c>
    </row>
    <row r="1314" spans="1:26" x14ac:dyDescent="0.35">
      <c r="A1314" s="1">
        <v>1313</v>
      </c>
      <c r="B1314" s="2" t="s">
        <v>3755</v>
      </c>
      <c r="C1314" s="3">
        <v>45209</v>
      </c>
      <c r="D1314" s="3">
        <v>45209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255.84999999999997</v>
      </c>
      <c r="S1314" s="1">
        <v>7</v>
      </c>
      <c r="T1314" s="1">
        <v>0</v>
      </c>
      <c r="U1314" s="1">
        <v>112.57400000000001</v>
      </c>
      <c r="V1314">
        <f>YEAR(Table1[[#This Row],[Order Date]])</f>
        <v>2023</v>
      </c>
      <c r="W1314" t="str">
        <f>TEXT(Table1[[#This Row],[Order Date]],"mmm")</f>
        <v>Oct</v>
      </c>
      <c r="X1314">
        <f t="shared" si="60"/>
        <v>16.082000000000001</v>
      </c>
      <c r="Y1314" t="str">
        <f t="shared" si="61"/>
        <v>Profit</v>
      </c>
      <c r="Z1314" t="str">
        <f t="shared" si="62"/>
        <v>No Discount</v>
      </c>
    </row>
    <row r="1315" spans="1:26" x14ac:dyDescent="0.35">
      <c r="A1315" s="1">
        <v>1314</v>
      </c>
      <c r="B1315" s="2" t="s">
        <v>3760</v>
      </c>
      <c r="C1315" s="3">
        <v>45209</v>
      </c>
      <c r="D1315" s="3">
        <v>45209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V1315">
        <f>YEAR(Table1[[#This Row],[Order Date]])</f>
        <v>2023</v>
      </c>
      <c r="W1315" t="str">
        <f>TEXT(Table1[[#This Row],[Order Date]],"mmm")</f>
        <v>Oct</v>
      </c>
      <c r="X1315">
        <f t="shared" si="60"/>
        <v>-6.6967999999999996</v>
      </c>
      <c r="Y1315" t="str">
        <f t="shared" si="61"/>
        <v>Loss</v>
      </c>
      <c r="Z1315" t="str">
        <f t="shared" si="62"/>
        <v>High</v>
      </c>
    </row>
    <row r="1316" spans="1:26" x14ac:dyDescent="0.35">
      <c r="A1316" s="1">
        <v>1315</v>
      </c>
      <c r="B1316" s="2" t="s">
        <v>3761</v>
      </c>
      <c r="C1316" s="3">
        <v>45209</v>
      </c>
      <c r="D1316" s="3">
        <v>45214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V1316">
        <f>YEAR(Table1[[#This Row],[Order Date]])</f>
        <v>2023</v>
      </c>
      <c r="W1316" t="str">
        <f>TEXT(Table1[[#This Row],[Order Date]],"mmm")</f>
        <v>Oct</v>
      </c>
      <c r="X1316">
        <f t="shared" si="60"/>
        <v>-1.5715000000000008</v>
      </c>
      <c r="Y1316" t="str">
        <f t="shared" si="61"/>
        <v>Loss</v>
      </c>
      <c r="Z1316" t="str">
        <f t="shared" si="62"/>
        <v>High</v>
      </c>
    </row>
    <row r="1317" spans="1:26" x14ac:dyDescent="0.35">
      <c r="A1317" s="1">
        <v>1316</v>
      </c>
      <c r="B1317" s="2" t="s">
        <v>3761</v>
      </c>
      <c r="C1317" s="3">
        <v>45209</v>
      </c>
      <c r="D1317" s="3">
        <v>45214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V1317">
        <f>YEAR(Table1[[#This Row],[Order Date]])</f>
        <v>2023</v>
      </c>
      <c r="W1317" t="str">
        <f>TEXT(Table1[[#This Row],[Order Date]],"mmm")</f>
        <v>Oct</v>
      </c>
      <c r="X1317">
        <f t="shared" si="60"/>
        <v>-3.8336000000000019</v>
      </c>
      <c r="Y1317" t="str">
        <f t="shared" si="61"/>
        <v>Loss</v>
      </c>
      <c r="Z1317" t="str">
        <f t="shared" si="62"/>
        <v>High</v>
      </c>
    </row>
    <row r="1318" spans="1:26" x14ac:dyDescent="0.35">
      <c r="A1318" s="1">
        <v>1317</v>
      </c>
      <c r="B1318" s="2" t="s">
        <v>3750</v>
      </c>
      <c r="C1318" s="3">
        <v>45209</v>
      </c>
      <c r="D1318" s="3">
        <v>45209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  <c r="V1318">
        <f>YEAR(Table1[[#This Row],[Order Date]])</f>
        <v>2023</v>
      </c>
      <c r="W1318" t="str">
        <f>TEXT(Table1[[#This Row],[Order Date]],"mmm")</f>
        <v>Oct</v>
      </c>
      <c r="X1318">
        <f t="shared" si="60"/>
        <v>3.7435999999999998</v>
      </c>
      <c r="Y1318" t="str">
        <f t="shared" si="61"/>
        <v>Profit</v>
      </c>
      <c r="Z1318" t="str">
        <f t="shared" si="62"/>
        <v>No Discount</v>
      </c>
    </row>
    <row r="1319" spans="1:26" x14ac:dyDescent="0.35">
      <c r="A1319" s="1">
        <v>1318</v>
      </c>
      <c r="B1319" s="2" t="s">
        <v>3760</v>
      </c>
      <c r="C1319" s="3">
        <v>45209</v>
      </c>
      <c r="D1319" s="3">
        <v>45209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V1319">
        <f>YEAR(Table1[[#This Row],[Order Date]])</f>
        <v>2023</v>
      </c>
      <c r="W1319" t="str">
        <f>TEXT(Table1[[#This Row],[Order Date]],"mmm")</f>
        <v>Oct</v>
      </c>
      <c r="X1319">
        <f t="shared" si="60"/>
        <v>-35.69789999999999</v>
      </c>
      <c r="Y1319" t="str">
        <f t="shared" si="61"/>
        <v>Loss</v>
      </c>
      <c r="Z1319" t="str">
        <f t="shared" si="62"/>
        <v>High</v>
      </c>
    </row>
    <row r="1320" spans="1:26" x14ac:dyDescent="0.35">
      <c r="A1320" s="1">
        <v>1319</v>
      </c>
      <c r="B1320" s="2" t="s">
        <v>3761</v>
      </c>
      <c r="C1320" s="3">
        <v>45209</v>
      </c>
      <c r="D1320" s="3">
        <v>45214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V1320">
        <f>YEAR(Table1[[#This Row],[Order Date]])</f>
        <v>2023</v>
      </c>
      <c r="W1320" t="str">
        <f>TEXT(Table1[[#This Row],[Order Date]],"mmm")</f>
        <v>Oct</v>
      </c>
      <c r="X1320">
        <f t="shared" si="60"/>
        <v>11.999200000000002</v>
      </c>
      <c r="Y1320" t="str">
        <f t="shared" si="61"/>
        <v>Profit</v>
      </c>
      <c r="Z1320" t="str">
        <f t="shared" si="62"/>
        <v>Low</v>
      </c>
    </row>
    <row r="1321" spans="1:26" x14ac:dyDescent="0.35">
      <c r="A1321" s="1">
        <v>1320</v>
      </c>
      <c r="B1321" s="2" t="s">
        <v>3761</v>
      </c>
      <c r="C1321" s="3">
        <v>45209</v>
      </c>
      <c r="D1321" s="3">
        <v>45214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V1321">
        <f>YEAR(Table1[[#This Row],[Order Date]])</f>
        <v>2023</v>
      </c>
      <c r="W1321" t="str">
        <f>TEXT(Table1[[#This Row],[Order Date]],"mmm")</f>
        <v>Oct</v>
      </c>
      <c r="X1321">
        <f t="shared" si="60"/>
        <v>9.4492999999999938</v>
      </c>
      <c r="Y1321" t="str">
        <f t="shared" si="61"/>
        <v>Profit</v>
      </c>
      <c r="Z1321" t="str">
        <f t="shared" si="62"/>
        <v>Low</v>
      </c>
    </row>
    <row r="1322" spans="1:26" x14ac:dyDescent="0.35">
      <c r="A1322" s="1">
        <v>1321</v>
      </c>
      <c r="B1322" s="2" t="s">
        <v>3766</v>
      </c>
      <c r="C1322" s="3">
        <v>45210</v>
      </c>
      <c r="D1322" s="3">
        <v>45212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V1322">
        <f>YEAR(Table1[[#This Row],[Order Date]])</f>
        <v>2023</v>
      </c>
      <c r="W1322" t="str">
        <f>TEXT(Table1[[#This Row],[Order Date]],"mmm")</f>
        <v>Oct</v>
      </c>
      <c r="X1322">
        <f t="shared" si="60"/>
        <v>-32.517600000000023</v>
      </c>
      <c r="Y1322" t="str">
        <f t="shared" si="61"/>
        <v>Loss</v>
      </c>
      <c r="Z1322" t="str">
        <f t="shared" si="62"/>
        <v>Low</v>
      </c>
    </row>
    <row r="1323" spans="1:26" x14ac:dyDescent="0.35">
      <c r="A1323" s="1">
        <v>1322</v>
      </c>
      <c r="B1323" s="2" t="s">
        <v>3772</v>
      </c>
      <c r="C1323" s="3">
        <v>45210</v>
      </c>
      <c r="D1323" s="3">
        <v>45215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</v>
      </c>
      <c r="T1323" s="1">
        <v>0</v>
      </c>
      <c r="U1323" s="1">
        <v>19.040999999999997</v>
      </c>
      <c r="V1323">
        <f>YEAR(Table1[[#This Row],[Order Date]])</f>
        <v>2023</v>
      </c>
      <c r="W1323" t="str">
        <f>TEXT(Table1[[#This Row],[Order Date]],"mmm")</f>
        <v>Oct</v>
      </c>
      <c r="X1323">
        <f t="shared" si="60"/>
        <v>1.7309999999999997</v>
      </c>
      <c r="Y1323" t="str">
        <f t="shared" si="61"/>
        <v>Profit</v>
      </c>
      <c r="Z1323" t="str">
        <f t="shared" si="62"/>
        <v>No Discount</v>
      </c>
    </row>
    <row r="1324" spans="1:26" x14ac:dyDescent="0.35">
      <c r="A1324" s="1">
        <v>1323</v>
      </c>
      <c r="B1324" s="2" t="s">
        <v>3775</v>
      </c>
      <c r="C1324" s="3">
        <v>45210</v>
      </c>
      <c r="D1324" s="3">
        <v>45214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</v>
      </c>
      <c r="T1324" s="1">
        <v>0</v>
      </c>
      <c r="U1324" s="1">
        <v>3.9248000000000003</v>
      </c>
      <c r="V1324">
        <f>YEAR(Table1[[#This Row],[Order Date]])</f>
        <v>2023</v>
      </c>
      <c r="W1324" t="str">
        <f>TEXT(Table1[[#This Row],[Order Date]],"mmm")</f>
        <v>Oct</v>
      </c>
      <c r="X1324">
        <f t="shared" si="60"/>
        <v>0.98120000000000007</v>
      </c>
      <c r="Y1324" t="str">
        <f t="shared" si="61"/>
        <v>Profit</v>
      </c>
      <c r="Z1324" t="str">
        <f t="shared" si="62"/>
        <v>No Discount</v>
      </c>
    </row>
    <row r="1325" spans="1:26" x14ac:dyDescent="0.35">
      <c r="A1325" s="1">
        <v>1324</v>
      </c>
      <c r="B1325" s="2" t="s">
        <v>3778</v>
      </c>
      <c r="C1325" s="3">
        <v>45210</v>
      </c>
      <c r="D1325" s="3">
        <v>45214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  <c r="V1325">
        <f>YEAR(Table1[[#This Row],[Order Date]])</f>
        <v>2023</v>
      </c>
      <c r="W1325" t="str">
        <f>TEXT(Table1[[#This Row],[Order Date]],"mmm")</f>
        <v>Oct</v>
      </c>
      <c r="X1325">
        <f t="shared" si="60"/>
        <v>3.7435999999999998</v>
      </c>
      <c r="Y1325" t="str">
        <f t="shared" si="61"/>
        <v>Profit</v>
      </c>
      <c r="Z1325" t="str">
        <f t="shared" si="62"/>
        <v>No Discount</v>
      </c>
    </row>
    <row r="1326" spans="1:26" x14ac:dyDescent="0.35">
      <c r="A1326" s="1">
        <v>1325</v>
      </c>
      <c r="B1326" s="2" t="s">
        <v>3779</v>
      </c>
      <c r="C1326" s="3">
        <v>45210</v>
      </c>
      <c r="D1326" s="3">
        <v>45214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V1326">
        <f>YEAR(Table1[[#This Row],[Order Date]])</f>
        <v>2023</v>
      </c>
      <c r="W1326" t="str">
        <f>TEXT(Table1[[#This Row],[Order Date]],"mmm")</f>
        <v>Oct</v>
      </c>
      <c r="X1326">
        <f t="shared" si="60"/>
        <v>22.661099999999994</v>
      </c>
      <c r="Y1326" t="str">
        <f t="shared" si="61"/>
        <v>Profit</v>
      </c>
      <c r="Z1326" t="str">
        <f t="shared" si="62"/>
        <v>Low</v>
      </c>
    </row>
    <row r="1327" spans="1:26" x14ac:dyDescent="0.35">
      <c r="A1327" s="1">
        <v>1326</v>
      </c>
      <c r="B1327" s="2" t="s">
        <v>3775</v>
      </c>
      <c r="C1327" s="3">
        <v>45210</v>
      </c>
      <c r="D1327" s="3">
        <v>45214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</v>
      </c>
      <c r="T1327" s="1">
        <v>0</v>
      </c>
      <c r="U1327" s="1">
        <v>3.4356999999999998</v>
      </c>
      <c r="V1327">
        <f>YEAR(Table1[[#This Row],[Order Date]])</f>
        <v>2023</v>
      </c>
      <c r="W1327" t="str">
        <f>TEXT(Table1[[#This Row],[Order Date]],"mmm")</f>
        <v>Oct</v>
      </c>
      <c r="X1327">
        <f t="shared" si="60"/>
        <v>3.4356999999999998</v>
      </c>
      <c r="Y1327" t="str">
        <f t="shared" si="61"/>
        <v>Profit</v>
      </c>
      <c r="Z1327" t="str">
        <f t="shared" si="62"/>
        <v>No Discount</v>
      </c>
    </row>
    <row r="1328" spans="1:26" x14ac:dyDescent="0.35">
      <c r="A1328" s="1">
        <v>1327</v>
      </c>
      <c r="B1328" s="2" t="s">
        <v>3766</v>
      </c>
      <c r="C1328" s="3">
        <v>45210</v>
      </c>
      <c r="D1328" s="3">
        <v>45212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</v>
      </c>
      <c r="T1328" s="1">
        <v>0</v>
      </c>
      <c r="U1328" s="1">
        <v>8.299199999999999</v>
      </c>
      <c r="V1328">
        <f>YEAR(Table1[[#This Row],[Order Date]])</f>
        <v>2023</v>
      </c>
      <c r="W1328" t="str">
        <f>TEXT(Table1[[#This Row],[Order Date]],"mmm")</f>
        <v>Oct</v>
      </c>
      <c r="X1328">
        <f t="shared" si="60"/>
        <v>2.0747999999999998</v>
      </c>
      <c r="Y1328" t="str">
        <f t="shared" si="61"/>
        <v>Profit</v>
      </c>
      <c r="Z1328" t="str">
        <f t="shared" si="62"/>
        <v>No Discount</v>
      </c>
    </row>
    <row r="1329" spans="1:26" x14ac:dyDescent="0.35">
      <c r="A1329" s="1">
        <v>1328</v>
      </c>
      <c r="B1329" s="2" t="s">
        <v>3779</v>
      </c>
      <c r="C1329" s="3">
        <v>45210</v>
      </c>
      <c r="D1329" s="3">
        <v>45214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</v>
      </c>
      <c r="T1329" s="1">
        <v>0.2</v>
      </c>
      <c r="U1329" s="1">
        <v>10.571399999999983</v>
      </c>
      <c r="V1329">
        <f>YEAR(Table1[[#This Row],[Order Date]])</f>
        <v>2023</v>
      </c>
      <c r="W1329" t="str">
        <f>TEXT(Table1[[#This Row],[Order Date]],"mmm")</f>
        <v>Oct</v>
      </c>
      <c r="X1329">
        <f t="shared" si="60"/>
        <v>5.2856999999999914</v>
      </c>
      <c r="Y1329" t="str">
        <f t="shared" si="61"/>
        <v>Profit</v>
      </c>
      <c r="Z1329" t="str">
        <f t="shared" si="62"/>
        <v>Low</v>
      </c>
    </row>
    <row r="1330" spans="1:26" x14ac:dyDescent="0.35">
      <c r="A1330" s="1">
        <v>1329</v>
      </c>
      <c r="B1330" s="2" t="s">
        <v>3772</v>
      </c>
      <c r="C1330" s="3">
        <v>45210</v>
      </c>
      <c r="D1330" s="3">
        <v>45215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</v>
      </c>
      <c r="S1330" s="1">
        <v>5</v>
      </c>
      <c r="T1330" s="1">
        <v>0</v>
      </c>
      <c r="U1330" s="1">
        <v>58.649999999999984</v>
      </c>
      <c r="V1330">
        <f>YEAR(Table1[[#This Row],[Order Date]])</f>
        <v>2023</v>
      </c>
      <c r="W1330" t="str">
        <f>TEXT(Table1[[#This Row],[Order Date]],"mmm")</f>
        <v>Oct</v>
      </c>
      <c r="X1330">
        <f t="shared" si="60"/>
        <v>11.729999999999997</v>
      </c>
      <c r="Y1330" t="str">
        <f t="shared" si="61"/>
        <v>Profit</v>
      </c>
      <c r="Z1330" t="str">
        <f t="shared" si="62"/>
        <v>No Discount</v>
      </c>
    </row>
    <row r="1331" spans="1:26" x14ac:dyDescent="0.35">
      <c r="A1331" s="1">
        <v>1330</v>
      </c>
      <c r="B1331" s="2" t="s">
        <v>3788</v>
      </c>
      <c r="C1331" s="3">
        <v>45211</v>
      </c>
      <c r="D1331" s="3">
        <v>45215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</v>
      </c>
      <c r="T1331" s="1">
        <v>0</v>
      </c>
      <c r="U1331" s="1">
        <v>4.1720000000000006</v>
      </c>
      <c r="V1331">
        <f>YEAR(Table1[[#This Row],[Order Date]])</f>
        <v>2023</v>
      </c>
      <c r="W1331" t="str">
        <f>TEXT(Table1[[#This Row],[Order Date]],"mmm")</f>
        <v>Oct</v>
      </c>
      <c r="X1331">
        <f t="shared" si="60"/>
        <v>0.83440000000000014</v>
      </c>
      <c r="Y1331" t="str">
        <f t="shared" si="61"/>
        <v>Profit</v>
      </c>
      <c r="Z1331" t="str">
        <f t="shared" si="62"/>
        <v>No Discount</v>
      </c>
    </row>
    <row r="1332" spans="1:26" x14ac:dyDescent="0.35">
      <c r="A1332" s="1">
        <v>1331</v>
      </c>
      <c r="B1332" s="2" t="s">
        <v>3788</v>
      </c>
      <c r="C1332" s="3">
        <v>45211</v>
      </c>
      <c r="D1332" s="3">
        <v>45215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</v>
      </c>
      <c r="T1332" s="1">
        <v>0</v>
      </c>
      <c r="U1332" s="1">
        <v>6.2030999999999992</v>
      </c>
      <c r="V1332">
        <f>YEAR(Table1[[#This Row],[Order Date]])</f>
        <v>2023</v>
      </c>
      <c r="W1332" t="str">
        <f>TEXT(Table1[[#This Row],[Order Date]],"mmm")</f>
        <v>Oct</v>
      </c>
      <c r="X1332">
        <f t="shared" si="60"/>
        <v>6.2030999999999992</v>
      </c>
      <c r="Y1332" t="str">
        <f t="shared" si="61"/>
        <v>Profit</v>
      </c>
      <c r="Z1332" t="str">
        <f t="shared" si="62"/>
        <v>No Discount</v>
      </c>
    </row>
    <row r="1333" spans="1:26" x14ac:dyDescent="0.35">
      <c r="A1333" s="1">
        <v>1332</v>
      </c>
      <c r="B1333" s="2" t="s">
        <v>3791</v>
      </c>
      <c r="C1333" s="3">
        <v>45211</v>
      </c>
      <c r="D1333" s="3">
        <v>45216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V1333">
        <f>YEAR(Table1[[#This Row],[Order Date]])</f>
        <v>2023</v>
      </c>
      <c r="W1333" t="str">
        <f>TEXT(Table1[[#This Row],[Order Date]],"mmm")</f>
        <v>Oct</v>
      </c>
      <c r="X1333">
        <f t="shared" si="60"/>
        <v>1.2509999999999986</v>
      </c>
      <c r="Y1333" t="str">
        <f t="shared" si="61"/>
        <v>Profit</v>
      </c>
      <c r="Z1333" t="str">
        <f t="shared" si="62"/>
        <v>Low</v>
      </c>
    </row>
    <row r="1334" spans="1:26" x14ac:dyDescent="0.35">
      <c r="A1334" s="1">
        <v>1333</v>
      </c>
      <c r="B1334" s="2" t="s">
        <v>3796</v>
      </c>
      <c r="C1334" s="3">
        <v>45212</v>
      </c>
      <c r="D1334" s="3">
        <v>45217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</v>
      </c>
      <c r="T1334" s="1">
        <v>0</v>
      </c>
      <c r="U1334" s="1">
        <v>27.057799999999986</v>
      </c>
      <c r="V1334">
        <f>YEAR(Table1[[#This Row],[Order Date]])</f>
        <v>2023</v>
      </c>
      <c r="W1334" t="str">
        <f>TEXT(Table1[[#This Row],[Order Date]],"mmm")</f>
        <v>Oct</v>
      </c>
      <c r="X1334">
        <f t="shared" si="60"/>
        <v>13.528899999999993</v>
      </c>
      <c r="Y1334" t="str">
        <f t="shared" si="61"/>
        <v>Profit</v>
      </c>
      <c r="Z1334" t="str">
        <f t="shared" si="62"/>
        <v>No Discount</v>
      </c>
    </row>
    <row r="1335" spans="1:26" x14ac:dyDescent="0.35">
      <c r="A1335" s="1">
        <v>1334</v>
      </c>
      <c r="B1335" s="2" t="s">
        <v>3797</v>
      </c>
      <c r="C1335" s="3">
        <v>45212</v>
      </c>
      <c r="D1335" s="3">
        <v>45214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  <c r="V1335">
        <f>YEAR(Table1[[#This Row],[Order Date]])</f>
        <v>2023</v>
      </c>
      <c r="W1335" t="str">
        <f>TEXT(Table1[[#This Row],[Order Date]],"mmm")</f>
        <v>Oct</v>
      </c>
      <c r="X1335">
        <f t="shared" si="60"/>
        <v>62.330399999999997</v>
      </c>
      <c r="Y1335" t="str">
        <f t="shared" si="61"/>
        <v>Profit</v>
      </c>
      <c r="Z1335" t="str">
        <f t="shared" si="62"/>
        <v>No Discount</v>
      </c>
    </row>
    <row r="1336" spans="1:26" x14ac:dyDescent="0.35">
      <c r="A1336" s="1">
        <v>1335</v>
      </c>
      <c r="B1336" s="2" t="s">
        <v>3797</v>
      </c>
      <c r="C1336" s="3">
        <v>45212</v>
      </c>
      <c r="D1336" s="3">
        <v>45214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</v>
      </c>
      <c r="T1336" s="1">
        <v>0</v>
      </c>
      <c r="U1336" s="1">
        <v>62.036799999999971</v>
      </c>
      <c r="V1336">
        <f>YEAR(Table1[[#This Row],[Order Date]])</f>
        <v>2023</v>
      </c>
      <c r="W1336" t="str">
        <f>TEXT(Table1[[#This Row],[Order Date]],"mmm")</f>
        <v>Oct</v>
      </c>
      <c r="X1336">
        <f t="shared" si="60"/>
        <v>15.509199999999993</v>
      </c>
      <c r="Y1336" t="str">
        <f t="shared" si="61"/>
        <v>Profit</v>
      </c>
      <c r="Z1336" t="str">
        <f t="shared" si="62"/>
        <v>No Discount</v>
      </c>
    </row>
    <row r="1337" spans="1:26" x14ac:dyDescent="0.35">
      <c r="A1337" s="1">
        <v>1336</v>
      </c>
      <c r="B1337" s="2" t="s">
        <v>3797</v>
      </c>
      <c r="C1337" s="3">
        <v>45212</v>
      </c>
      <c r="D1337" s="3">
        <v>45214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</v>
      </c>
      <c r="T1337" s="1">
        <v>0</v>
      </c>
      <c r="U1337" s="1">
        <v>3.2256</v>
      </c>
      <c r="V1337">
        <f>YEAR(Table1[[#This Row],[Order Date]])</f>
        <v>2023</v>
      </c>
      <c r="W1337" t="str">
        <f>TEXT(Table1[[#This Row],[Order Date]],"mmm")</f>
        <v>Oct</v>
      </c>
      <c r="X1337">
        <f t="shared" si="60"/>
        <v>0.80640000000000001</v>
      </c>
      <c r="Y1337" t="str">
        <f t="shared" si="61"/>
        <v>Profit</v>
      </c>
      <c r="Z1337" t="str">
        <f t="shared" si="62"/>
        <v>No Discount</v>
      </c>
    </row>
    <row r="1338" spans="1:26" x14ac:dyDescent="0.35">
      <c r="A1338" s="1">
        <v>1337</v>
      </c>
      <c r="B1338" s="2" t="s">
        <v>3803</v>
      </c>
      <c r="C1338" s="3">
        <v>45212</v>
      </c>
      <c r="D1338" s="3">
        <v>45214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</v>
      </c>
      <c r="T1338" s="1">
        <v>0</v>
      </c>
      <c r="U1338" s="1">
        <v>7.1345999999999989</v>
      </c>
      <c r="V1338">
        <f>YEAR(Table1[[#This Row],[Order Date]])</f>
        <v>2023</v>
      </c>
      <c r="W1338" t="str">
        <f>TEXT(Table1[[#This Row],[Order Date]],"mmm")</f>
        <v>Oct</v>
      </c>
      <c r="X1338">
        <f t="shared" si="60"/>
        <v>2.3781999999999996</v>
      </c>
      <c r="Y1338" t="str">
        <f t="shared" si="61"/>
        <v>Profit</v>
      </c>
      <c r="Z1338" t="str">
        <f t="shared" si="62"/>
        <v>No Discount</v>
      </c>
    </row>
    <row r="1339" spans="1:26" x14ac:dyDescent="0.35">
      <c r="A1339" s="1">
        <v>1338</v>
      </c>
      <c r="B1339" s="2" t="s">
        <v>3804</v>
      </c>
      <c r="C1339" s="3">
        <v>45212</v>
      </c>
      <c r="D1339" s="3">
        <v>45216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V1339">
        <f>YEAR(Table1[[#This Row],[Order Date]])</f>
        <v>2023</v>
      </c>
      <c r="W1339" t="str">
        <f>TEXT(Table1[[#This Row],[Order Date]],"mmm")</f>
        <v>Oct</v>
      </c>
      <c r="X1339">
        <f t="shared" si="60"/>
        <v>0.93669999999999998</v>
      </c>
      <c r="Y1339" t="str">
        <f t="shared" si="61"/>
        <v>Profit</v>
      </c>
      <c r="Z1339" t="str">
        <f t="shared" si="62"/>
        <v>Low</v>
      </c>
    </row>
    <row r="1340" spans="1:26" x14ac:dyDescent="0.35">
      <c r="A1340" s="1">
        <v>1339</v>
      </c>
      <c r="B1340" s="2" t="s">
        <v>3796</v>
      </c>
      <c r="C1340" s="3">
        <v>45212</v>
      </c>
      <c r="D1340" s="3">
        <v>45217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>
        <f>YEAR(Table1[[#This Row],[Order Date]])</f>
        <v>2023</v>
      </c>
      <c r="W1340" t="str">
        <f>TEXT(Table1[[#This Row],[Order Date]],"mmm")</f>
        <v>Oct</v>
      </c>
      <c r="X1340">
        <f t="shared" si="60"/>
        <v>9.4700000000000006</v>
      </c>
      <c r="Y1340" t="str">
        <f t="shared" si="61"/>
        <v>Profit</v>
      </c>
      <c r="Z1340" t="str">
        <f t="shared" si="62"/>
        <v>No Discount</v>
      </c>
    </row>
    <row r="1341" spans="1:26" x14ac:dyDescent="0.35">
      <c r="A1341" s="1">
        <v>1340</v>
      </c>
      <c r="B1341" s="2" t="s">
        <v>3803</v>
      </c>
      <c r="C1341" s="3">
        <v>45212</v>
      </c>
      <c r="D1341" s="3">
        <v>45214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  <c r="V1341">
        <f>YEAR(Table1[[#This Row],[Order Date]])</f>
        <v>2023</v>
      </c>
      <c r="W1341" t="str">
        <f>TEXT(Table1[[#This Row],[Order Date]],"mmm")</f>
        <v>Oct</v>
      </c>
      <c r="X1341">
        <f t="shared" si="60"/>
        <v>3.4944000000000002</v>
      </c>
      <c r="Y1341" t="str">
        <f t="shared" si="61"/>
        <v>Profit</v>
      </c>
      <c r="Z1341" t="str">
        <f t="shared" si="62"/>
        <v>No Discount</v>
      </c>
    </row>
    <row r="1342" spans="1:26" x14ac:dyDescent="0.35">
      <c r="A1342" s="1">
        <v>1341</v>
      </c>
      <c r="B1342" s="2" t="s">
        <v>3803</v>
      </c>
      <c r="C1342" s="3">
        <v>45212</v>
      </c>
      <c r="D1342" s="3">
        <v>45214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</v>
      </c>
      <c r="T1342" s="1">
        <v>0</v>
      </c>
      <c r="U1342" s="1">
        <v>6.3040000000000305</v>
      </c>
      <c r="V1342">
        <f>YEAR(Table1[[#This Row],[Order Date]])</f>
        <v>2023</v>
      </c>
      <c r="W1342" t="str">
        <f>TEXT(Table1[[#This Row],[Order Date]],"mmm")</f>
        <v>Oct</v>
      </c>
      <c r="X1342">
        <f t="shared" si="60"/>
        <v>1.5760000000000076</v>
      </c>
      <c r="Y1342" t="str">
        <f t="shared" si="61"/>
        <v>Profit</v>
      </c>
      <c r="Z1342" t="str">
        <f t="shared" si="62"/>
        <v>No Discount</v>
      </c>
    </row>
    <row r="1343" spans="1:26" x14ac:dyDescent="0.35">
      <c r="A1343" s="1">
        <v>1342</v>
      </c>
      <c r="B1343" s="2" t="s">
        <v>3797</v>
      </c>
      <c r="C1343" s="3">
        <v>45212</v>
      </c>
      <c r="D1343" s="3">
        <v>45214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</v>
      </c>
      <c r="T1343" s="1">
        <v>0</v>
      </c>
      <c r="U1343" s="1">
        <v>2.5779999999999994</v>
      </c>
      <c r="V1343">
        <f>YEAR(Table1[[#This Row],[Order Date]])</f>
        <v>2023</v>
      </c>
      <c r="W1343" t="str">
        <f>TEXT(Table1[[#This Row],[Order Date]],"mmm")</f>
        <v>Oct</v>
      </c>
      <c r="X1343">
        <f t="shared" si="60"/>
        <v>1.2889999999999997</v>
      </c>
      <c r="Y1343" t="str">
        <f t="shared" si="61"/>
        <v>Profit</v>
      </c>
      <c r="Z1343" t="str">
        <f t="shared" si="62"/>
        <v>No Discount</v>
      </c>
    </row>
    <row r="1344" spans="1:26" x14ac:dyDescent="0.35">
      <c r="A1344" s="1">
        <v>1343</v>
      </c>
      <c r="B1344" s="2" t="s">
        <v>3803</v>
      </c>
      <c r="C1344" s="3">
        <v>45212</v>
      </c>
      <c r="D1344" s="3">
        <v>45214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</v>
      </c>
      <c r="T1344" s="1">
        <v>0</v>
      </c>
      <c r="U1344" s="1">
        <v>4.3623999999999974</v>
      </c>
      <c r="V1344">
        <f>YEAR(Table1[[#This Row],[Order Date]])</f>
        <v>2023</v>
      </c>
      <c r="W1344" t="str">
        <f>TEXT(Table1[[#This Row],[Order Date]],"mmm")</f>
        <v>Oct</v>
      </c>
      <c r="X1344">
        <f t="shared" si="60"/>
        <v>2.1811999999999987</v>
      </c>
      <c r="Y1344" t="str">
        <f t="shared" si="61"/>
        <v>Profit</v>
      </c>
      <c r="Z1344" t="str">
        <f t="shared" si="62"/>
        <v>No Discount</v>
      </c>
    </row>
    <row r="1345" spans="1:26" x14ac:dyDescent="0.35">
      <c r="A1345" s="1">
        <v>1344</v>
      </c>
      <c r="B1345" s="2" t="s">
        <v>3816</v>
      </c>
      <c r="C1345" s="3">
        <v>45213</v>
      </c>
      <c r="D1345" s="3">
        <v>45216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</v>
      </c>
      <c r="T1345" s="1">
        <v>0</v>
      </c>
      <c r="U1345" s="1">
        <v>260.61120000000017</v>
      </c>
      <c r="V1345">
        <f>YEAR(Table1[[#This Row],[Order Date]])</f>
        <v>2023</v>
      </c>
      <c r="W1345" t="str">
        <f>TEXT(Table1[[#This Row],[Order Date]],"mmm")</f>
        <v>Oct</v>
      </c>
      <c r="X1345">
        <f t="shared" si="60"/>
        <v>28.956800000000019</v>
      </c>
      <c r="Y1345" t="str">
        <f t="shared" si="61"/>
        <v>Profit</v>
      </c>
      <c r="Z1345" t="str">
        <f t="shared" si="62"/>
        <v>No Discount</v>
      </c>
    </row>
    <row r="1346" spans="1:26" x14ac:dyDescent="0.35">
      <c r="A1346" s="1">
        <v>1345</v>
      </c>
      <c r="B1346" s="2" t="s">
        <v>3822</v>
      </c>
      <c r="C1346" s="3">
        <v>45213</v>
      </c>
      <c r="D1346" s="3">
        <v>45217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3.1599999999999993</v>
      </c>
      <c r="S1346" s="1">
        <v>4</v>
      </c>
      <c r="T1346" s="1">
        <v>0.8</v>
      </c>
      <c r="U1346" s="1">
        <v>-8.532</v>
      </c>
      <c r="V1346">
        <f>YEAR(Table1[[#This Row],[Order Date]])</f>
        <v>2023</v>
      </c>
      <c r="W1346" t="str">
        <f>TEXT(Table1[[#This Row],[Order Date]],"mmm")</f>
        <v>Oct</v>
      </c>
      <c r="X1346">
        <f t="shared" ref="X1346:X1409" si="63">IFERROR(U1346/S1346,0)</f>
        <v>-2.133</v>
      </c>
      <c r="Y1346" t="str">
        <f t="shared" ref="Y1346:Y1409" si="64">IF(U1346&gt;0,"Profit",IF(U1346&lt;0,"Loss","Break-even"))</f>
        <v>Loss</v>
      </c>
      <c r="Z1346" t="str">
        <f t="shared" ref="Z1346:Z1409" si="65">IF(T1346=0,"No Discount",IF(T1346&lt;=0.2,"Low",IF(T1346&lt;=0.4,"Medium","High")))</f>
        <v>High</v>
      </c>
    </row>
    <row r="1347" spans="1:26" x14ac:dyDescent="0.35">
      <c r="A1347" s="1">
        <v>1346</v>
      </c>
      <c r="B1347" s="2" t="s">
        <v>3825</v>
      </c>
      <c r="C1347" s="3">
        <v>45213</v>
      </c>
      <c r="D1347" s="3">
        <v>45219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V1347">
        <f>YEAR(Table1[[#This Row],[Order Date]])</f>
        <v>2023</v>
      </c>
      <c r="W1347" t="str">
        <f>TEXT(Table1[[#This Row],[Order Date]],"mmm")</f>
        <v>Oct</v>
      </c>
      <c r="X1347">
        <f t="shared" si="63"/>
        <v>-1.6203000000000003</v>
      </c>
      <c r="Y1347" t="str">
        <f t="shared" si="64"/>
        <v>Loss</v>
      </c>
      <c r="Z1347" t="str">
        <f t="shared" si="65"/>
        <v>High</v>
      </c>
    </row>
    <row r="1348" spans="1:26" x14ac:dyDescent="0.35">
      <c r="A1348" s="1">
        <v>1347</v>
      </c>
      <c r="B1348" s="2" t="s">
        <v>3826</v>
      </c>
      <c r="C1348" s="3">
        <v>45213</v>
      </c>
      <c r="D1348" s="3">
        <v>45215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</v>
      </c>
      <c r="T1348" s="1">
        <v>0</v>
      </c>
      <c r="U1348" s="1">
        <v>11.0016</v>
      </c>
      <c r="V1348">
        <f>YEAR(Table1[[#This Row],[Order Date]])</f>
        <v>2023</v>
      </c>
      <c r="W1348" t="str">
        <f>TEXT(Table1[[#This Row],[Order Date]],"mmm")</f>
        <v>Oct</v>
      </c>
      <c r="X1348">
        <f t="shared" si="63"/>
        <v>2.7504</v>
      </c>
      <c r="Y1348" t="str">
        <f t="shared" si="64"/>
        <v>Profit</v>
      </c>
      <c r="Z1348" t="str">
        <f t="shared" si="65"/>
        <v>No Discount</v>
      </c>
    </row>
    <row r="1349" spans="1:26" x14ac:dyDescent="0.35">
      <c r="A1349" s="1">
        <v>1348</v>
      </c>
      <c r="B1349" s="2" t="s">
        <v>3825</v>
      </c>
      <c r="C1349" s="3">
        <v>45213</v>
      </c>
      <c r="D1349" s="3">
        <v>45219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V1349">
        <f>YEAR(Table1[[#This Row],[Order Date]])</f>
        <v>2023</v>
      </c>
      <c r="W1349" t="str">
        <f>TEXT(Table1[[#This Row],[Order Date]],"mmm")</f>
        <v>Oct</v>
      </c>
      <c r="X1349">
        <f t="shared" si="63"/>
        <v>1.7342</v>
      </c>
      <c r="Y1349" t="str">
        <f t="shared" si="64"/>
        <v>Profit</v>
      </c>
      <c r="Z1349" t="str">
        <f t="shared" si="65"/>
        <v>Low</v>
      </c>
    </row>
    <row r="1350" spans="1:26" x14ac:dyDescent="0.35">
      <c r="A1350" s="1">
        <v>1349</v>
      </c>
      <c r="B1350" s="2" t="s">
        <v>3825</v>
      </c>
      <c r="C1350" s="3">
        <v>45213</v>
      </c>
      <c r="D1350" s="3">
        <v>45219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V1350">
        <f>YEAR(Table1[[#This Row],[Order Date]])</f>
        <v>2023</v>
      </c>
      <c r="W1350" t="str">
        <f>TEXT(Table1[[#This Row],[Order Date]],"mmm")</f>
        <v>Oct</v>
      </c>
      <c r="X1350">
        <f t="shared" si="63"/>
        <v>7.7449999999999983</v>
      </c>
      <c r="Y1350" t="str">
        <f t="shared" si="64"/>
        <v>Profit</v>
      </c>
      <c r="Z1350" t="str">
        <f t="shared" si="65"/>
        <v>Low</v>
      </c>
    </row>
    <row r="1351" spans="1:26" x14ac:dyDescent="0.35">
      <c r="A1351" s="1">
        <v>1350</v>
      </c>
      <c r="B1351" s="2" t="s">
        <v>3816</v>
      </c>
      <c r="C1351" s="3">
        <v>45213</v>
      </c>
      <c r="D1351" s="3">
        <v>45216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</v>
      </c>
      <c r="T1351" s="1">
        <v>0</v>
      </c>
      <c r="U1351" s="1">
        <v>22.246000000000006</v>
      </c>
      <c r="V1351">
        <f>YEAR(Table1[[#This Row],[Order Date]])</f>
        <v>2023</v>
      </c>
      <c r="W1351" t="str">
        <f>TEXT(Table1[[#This Row],[Order Date]],"mmm")</f>
        <v>Oct</v>
      </c>
      <c r="X1351">
        <f t="shared" si="63"/>
        <v>3.1780000000000008</v>
      </c>
      <c r="Y1351" t="str">
        <f t="shared" si="64"/>
        <v>Profit</v>
      </c>
      <c r="Z1351" t="str">
        <f t="shared" si="65"/>
        <v>No Discount</v>
      </c>
    </row>
    <row r="1352" spans="1:26" x14ac:dyDescent="0.35">
      <c r="A1352" s="1">
        <v>1351</v>
      </c>
      <c r="B1352" s="2" t="s">
        <v>3826</v>
      </c>
      <c r="C1352" s="3">
        <v>45213</v>
      </c>
      <c r="D1352" s="3">
        <v>45215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269.89999999999998</v>
      </c>
      <c r="S1352" s="1">
        <v>5</v>
      </c>
      <c r="T1352" s="1">
        <v>0</v>
      </c>
      <c r="U1352" s="1">
        <v>16.193999999999988</v>
      </c>
      <c r="V1352">
        <f>YEAR(Table1[[#This Row],[Order Date]])</f>
        <v>2023</v>
      </c>
      <c r="W1352" t="str">
        <f>TEXT(Table1[[#This Row],[Order Date]],"mmm")</f>
        <v>Oct</v>
      </c>
      <c r="X1352">
        <f t="shared" si="63"/>
        <v>3.2387999999999977</v>
      </c>
      <c r="Y1352" t="str">
        <f t="shared" si="64"/>
        <v>Profit</v>
      </c>
      <c r="Z1352" t="str">
        <f t="shared" si="65"/>
        <v>No Discount</v>
      </c>
    </row>
    <row r="1353" spans="1:26" x14ac:dyDescent="0.35">
      <c r="A1353" s="1">
        <v>1352</v>
      </c>
      <c r="B1353" s="2" t="s">
        <v>3816</v>
      </c>
      <c r="C1353" s="3">
        <v>45213</v>
      </c>
      <c r="D1353" s="3">
        <v>45216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</v>
      </c>
      <c r="S1353" s="1">
        <v>3</v>
      </c>
      <c r="T1353" s="1">
        <v>0</v>
      </c>
      <c r="U1353" s="1">
        <v>30.089999999999982</v>
      </c>
      <c r="V1353">
        <f>YEAR(Table1[[#This Row],[Order Date]])</f>
        <v>2023</v>
      </c>
      <c r="W1353" t="str">
        <f>TEXT(Table1[[#This Row],[Order Date]],"mmm")</f>
        <v>Oct</v>
      </c>
      <c r="X1353">
        <f t="shared" si="63"/>
        <v>10.029999999999994</v>
      </c>
      <c r="Y1353" t="str">
        <f t="shared" si="64"/>
        <v>Profit</v>
      </c>
      <c r="Z1353" t="str">
        <f t="shared" si="65"/>
        <v>No Discount</v>
      </c>
    </row>
    <row r="1354" spans="1:26" x14ac:dyDescent="0.35">
      <c r="A1354" s="1">
        <v>1353</v>
      </c>
      <c r="B1354" s="2" t="s">
        <v>3822</v>
      </c>
      <c r="C1354" s="3">
        <v>45213</v>
      </c>
      <c r="D1354" s="3">
        <v>45217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  <c r="V1354">
        <f>YEAR(Table1[[#This Row],[Order Date]])</f>
        <v>2023</v>
      </c>
      <c r="W1354" t="str">
        <f>TEXT(Table1[[#This Row],[Order Date]],"mmm")</f>
        <v>Oct</v>
      </c>
      <c r="X1354">
        <f t="shared" si="63"/>
        <v>124.99749999999999</v>
      </c>
      <c r="Y1354" t="str">
        <f t="shared" si="64"/>
        <v>Profit</v>
      </c>
      <c r="Z1354" t="str">
        <f t="shared" si="65"/>
        <v>Low</v>
      </c>
    </row>
    <row r="1355" spans="1:26" x14ac:dyDescent="0.35">
      <c r="A1355" s="1">
        <v>1354</v>
      </c>
      <c r="B1355" s="2" t="s">
        <v>3835</v>
      </c>
      <c r="C1355" s="3">
        <v>45214</v>
      </c>
      <c r="D1355" s="3">
        <v>45216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V1355">
        <f>YEAR(Table1[[#This Row],[Order Date]])</f>
        <v>2023</v>
      </c>
      <c r="W1355" t="str">
        <f>TEXT(Table1[[#This Row],[Order Date]],"mmm")</f>
        <v>Oct</v>
      </c>
      <c r="X1355">
        <f t="shared" si="63"/>
        <v>-3.9294000000000011</v>
      </c>
      <c r="Y1355" t="str">
        <f t="shared" si="64"/>
        <v>Loss</v>
      </c>
      <c r="Z1355" t="str">
        <f t="shared" si="65"/>
        <v>Medium</v>
      </c>
    </row>
    <row r="1356" spans="1:26" x14ac:dyDescent="0.35">
      <c r="A1356" s="1">
        <v>1355</v>
      </c>
      <c r="B1356" s="2" t="s">
        <v>3839</v>
      </c>
      <c r="C1356" s="3">
        <v>45214</v>
      </c>
      <c r="D1356" s="3">
        <v>45219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</v>
      </c>
      <c r="T1356" s="1">
        <v>0.2</v>
      </c>
      <c r="U1356" s="1">
        <v>4.0383000000000013</v>
      </c>
      <c r="V1356">
        <f>YEAR(Table1[[#This Row],[Order Date]])</f>
        <v>2023</v>
      </c>
      <c r="W1356" t="str">
        <f>TEXT(Table1[[#This Row],[Order Date]],"mmm")</f>
        <v>Oct</v>
      </c>
      <c r="X1356">
        <f t="shared" si="63"/>
        <v>4.0383000000000013</v>
      </c>
      <c r="Y1356" t="str">
        <f t="shared" si="64"/>
        <v>Profit</v>
      </c>
      <c r="Z1356" t="str">
        <f t="shared" si="65"/>
        <v>Low</v>
      </c>
    </row>
    <row r="1357" spans="1:26" x14ac:dyDescent="0.35">
      <c r="A1357" s="1">
        <v>1356</v>
      </c>
      <c r="B1357" s="2" t="s">
        <v>3835</v>
      </c>
      <c r="C1357" s="3">
        <v>45214</v>
      </c>
      <c r="D1357" s="3">
        <v>45216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V1357">
        <f>YEAR(Table1[[#This Row],[Order Date]])</f>
        <v>2023</v>
      </c>
      <c r="W1357" t="str">
        <f>TEXT(Table1[[#This Row],[Order Date]],"mmm")</f>
        <v>Oct</v>
      </c>
      <c r="X1357">
        <f t="shared" si="63"/>
        <v>1.4442000000000004</v>
      </c>
      <c r="Y1357" t="str">
        <f t="shared" si="64"/>
        <v>Profit</v>
      </c>
      <c r="Z1357" t="str">
        <f t="shared" si="65"/>
        <v>Low</v>
      </c>
    </row>
    <row r="1358" spans="1:26" x14ac:dyDescent="0.35">
      <c r="A1358" s="1">
        <v>1357</v>
      </c>
      <c r="B1358" s="2" t="s">
        <v>3840</v>
      </c>
      <c r="C1358" s="3">
        <v>45215</v>
      </c>
      <c r="D1358" s="3">
        <v>45216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V1358">
        <f>YEAR(Table1[[#This Row],[Order Date]])</f>
        <v>2023</v>
      </c>
      <c r="W1358" t="str">
        <f>TEXT(Table1[[#This Row],[Order Date]],"mmm")</f>
        <v>Oct</v>
      </c>
      <c r="X1358">
        <f t="shared" si="63"/>
        <v>1.6743999999999997</v>
      </c>
      <c r="Y1358" t="str">
        <f t="shared" si="64"/>
        <v>Profit</v>
      </c>
      <c r="Z1358" t="str">
        <f t="shared" si="65"/>
        <v>Low</v>
      </c>
    </row>
    <row r="1359" spans="1:26" x14ac:dyDescent="0.35">
      <c r="A1359" s="1">
        <v>1358</v>
      </c>
      <c r="B1359" s="2" t="s">
        <v>3840</v>
      </c>
      <c r="C1359" s="3">
        <v>45215</v>
      </c>
      <c r="D1359" s="3">
        <v>45216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</v>
      </c>
      <c r="T1359" s="1">
        <v>0</v>
      </c>
      <c r="U1359" s="1">
        <v>86.385600000000011</v>
      </c>
      <c r="V1359">
        <f>YEAR(Table1[[#This Row],[Order Date]])</f>
        <v>2023</v>
      </c>
      <c r="W1359" t="str">
        <f>TEXT(Table1[[#This Row],[Order Date]],"mmm")</f>
        <v>Oct</v>
      </c>
      <c r="X1359">
        <f t="shared" si="63"/>
        <v>28.795200000000005</v>
      </c>
      <c r="Y1359" t="str">
        <f t="shared" si="64"/>
        <v>Profit</v>
      </c>
      <c r="Z1359" t="str">
        <f t="shared" si="65"/>
        <v>No Discount</v>
      </c>
    </row>
    <row r="1360" spans="1:26" x14ac:dyDescent="0.35">
      <c r="A1360" s="1">
        <v>1359</v>
      </c>
      <c r="B1360" s="2" t="s">
        <v>3845</v>
      </c>
      <c r="C1360" s="3">
        <v>45216</v>
      </c>
      <c r="D1360" s="3">
        <v>45218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V1360">
        <f>YEAR(Table1[[#This Row],[Order Date]])</f>
        <v>2023</v>
      </c>
      <c r="W1360" t="str">
        <f>TEXT(Table1[[#This Row],[Order Date]],"mmm")</f>
        <v>Oct</v>
      </c>
      <c r="X1360">
        <f t="shared" si="63"/>
        <v>-0.79679999999999973</v>
      </c>
      <c r="Y1360" t="str">
        <f t="shared" si="64"/>
        <v>Loss</v>
      </c>
      <c r="Z1360" t="str">
        <f t="shared" si="65"/>
        <v>High</v>
      </c>
    </row>
    <row r="1361" spans="1:26" x14ac:dyDescent="0.35">
      <c r="A1361" s="1">
        <v>1360</v>
      </c>
      <c r="B1361" s="2" t="s">
        <v>3846</v>
      </c>
      <c r="C1361" s="3">
        <v>45216</v>
      </c>
      <c r="D1361" s="3">
        <v>45221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V1361">
        <f>YEAR(Table1[[#This Row],[Order Date]])</f>
        <v>2023</v>
      </c>
      <c r="W1361" t="str">
        <f>TEXT(Table1[[#This Row],[Order Date]],"mmm")</f>
        <v>Oct</v>
      </c>
      <c r="X1361">
        <f t="shared" si="63"/>
        <v>-3.4496000000000016</v>
      </c>
      <c r="Y1361" t="str">
        <f t="shared" si="64"/>
        <v>Loss</v>
      </c>
      <c r="Z1361" t="str">
        <f t="shared" si="65"/>
        <v>High</v>
      </c>
    </row>
    <row r="1362" spans="1:26" x14ac:dyDescent="0.35">
      <c r="A1362" s="1">
        <v>1361</v>
      </c>
      <c r="B1362" s="2" t="s">
        <v>3846</v>
      </c>
      <c r="C1362" s="3">
        <v>45216</v>
      </c>
      <c r="D1362" s="3">
        <v>45221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V1362">
        <f>YEAR(Table1[[#This Row],[Order Date]])</f>
        <v>2023</v>
      </c>
      <c r="W1362" t="str">
        <f>TEXT(Table1[[#This Row],[Order Date]],"mmm")</f>
        <v>Oct</v>
      </c>
      <c r="X1362">
        <f t="shared" si="63"/>
        <v>-5.9988000000000063</v>
      </c>
      <c r="Y1362" t="str">
        <f t="shared" si="64"/>
        <v>Loss</v>
      </c>
      <c r="Z1362" t="str">
        <f t="shared" si="65"/>
        <v>Low</v>
      </c>
    </row>
    <row r="1363" spans="1:26" x14ac:dyDescent="0.35">
      <c r="A1363" s="1">
        <v>1362</v>
      </c>
      <c r="B1363" s="2" t="s">
        <v>3850</v>
      </c>
      <c r="C1363" s="3">
        <v>45217</v>
      </c>
      <c r="D1363" s="3">
        <v>45219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</v>
      </c>
      <c r="T1363" s="1">
        <v>0</v>
      </c>
      <c r="U1363" s="1">
        <v>70.964399999999983</v>
      </c>
      <c r="V1363">
        <f>YEAR(Table1[[#This Row],[Order Date]])</f>
        <v>2023</v>
      </c>
      <c r="W1363" t="str">
        <f>TEXT(Table1[[#This Row],[Order Date]],"mmm")</f>
        <v>Oct</v>
      </c>
      <c r="X1363">
        <f t="shared" si="63"/>
        <v>11.827399999999997</v>
      </c>
      <c r="Y1363" t="str">
        <f t="shared" si="64"/>
        <v>Profit</v>
      </c>
      <c r="Z1363" t="str">
        <f t="shared" si="65"/>
        <v>No Discount</v>
      </c>
    </row>
    <row r="1364" spans="1:26" x14ac:dyDescent="0.35">
      <c r="A1364" s="1">
        <v>1363</v>
      </c>
      <c r="B1364" s="2" t="s">
        <v>3856</v>
      </c>
      <c r="C1364" s="3">
        <v>45217</v>
      </c>
      <c r="D1364" s="3">
        <v>45221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</v>
      </c>
      <c r="T1364" s="1">
        <v>0</v>
      </c>
      <c r="U1364" s="1">
        <v>145.2816</v>
      </c>
      <c r="V1364">
        <f>YEAR(Table1[[#This Row],[Order Date]])</f>
        <v>2023</v>
      </c>
      <c r="W1364" t="str">
        <f>TEXT(Table1[[#This Row],[Order Date]],"mmm")</f>
        <v>Oct</v>
      </c>
      <c r="X1364">
        <f t="shared" si="63"/>
        <v>24.2136</v>
      </c>
      <c r="Y1364" t="str">
        <f t="shared" si="64"/>
        <v>Profit</v>
      </c>
      <c r="Z1364" t="str">
        <f t="shared" si="65"/>
        <v>No Discount</v>
      </c>
    </row>
    <row r="1365" spans="1:26" x14ac:dyDescent="0.35">
      <c r="A1365" s="1">
        <v>1364</v>
      </c>
      <c r="B1365" s="2" t="s">
        <v>3862</v>
      </c>
      <c r="C1365" s="3">
        <v>45217</v>
      </c>
      <c r="D1365" s="3">
        <v>45222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V1365">
        <f>YEAR(Table1[[#This Row],[Order Date]])</f>
        <v>2023</v>
      </c>
      <c r="W1365" t="str">
        <f>TEXT(Table1[[#This Row],[Order Date]],"mmm")</f>
        <v>Oct</v>
      </c>
      <c r="X1365">
        <f t="shared" si="63"/>
        <v>0.47039999999999987</v>
      </c>
      <c r="Y1365" t="str">
        <f t="shared" si="64"/>
        <v>Profit</v>
      </c>
      <c r="Z1365" t="str">
        <f t="shared" si="65"/>
        <v>Low</v>
      </c>
    </row>
    <row r="1366" spans="1:26" x14ac:dyDescent="0.35">
      <c r="A1366" s="1">
        <v>1365</v>
      </c>
      <c r="B1366" s="2" t="s">
        <v>3867</v>
      </c>
      <c r="C1366" s="3">
        <v>45217</v>
      </c>
      <c r="D1366" s="3">
        <v>45221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</v>
      </c>
      <c r="T1366" s="1">
        <v>0.2</v>
      </c>
      <c r="U1366" s="1">
        <v>19.692</v>
      </c>
      <c r="V1366">
        <f>YEAR(Table1[[#This Row],[Order Date]])</f>
        <v>2023</v>
      </c>
      <c r="W1366" t="str">
        <f>TEXT(Table1[[#This Row],[Order Date]],"mmm")</f>
        <v>Oct</v>
      </c>
      <c r="X1366">
        <f t="shared" si="63"/>
        <v>3.282</v>
      </c>
      <c r="Y1366" t="str">
        <f t="shared" si="64"/>
        <v>Profit</v>
      </c>
      <c r="Z1366" t="str">
        <f t="shared" si="65"/>
        <v>Low</v>
      </c>
    </row>
    <row r="1367" spans="1:26" x14ac:dyDescent="0.35">
      <c r="A1367" s="1">
        <v>1366</v>
      </c>
      <c r="B1367" s="2" t="s">
        <v>3862</v>
      </c>
      <c r="C1367" s="3">
        <v>45217</v>
      </c>
      <c r="D1367" s="3">
        <v>45222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</v>
      </c>
      <c r="T1367" s="1">
        <v>0</v>
      </c>
      <c r="U1367" s="1">
        <v>27.881999999999998</v>
      </c>
      <c r="V1367">
        <f>YEAR(Table1[[#This Row],[Order Date]])</f>
        <v>2023</v>
      </c>
      <c r="W1367" t="str">
        <f>TEXT(Table1[[#This Row],[Order Date]],"mmm")</f>
        <v>Oct</v>
      </c>
      <c r="X1367">
        <f t="shared" si="63"/>
        <v>13.940999999999999</v>
      </c>
      <c r="Y1367" t="str">
        <f t="shared" si="64"/>
        <v>Profit</v>
      </c>
      <c r="Z1367" t="str">
        <f t="shared" si="65"/>
        <v>No Discount</v>
      </c>
    </row>
    <row r="1368" spans="1:26" x14ac:dyDescent="0.35">
      <c r="A1368" s="1">
        <v>1367</v>
      </c>
      <c r="B1368" s="2" t="s">
        <v>3867</v>
      </c>
      <c r="C1368" s="3">
        <v>45217</v>
      </c>
      <c r="D1368" s="3">
        <v>45221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V1368">
        <f>YEAR(Table1[[#This Row],[Order Date]])</f>
        <v>2023</v>
      </c>
      <c r="W1368" t="str">
        <f>TEXT(Table1[[#This Row],[Order Date]],"mmm")</f>
        <v>Oct</v>
      </c>
      <c r="X1368">
        <f t="shared" si="63"/>
        <v>0.7849999999999997</v>
      </c>
      <c r="Y1368" t="str">
        <f t="shared" si="64"/>
        <v>Profit</v>
      </c>
      <c r="Z1368" t="str">
        <f t="shared" si="65"/>
        <v>Low</v>
      </c>
    </row>
    <row r="1369" spans="1:26" x14ac:dyDescent="0.35">
      <c r="A1369" s="1">
        <v>1368</v>
      </c>
      <c r="B1369" s="2" t="s">
        <v>3850</v>
      </c>
      <c r="C1369" s="3">
        <v>45217</v>
      </c>
      <c r="D1369" s="3">
        <v>45219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275.96999999999997</v>
      </c>
      <c r="S1369" s="1">
        <v>3</v>
      </c>
      <c r="T1369" s="1">
        <v>0</v>
      </c>
      <c r="U1369" s="1">
        <v>11.038799999999981</v>
      </c>
      <c r="V1369">
        <f>YEAR(Table1[[#This Row],[Order Date]])</f>
        <v>2023</v>
      </c>
      <c r="W1369" t="str">
        <f>TEXT(Table1[[#This Row],[Order Date]],"mmm")</f>
        <v>Oct</v>
      </c>
      <c r="X1369">
        <f t="shared" si="63"/>
        <v>3.6795999999999935</v>
      </c>
      <c r="Y1369" t="str">
        <f t="shared" si="64"/>
        <v>Profit</v>
      </c>
      <c r="Z1369" t="str">
        <f t="shared" si="65"/>
        <v>No Discount</v>
      </c>
    </row>
    <row r="1370" spans="1:26" x14ac:dyDescent="0.35">
      <c r="A1370" s="1">
        <v>1369</v>
      </c>
      <c r="B1370" s="2" t="s">
        <v>3867</v>
      </c>
      <c r="C1370" s="3">
        <v>45217</v>
      </c>
      <c r="D1370" s="3">
        <v>45221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V1370">
        <f>YEAR(Table1[[#This Row],[Order Date]])</f>
        <v>2023</v>
      </c>
      <c r="W1370" t="str">
        <f>TEXT(Table1[[#This Row],[Order Date]],"mmm")</f>
        <v>Oct</v>
      </c>
      <c r="X1370">
        <f t="shared" si="63"/>
        <v>-5.8410000000000046</v>
      </c>
      <c r="Y1370" t="str">
        <f t="shared" si="64"/>
        <v>Loss</v>
      </c>
      <c r="Z1370" t="str">
        <f t="shared" si="65"/>
        <v>Low</v>
      </c>
    </row>
    <row r="1371" spans="1:26" x14ac:dyDescent="0.35">
      <c r="A1371" s="1">
        <v>1370</v>
      </c>
      <c r="B1371" s="2" t="s">
        <v>3850</v>
      </c>
      <c r="C1371" s="3">
        <v>45217</v>
      </c>
      <c r="D1371" s="3">
        <v>45219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</v>
      </c>
      <c r="T1371" s="1">
        <v>0</v>
      </c>
      <c r="U1371" s="1">
        <v>362.68699999999995</v>
      </c>
      <c r="V1371">
        <f>YEAR(Table1[[#This Row],[Order Date]])</f>
        <v>2023</v>
      </c>
      <c r="W1371" t="str">
        <f>TEXT(Table1[[#This Row],[Order Date]],"mmm")</f>
        <v>Oct</v>
      </c>
      <c r="X1371">
        <f t="shared" si="63"/>
        <v>72.537399999999991</v>
      </c>
      <c r="Y1371" t="str">
        <f t="shared" si="64"/>
        <v>Profit</v>
      </c>
      <c r="Z1371" t="str">
        <f t="shared" si="65"/>
        <v>No Discount</v>
      </c>
    </row>
    <row r="1372" spans="1:26" x14ac:dyDescent="0.35">
      <c r="A1372" s="1">
        <v>1371</v>
      </c>
      <c r="B1372" s="2" t="s">
        <v>3874</v>
      </c>
      <c r="C1372" s="3">
        <v>45218</v>
      </c>
      <c r="D1372" s="3">
        <v>45221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V1372">
        <f>YEAR(Table1[[#This Row],[Order Date]])</f>
        <v>2023</v>
      </c>
      <c r="W1372" t="str">
        <f>TEXT(Table1[[#This Row],[Order Date]],"mmm")</f>
        <v>Oct</v>
      </c>
      <c r="X1372">
        <f t="shared" si="63"/>
        <v>1.1219999999999999</v>
      </c>
      <c r="Y1372" t="str">
        <f t="shared" si="64"/>
        <v>Profit</v>
      </c>
      <c r="Z1372" t="str">
        <f t="shared" si="65"/>
        <v>Low</v>
      </c>
    </row>
    <row r="1373" spans="1:26" x14ac:dyDescent="0.35">
      <c r="A1373" s="1">
        <v>1372</v>
      </c>
      <c r="B1373" s="2" t="s">
        <v>3874</v>
      </c>
      <c r="C1373" s="3">
        <v>45218</v>
      </c>
      <c r="D1373" s="3">
        <v>45221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</v>
      </c>
      <c r="T1373" s="1">
        <v>0.2</v>
      </c>
      <c r="U1373" s="1">
        <v>7.0223999999999993</v>
      </c>
      <c r="V1373">
        <f>YEAR(Table1[[#This Row],[Order Date]])</f>
        <v>2023</v>
      </c>
      <c r="W1373" t="str">
        <f>TEXT(Table1[[#This Row],[Order Date]],"mmm")</f>
        <v>Oct</v>
      </c>
      <c r="X1373">
        <f t="shared" si="63"/>
        <v>1.1703999999999999</v>
      </c>
      <c r="Y1373" t="str">
        <f t="shared" si="64"/>
        <v>Profit</v>
      </c>
      <c r="Z1373" t="str">
        <f t="shared" si="65"/>
        <v>Low</v>
      </c>
    </row>
    <row r="1374" spans="1:26" x14ac:dyDescent="0.35">
      <c r="A1374" s="1">
        <v>1373</v>
      </c>
      <c r="B1374" s="2" t="s">
        <v>3874</v>
      </c>
      <c r="C1374" s="3">
        <v>45218</v>
      </c>
      <c r="D1374" s="3">
        <v>45221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</v>
      </c>
      <c r="T1374" s="1">
        <v>0</v>
      </c>
      <c r="U1374" s="1">
        <v>9</v>
      </c>
      <c r="V1374">
        <f>YEAR(Table1[[#This Row],[Order Date]])</f>
        <v>2023</v>
      </c>
      <c r="W1374" t="str">
        <f>TEXT(Table1[[#This Row],[Order Date]],"mmm")</f>
        <v>Oct</v>
      </c>
      <c r="X1374">
        <f t="shared" si="63"/>
        <v>1.8</v>
      </c>
      <c r="Y1374" t="str">
        <f t="shared" si="64"/>
        <v>Profit</v>
      </c>
      <c r="Z1374" t="str">
        <f t="shared" si="65"/>
        <v>No Discount</v>
      </c>
    </row>
    <row r="1375" spans="1:26" x14ac:dyDescent="0.35">
      <c r="A1375" s="1">
        <v>1374</v>
      </c>
      <c r="B1375" s="2" t="s">
        <v>3874</v>
      </c>
      <c r="C1375" s="3">
        <v>45218</v>
      </c>
      <c r="D1375" s="3">
        <v>45221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>
        <f>YEAR(Table1[[#This Row],[Order Date]])</f>
        <v>2023</v>
      </c>
      <c r="W1375" t="str">
        <f>TEXT(Table1[[#This Row],[Order Date]],"mmm")</f>
        <v>Oct</v>
      </c>
      <c r="X1375">
        <f t="shared" si="63"/>
        <v>22.9877</v>
      </c>
      <c r="Y1375" t="str">
        <f t="shared" si="64"/>
        <v>Profit</v>
      </c>
      <c r="Z1375" t="str">
        <f t="shared" si="65"/>
        <v>No Discount</v>
      </c>
    </row>
    <row r="1376" spans="1:26" x14ac:dyDescent="0.35">
      <c r="A1376" s="1">
        <v>1375</v>
      </c>
      <c r="B1376" s="2" t="s">
        <v>3883</v>
      </c>
      <c r="C1376" s="3">
        <v>45218</v>
      </c>
      <c r="D1376" s="3">
        <v>45218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13.440000000000001</v>
      </c>
      <c r="S1376" s="1">
        <v>3</v>
      </c>
      <c r="T1376" s="1">
        <v>0</v>
      </c>
      <c r="U1376" s="1">
        <v>6.5856000000000012</v>
      </c>
      <c r="V1376">
        <f>YEAR(Table1[[#This Row],[Order Date]])</f>
        <v>2023</v>
      </c>
      <c r="W1376" t="str">
        <f>TEXT(Table1[[#This Row],[Order Date]],"mmm")</f>
        <v>Oct</v>
      </c>
      <c r="X1376">
        <f t="shared" si="63"/>
        <v>2.1952000000000003</v>
      </c>
      <c r="Y1376" t="str">
        <f t="shared" si="64"/>
        <v>Profit</v>
      </c>
      <c r="Z1376" t="str">
        <f t="shared" si="65"/>
        <v>No Discount</v>
      </c>
    </row>
    <row r="1377" spans="1:26" x14ac:dyDescent="0.35">
      <c r="A1377" s="1">
        <v>1376</v>
      </c>
      <c r="B1377" s="2" t="s">
        <v>3874</v>
      </c>
      <c r="C1377" s="3">
        <v>45218</v>
      </c>
      <c r="D1377" s="3">
        <v>45221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V1377">
        <f>YEAR(Table1[[#This Row],[Order Date]])</f>
        <v>2023</v>
      </c>
      <c r="W1377" t="str">
        <f>TEXT(Table1[[#This Row],[Order Date]],"mmm")</f>
        <v>Oct</v>
      </c>
      <c r="X1377">
        <f t="shared" si="63"/>
        <v>3.9192000000000036</v>
      </c>
      <c r="Y1377" t="str">
        <f t="shared" si="64"/>
        <v>Profit</v>
      </c>
      <c r="Z1377" t="str">
        <f t="shared" si="65"/>
        <v>Low</v>
      </c>
    </row>
    <row r="1378" spans="1:26" x14ac:dyDescent="0.35">
      <c r="A1378" s="1">
        <v>1377</v>
      </c>
      <c r="B1378" s="2" t="s">
        <v>3890</v>
      </c>
      <c r="C1378" s="3">
        <v>45218</v>
      </c>
      <c r="D1378" s="3">
        <v>45223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V1378">
        <f>YEAR(Table1[[#This Row],[Order Date]])</f>
        <v>2023</v>
      </c>
      <c r="W1378" t="str">
        <f>TEXT(Table1[[#This Row],[Order Date]],"mmm")</f>
        <v>Oct</v>
      </c>
      <c r="X1378">
        <f t="shared" si="63"/>
        <v>3.3495000000000013</v>
      </c>
      <c r="Y1378" t="str">
        <f t="shared" si="64"/>
        <v>Profit</v>
      </c>
      <c r="Z1378" t="str">
        <f t="shared" si="65"/>
        <v>Low</v>
      </c>
    </row>
    <row r="1379" spans="1:26" x14ac:dyDescent="0.35">
      <c r="A1379" s="1">
        <v>1378</v>
      </c>
      <c r="B1379" s="2" t="s">
        <v>3893</v>
      </c>
      <c r="C1379" s="3">
        <v>45218</v>
      </c>
      <c r="D1379" s="3">
        <v>45222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6">
        <v>117.57600000000002</v>
      </c>
      <c r="S1379" s="6">
        <v>3</v>
      </c>
      <c r="T1379" s="6">
        <v>0.2</v>
      </c>
      <c r="U1379" s="6">
        <v>11.757600000000011</v>
      </c>
      <c r="V1379">
        <f>YEAR(Table1[[#This Row],[Order Date]])</f>
        <v>2023</v>
      </c>
      <c r="W1379" t="str">
        <f>TEXT(Table1[[#This Row],[Order Date]],"mmm")</f>
        <v>Oct</v>
      </c>
      <c r="X1379">
        <f t="shared" si="63"/>
        <v>3.9192000000000036</v>
      </c>
      <c r="Y1379" t="str">
        <f t="shared" si="64"/>
        <v>Profit</v>
      </c>
      <c r="Z1379" t="str">
        <f t="shared" si="65"/>
        <v>Low</v>
      </c>
    </row>
    <row r="1380" spans="1:26" x14ac:dyDescent="0.35">
      <c r="A1380" s="1">
        <v>1379</v>
      </c>
      <c r="B1380" s="2" t="s">
        <v>3893</v>
      </c>
      <c r="C1380" s="3">
        <v>45218</v>
      </c>
      <c r="D1380" s="3">
        <v>45222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>
        <v>56.56</v>
      </c>
      <c r="S1380" s="4">
        <v>4</v>
      </c>
      <c r="T1380" s="4">
        <v>0</v>
      </c>
      <c r="U1380" s="4">
        <v>14.71</v>
      </c>
      <c r="V1380">
        <f>YEAR(Table1[[#This Row],[Order Date]])</f>
        <v>2023</v>
      </c>
      <c r="W1380" t="str">
        <f>TEXT(Table1[[#This Row],[Order Date]],"mmm")</f>
        <v>Oct</v>
      </c>
      <c r="X1380">
        <f t="shared" si="63"/>
        <v>3.6775000000000002</v>
      </c>
      <c r="Y1380" t="str">
        <f t="shared" si="64"/>
        <v>Profit</v>
      </c>
      <c r="Z1380" t="str">
        <f t="shared" si="65"/>
        <v>No Discount</v>
      </c>
    </row>
    <row r="1381" spans="1:26" x14ac:dyDescent="0.35">
      <c r="A1381" s="1">
        <v>1380</v>
      </c>
      <c r="B1381" s="2" t="s">
        <v>3898</v>
      </c>
      <c r="C1381" s="3">
        <v>45218</v>
      </c>
      <c r="D1381" s="3">
        <v>45223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>
        <v>32.700000000000003</v>
      </c>
      <c r="S1381" s="4">
        <v>3</v>
      </c>
      <c r="T1381" s="4">
        <v>0</v>
      </c>
      <c r="U1381" s="4">
        <v>8.5</v>
      </c>
      <c r="V1381">
        <f>YEAR(Table1[[#This Row],[Order Date]])</f>
        <v>2023</v>
      </c>
      <c r="W1381" t="str">
        <f>TEXT(Table1[[#This Row],[Order Date]],"mmm")</f>
        <v>Oct</v>
      </c>
      <c r="X1381">
        <f t="shared" si="63"/>
        <v>2.8333333333333335</v>
      </c>
      <c r="Y1381" t="str">
        <f t="shared" si="64"/>
        <v>Profit</v>
      </c>
      <c r="Z1381" t="str">
        <f t="shared" si="65"/>
        <v>No Discount</v>
      </c>
    </row>
    <row r="1382" spans="1:26" x14ac:dyDescent="0.35">
      <c r="A1382" s="1">
        <v>1381</v>
      </c>
      <c r="B1382" s="2" t="s">
        <v>3900</v>
      </c>
      <c r="C1382" s="3">
        <v>45219</v>
      </c>
      <c r="D1382" s="3">
        <v>45222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328.59000000000003</v>
      </c>
      <c r="S1382" s="1">
        <v>3</v>
      </c>
      <c r="T1382" s="1">
        <v>0.4</v>
      </c>
      <c r="U1382" s="1">
        <v>-147.8655</v>
      </c>
      <c r="V1382">
        <f>YEAR(Table1[[#This Row],[Order Date]])</f>
        <v>2023</v>
      </c>
      <c r="W1382" t="str">
        <f>TEXT(Table1[[#This Row],[Order Date]],"mmm")</f>
        <v>Oct</v>
      </c>
      <c r="X1382">
        <f t="shared" si="63"/>
        <v>-49.288499999999999</v>
      </c>
      <c r="Y1382" t="str">
        <f t="shared" si="64"/>
        <v>Loss</v>
      </c>
      <c r="Z1382" t="str">
        <f t="shared" si="65"/>
        <v>Medium</v>
      </c>
    </row>
    <row r="1383" spans="1:26" x14ac:dyDescent="0.35">
      <c r="A1383" s="1">
        <v>1382</v>
      </c>
      <c r="B1383" s="2" t="s">
        <v>3905</v>
      </c>
      <c r="C1383" s="3">
        <v>45219</v>
      </c>
      <c r="D1383" s="3">
        <v>45221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V1383">
        <f>YEAR(Table1[[#This Row],[Order Date]])</f>
        <v>2023</v>
      </c>
      <c r="W1383" t="str">
        <f>TEXT(Table1[[#This Row],[Order Date]],"mmm")</f>
        <v>Oct</v>
      </c>
      <c r="X1383">
        <f t="shared" si="63"/>
        <v>-14.759400000000003</v>
      </c>
      <c r="Y1383" t="str">
        <f t="shared" si="64"/>
        <v>Loss</v>
      </c>
      <c r="Z1383" t="str">
        <f t="shared" si="65"/>
        <v>High</v>
      </c>
    </row>
    <row r="1384" spans="1:26" x14ac:dyDescent="0.35">
      <c r="A1384" s="1">
        <v>1383</v>
      </c>
      <c r="B1384" s="2" t="s">
        <v>3905</v>
      </c>
      <c r="C1384" s="3">
        <v>45219</v>
      </c>
      <c r="D1384" s="3">
        <v>45221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V1384">
        <f>YEAR(Table1[[#This Row],[Order Date]])</f>
        <v>2023</v>
      </c>
      <c r="W1384" t="str">
        <f>TEXT(Table1[[#This Row],[Order Date]],"mmm")</f>
        <v>Oct</v>
      </c>
      <c r="X1384">
        <f t="shared" si="63"/>
        <v>7.9378000000000002</v>
      </c>
      <c r="Y1384" t="str">
        <f t="shared" si="64"/>
        <v>Profit</v>
      </c>
      <c r="Z1384" t="str">
        <f t="shared" si="65"/>
        <v>Low</v>
      </c>
    </row>
    <row r="1385" spans="1:26" x14ac:dyDescent="0.35">
      <c r="A1385" s="1">
        <v>1384</v>
      </c>
      <c r="B1385" s="2" t="s">
        <v>3905</v>
      </c>
      <c r="C1385" s="3">
        <v>45219</v>
      </c>
      <c r="D1385" s="3">
        <v>45221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V1385">
        <f>YEAR(Table1[[#This Row],[Order Date]])</f>
        <v>2023</v>
      </c>
      <c r="W1385" t="str">
        <f>TEXT(Table1[[#This Row],[Order Date]],"mmm")</f>
        <v>Oct</v>
      </c>
      <c r="X1385">
        <f t="shared" si="63"/>
        <v>1.2375999999999996</v>
      </c>
      <c r="Y1385" t="str">
        <f t="shared" si="64"/>
        <v>Profit</v>
      </c>
      <c r="Z1385" t="str">
        <f t="shared" si="65"/>
        <v>Low</v>
      </c>
    </row>
    <row r="1386" spans="1:26" x14ac:dyDescent="0.35">
      <c r="A1386" s="1">
        <v>1385</v>
      </c>
      <c r="B1386" s="2" t="s">
        <v>3900</v>
      </c>
      <c r="C1386" s="3">
        <v>45219</v>
      </c>
      <c r="D1386" s="3">
        <v>45222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>
        <f>YEAR(Table1[[#This Row],[Order Date]])</f>
        <v>2023</v>
      </c>
      <c r="W1386" t="str">
        <f>TEXT(Table1[[#This Row],[Order Date]],"mmm")</f>
        <v>Oct</v>
      </c>
      <c r="X1386">
        <f t="shared" si="63"/>
        <v>-8.1959999999999997</v>
      </c>
      <c r="Y1386" t="str">
        <f t="shared" si="64"/>
        <v>Loss</v>
      </c>
      <c r="Z1386" t="str">
        <f t="shared" si="65"/>
        <v>Low</v>
      </c>
    </row>
    <row r="1387" spans="1:26" x14ac:dyDescent="0.35">
      <c r="A1387" s="1">
        <v>1386</v>
      </c>
      <c r="B1387" s="2" t="s">
        <v>3912</v>
      </c>
      <c r="C1387" s="3">
        <v>45219</v>
      </c>
      <c r="D1387" s="3">
        <v>45224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</v>
      </c>
      <c r="T1387" s="1">
        <v>0</v>
      </c>
      <c r="U1387" s="1">
        <v>8.4783999999999935</v>
      </c>
      <c r="V1387">
        <f>YEAR(Table1[[#This Row],[Order Date]])</f>
        <v>2023</v>
      </c>
      <c r="W1387" t="str">
        <f>TEXT(Table1[[#This Row],[Order Date]],"mmm")</f>
        <v>Oct</v>
      </c>
      <c r="X1387">
        <f t="shared" si="63"/>
        <v>2.1195999999999984</v>
      </c>
      <c r="Y1387" t="str">
        <f t="shared" si="64"/>
        <v>Profit</v>
      </c>
      <c r="Z1387" t="str">
        <f t="shared" si="65"/>
        <v>No Discount</v>
      </c>
    </row>
    <row r="1388" spans="1:26" x14ac:dyDescent="0.35">
      <c r="A1388" s="1">
        <v>1387</v>
      </c>
      <c r="B1388" s="2" t="s">
        <v>3905</v>
      </c>
      <c r="C1388" s="3">
        <v>45219</v>
      </c>
      <c r="D1388" s="3">
        <v>45221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V1388">
        <f>YEAR(Table1[[#This Row],[Order Date]])</f>
        <v>2023</v>
      </c>
      <c r="W1388" t="str">
        <f>TEXT(Table1[[#This Row],[Order Date]],"mmm")</f>
        <v>Oct</v>
      </c>
      <c r="X1388">
        <f t="shared" si="63"/>
        <v>10.527499999999984</v>
      </c>
      <c r="Y1388" t="str">
        <f t="shared" si="64"/>
        <v>Profit</v>
      </c>
      <c r="Z1388" t="str">
        <f t="shared" si="65"/>
        <v>Low</v>
      </c>
    </row>
    <row r="1389" spans="1:26" x14ac:dyDescent="0.35">
      <c r="A1389" s="1">
        <v>1388</v>
      </c>
      <c r="B1389" s="2" t="s">
        <v>3905</v>
      </c>
      <c r="C1389" s="3">
        <v>45219</v>
      </c>
      <c r="D1389" s="3">
        <v>45221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>
        <f>YEAR(Table1[[#This Row],[Order Date]])</f>
        <v>2023</v>
      </c>
      <c r="W1389" t="str">
        <f>TEXT(Table1[[#This Row],[Order Date]],"mmm")</f>
        <v>Oct</v>
      </c>
      <c r="X1389">
        <f t="shared" si="63"/>
        <v>17.998200000000001</v>
      </c>
      <c r="Y1389" t="str">
        <f t="shared" si="64"/>
        <v>Profit</v>
      </c>
      <c r="Z1389" t="str">
        <f t="shared" si="65"/>
        <v>Low</v>
      </c>
    </row>
    <row r="1390" spans="1:26" x14ac:dyDescent="0.35">
      <c r="A1390" s="1">
        <v>1389</v>
      </c>
      <c r="B1390" s="2" t="s">
        <v>3915</v>
      </c>
      <c r="C1390" s="3">
        <v>45220</v>
      </c>
      <c r="D1390" s="3">
        <v>45221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V1390">
        <f>YEAR(Table1[[#This Row],[Order Date]])</f>
        <v>2023</v>
      </c>
      <c r="W1390" t="str">
        <f>TEXT(Table1[[#This Row],[Order Date]],"mmm")</f>
        <v>Oct</v>
      </c>
      <c r="X1390">
        <f t="shared" si="63"/>
        <v>-40.95900000000001</v>
      </c>
      <c r="Y1390" t="str">
        <f t="shared" si="64"/>
        <v>Loss</v>
      </c>
      <c r="Z1390" t="str">
        <f t="shared" si="65"/>
        <v>Medium</v>
      </c>
    </row>
    <row r="1391" spans="1:26" x14ac:dyDescent="0.35">
      <c r="A1391" s="1">
        <v>1390</v>
      </c>
      <c r="B1391" s="2" t="s">
        <v>3918</v>
      </c>
      <c r="C1391" s="3">
        <v>45220</v>
      </c>
      <c r="D1391" s="3">
        <v>45225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591.32000000000005</v>
      </c>
      <c r="S1391" s="1">
        <v>4</v>
      </c>
      <c r="T1391" s="1">
        <v>0</v>
      </c>
      <c r="U1391" s="1">
        <v>112.35079999999999</v>
      </c>
      <c r="V1391">
        <f>YEAR(Table1[[#This Row],[Order Date]])</f>
        <v>2023</v>
      </c>
      <c r="W1391" t="str">
        <f>TEXT(Table1[[#This Row],[Order Date]],"mmm")</f>
        <v>Oct</v>
      </c>
      <c r="X1391">
        <f t="shared" si="63"/>
        <v>28.087699999999998</v>
      </c>
      <c r="Y1391" t="str">
        <f t="shared" si="64"/>
        <v>Profit</v>
      </c>
      <c r="Z1391" t="str">
        <f t="shared" si="65"/>
        <v>No Discount</v>
      </c>
    </row>
    <row r="1392" spans="1:26" x14ac:dyDescent="0.35">
      <c r="A1392" s="1">
        <v>1391</v>
      </c>
      <c r="B1392" s="2" t="s">
        <v>3915</v>
      </c>
      <c r="C1392" s="3">
        <v>45220</v>
      </c>
      <c r="D1392" s="3">
        <v>45221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V1392">
        <f>YEAR(Table1[[#This Row],[Order Date]])</f>
        <v>2023</v>
      </c>
      <c r="W1392" t="str">
        <f>TEXT(Table1[[#This Row],[Order Date]],"mmm")</f>
        <v>Oct</v>
      </c>
      <c r="X1392">
        <f t="shared" si="63"/>
        <v>3.4253999999999971</v>
      </c>
      <c r="Y1392" t="str">
        <f t="shared" si="64"/>
        <v>Profit</v>
      </c>
      <c r="Z1392" t="str">
        <f t="shared" si="65"/>
        <v>Low</v>
      </c>
    </row>
    <row r="1393" spans="1:26" x14ac:dyDescent="0.35">
      <c r="A1393" s="1">
        <v>1392</v>
      </c>
      <c r="B1393" s="2" t="s">
        <v>3918</v>
      </c>
      <c r="C1393" s="3">
        <v>45220</v>
      </c>
      <c r="D1393" s="3">
        <v>45225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</v>
      </c>
      <c r="T1393" s="1">
        <v>0</v>
      </c>
      <c r="U1393" s="1">
        <v>0.88039999999999985</v>
      </c>
      <c r="V1393">
        <f>YEAR(Table1[[#This Row],[Order Date]])</f>
        <v>2023</v>
      </c>
      <c r="W1393" t="str">
        <f>TEXT(Table1[[#This Row],[Order Date]],"mmm")</f>
        <v>Oct</v>
      </c>
      <c r="X1393">
        <f t="shared" si="63"/>
        <v>0.88039999999999985</v>
      </c>
      <c r="Y1393" t="str">
        <f t="shared" si="64"/>
        <v>Profit</v>
      </c>
      <c r="Z1393" t="str">
        <f t="shared" si="65"/>
        <v>No Discount</v>
      </c>
    </row>
    <row r="1394" spans="1:26" x14ac:dyDescent="0.35">
      <c r="A1394" s="1">
        <v>1393</v>
      </c>
      <c r="B1394" s="2" t="s">
        <v>3922</v>
      </c>
      <c r="C1394" s="3">
        <v>45220</v>
      </c>
      <c r="D1394" s="3">
        <v>45225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</v>
      </c>
      <c r="T1394" s="1">
        <v>0.2</v>
      </c>
      <c r="U1394" s="1">
        <v>12.2715</v>
      </c>
      <c r="V1394">
        <f>YEAR(Table1[[#This Row],[Order Date]])</f>
        <v>2023</v>
      </c>
      <c r="W1394" t="str">
        <f>TEXT(Table1[[#This Row],[Order Date]],"mmm")</f>
        <v>Oct</v>
      </c>
      <c r="X1394">
        <f t="shared" si="63"/>
        <v>4.0904999999999996</v>
      </c>
      <c r="Y1394" t="str">
        <f t="shared" si="64"/>
        <v>Profit</v>
      </c>
      <c r="Z1394" t="str">
        <f t="shared" si="65"/>
        <v>Low</v>
      </c>
    </row>
    <row r="1395" spans="1:26" x14ac:dyDescent="0.35">
      <c r="A1395" s="1">
        <v>1394</v>
      </c>
      <c r="B1395" s="2" t="s">
        <v>3918</v>
      </c>
      <c r="C1395" s="3">
        <v>45220</v>
      </c>
      <c r="D1395" s="3">
        <v>45225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</v>
      </c>
      <c r="T1395" s="1">
        <v>0</v>
      </c>
      <c r="U1395" s="1">
        <v>9.7349999999999781</v>
      </c>
      <c r="V1395">
        <f>YEAR(Table1[[#This Row],[Order Date]])</f>
        <v>2023</v>
      </c>
      <c r="W1395" t="str">
        <f>TEXT(Table1[[#This Row],[Order Date]],"mmm")</f>
        <v>Oct</v>
      </c>
      <c r="X1395">
        <f t="shared" si="63"/>
        <v>1.9469999999999956</v>
      </c>
      <c r="Y1395" t="str">
        <f t="shared" si="64"/>
        <v>Profit</v>
      </c>
      <c r="Z1395" t="str">
        <f t="shared" si="65"/>
        <v>No Discount</v>
      </c>
    </row>
    <row r="1396" spans="1:26" x14ac:dyDescent="0.35">
      <c r="A1396" s="1">
        <v>1395</v>
      </c>
      <c r="B1396" s="2" t="s">
        <v>3927</v>
      </c>
      <c r="C1396" s="3">
        <v>45221</v>
      </c>
      <c r="D1396" s="3">
        <v>45225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129.91999999999999</v>
      </c>
      <c r="S1396" s="1">
        <v>4</v>
      </c>
      <c r="T1396" s="1">
        <v>0</v>
      </c>
      <c r="U1396" s="1">
        <v>10.393599999999992</v>
      </c>
      <c r="V1396">
        <f>YEAR(Table1[[#This Row],[Order Date]])</f>
        <v>2023</v>
      </c>
      <c r="W1396" t="str">
        <f>TEXT(Table1[[#This Row],[Order Date]],"mmm")</f>
        <v>Oct</v>
      </c>
      <c r="X1396">
        <f t="shared" si="63"/>
        <v>2.598399999999998</v>
      </c>
      <c r="Y1396" t="str">
        <f t="shared" si="64"/>
        <v>Profit</v>
      </c>
      <c r="Z1396" t="str">
        <f t="shared" si="65"/>
        <v>No Discount</v>
      </c>
    </row>
    <row r="1397" spans="1:26" x14ac:dyDescent="0.35">
      <c r="A1397" s="1">
        <v>1396</v>
      </c>
      <c r="B1397" s="2" t="s">
        <v>3930</v>
      </c>
      <c r="C1397" s="3">
        <v>45221</v>
      </c>
      <c r="D1397" s="3">
        <v>45227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93.888000000000005</v>
      </c>
      <c r="S1397" s="1">
        <v>4</v>
      </c>
      <c r="T1397" s="1">
        <v>0.2</v>
      </c>
      <c r="U1397" s="1">
        <v>12.90959999999999</v>
      </c>
      <c r="V1397">
        <f>YEAR(Table1[[#This Row],[Order Date]])</f>
        <v>2023</v>
      </c>
      <c r="W1397" t="str">
        <f>TEXT(Table1[[#This Row],[Order Date]],"mmm")</f>
        <v>Oct</v>
      </c>
      <c r="X1397">
        <f t="shared" si="63"/>
        <v>3.2273999999999976</v>
      </c>
      <c r="Y1397" t="str">
        <f t="shared" si="64"/>
        <v>Profit</v>
      </c>
      <c r="Z1397" t="str">
        <f t="shared" si="65"/>
        <v>Low</v>
      </c>
    </row>
    <row r="1398" spans="1:26" x14ac:dyDescent="0.35">
      <c r="A1398" s="1">
        <v>1397</v>
      </c>
      <c r="B1398" s="2" t="s">
        <v>3933</v>
      </c>
      <c r="C1398" s="3">
        <v>45223</v>
      </c>
      <c r="D1398" s="3">
        <v>45228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V1398">
        <f>YEAR(Table1[[#This Row],[Order Date]])</f>
        <v>2023</v>
      </c>
      <c r="W1398" t="str">
        <f>TEXT(Table1[[#This Row],[Order Date]],"mmm")</f>
        <v>Oct</v>
      </c>
      <c r="X1398">
        <f t="shared" si="63"/>
        <v>3.7127999999999997</v>
      </c>
      <c r="Y1398" t="str">
        <f t="shared" si="64"/>
        <v>Profit</v>
      </c>
      <c r="Z1398" t="str">
        <f t="shared" si="65"/>
        <v>Low</v>
      </c>
    </row>
    <row r="1399" spans="1:26" x14ac:dyDescent="0.35">
      <c r="A1399" s="1">
        <v>1398</v>
      </c>
      <c r="B1399" s="2" t="s">
        <v>3935</v>
      </c>
      <c r="C1399" s="3">
        <v>45223</v>
      </c>
      <c r="D1399" s="3">
        <v>45223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11.850000000000001</v>
      </c>
      <c r="S1399" s="1">
        <v>3</v>
      </c>
      <c r="T1399" s="1">
        <v>0</v>
      </c>
      <c r="U1399" s="1">
        <v>3.7919999999999994</v>
      </c>
      <c r="V1399">
        <f>YEAR(Table1[[#This Row],[Order Date]])</f>
        <v>2023</v>
      </c>
      <c r="W1399" t="str">
        <f>TEXT(Table1[[#This Row],[Order Date]],"mmm")</f>
        <v>Oct</v>
      </c>
      <c r="X1399">
        <f t="shared" si="63"/>
        <v>1.2639999999999998</v>
      </c>
      <c r="Y1399" t="str">
        <f t="shared" si="64"/>
        <v>Profit</v>
      </c>
      <c r="Z1399" t="str">
        <f t="shared" si="65"/>
        <v>No Discount</v>
      </c>
    </row>
    <row r="1400" spans="1:26" x14ac:dyDescent="0.35">
      <c r="A1400" s="1">
        <v>1399</v>
      </c>
      <c r="B1400" s="2" t="s">
        <v>3939</v>
      </c>
      <c r="C1400" s="3">
        <v>45223</v>
      </c>
      <c r="D1400" s="3">
        <v>45228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10.368000000000002</v>
      </c>
      <c r="S1400" s="1">
        <v>2</v>
      </c>
      <c r="T1400" s="1">
        <v>0.2</v>
      </c>
      <c r="U1400" s="1">
        <v>3.6288</v>
      </c>
      <c r="V1400">
        <f>YEAR(Table1[[#This Row],[Order Date]])</f>
        <v>2023</v>
      </c>
      <c r="W1400" t="str">
        <f>TEXT(Table1[[#This Row],[Order Date]],"mmm")</f>
        <v>Oct</v>
      </c>
      <c r="X1400">
        <f t="shared" si="63"/>
        <v>1.8144</v>
      </c>
      <c r="Y1400" t="str">
        <f t="shared" si="64"/>
        <v>Profit</v>
      </c>
      <c r="Z1400" t="str">
        <f t="shared" si="65"/>
        <v>Low</v>
      </c>
    </row>
    <row r="1401" spans="1:26" x14ac:dyDescent="0.35">
      <c r="A1401" s="1">
        <v>1400</v>
      </c>
      <c r="B1401" s="2" t="s">
        <v>3943</v>
      </c>
      <c r="C1401" s="3">
        <v>45224</v>
      </c>
      <c r="D1401" s="3">
        <v>45228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V1401">
        <f>YEAR(Table1[[#This Row],[Order Date]])</f>
        <v>2023</v>
      </c>
      <c r="W1401" t="str">
        <f>TEXT(Table1[[#This Row],[Order Date]],"mmm")</f>
        <v>Oct</v>
      </c>
      <c r="X1401">
        <f t="shared" si="63"/>
        <v>-3.1961999999999997</v>
      </c>
      <c r="Y1401" t="str">
        <f t="shared" si="64"/>
        <v>Loss</v>
      </c>
      <c r="Z1401" t="str">
        <f t="shared" si="65"/>
        <v>High</v>
      </c>
    </row>
    <row r="1402" spans="1:26" x14ac:dyDescent="0.35">
      <c r="A1402" s="1">
        <v>1401</v>
      </c>
      <c r="B1402" s="2" t="s">
        <v>3944</v>
      </c>
      <c r="C1402" s="3">
        <v>45224</v>
      </c>
      <c r="D1402" s="3">
        <v>45227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>
        <f>YEAR(Table1[[#This Row],[Order Date]])</f>
        <v>2023</v>
      </c>
      <c r="W1402" t="str">
        <f>TEXT(Table1[[#This Row],[Order Date]],"mmm")</f>
        <v>Oct</v>
      </c>
      <c r="X1402">
        <f t="shared" si="63"/>
        <v>4.6319999999999997</v>
      </c>
      <c r="Y1402" t="str">
        <f t="shared" si="64"/>
        <v>Profit</v>
      </c>
      <c r="Z1402" t="str">
        <f t="shared" si="65"/>
        <v>Low</v>
      </c>
    </row>
    <row r="1403" spans="1:26" x14ac:dyDescent="0.35">
      <c r="A1403" s="1">
        <v>1402</v>
      </c>
      <c r="B1403" s="2" t="s">
        <v>3943</v>
      </c>
      <c r="C1403" s="3">
        <v>45224</v>
      </c>
      <c r="D1403" s="3">
        <v>45228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V1403">
        <f>YEAR(Table1[[#This Row],[Order Date]])</f>
        <v>2023</v>
      </c>
      <c r="W1403" t="str">
        <f>TEXT(Table1[[#This Row],[Order Date]],"mmm")</f>
        <v>Oct</v>
      </c>
      <c r="X1403">
        <f t="shared" si="63"/>
        <v>0.16990000000000016</v>
      </c>
      <c r="Y1403" t="str">
        <f t="shared" si="64"/>
        <v>Profit</v>
      </c>
      <c r="Z1403" t="str">
        <f t="shared" si="65"/>
        <v>Low</v>
      </c>
    </row>
    <row r="1404" spans="1:26" x14ac:dyDescent="0.35">
      <c r="A1404" s="1">
        <v>1403</v>
      </c>
      <c r="B1404" s="2" t="s">
        <v>3949</v>
      </c>
      <c r="C1404" s="3">
        <v>45225</v>
      </c>
      <c r="D1404" s="3">
        <v>45229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</v>
      </c>
      <c r="T1404" s="1">
        <v>0</v>
      </c>
      <c r="U1404" s="1">
        <v>3.195999999999998</v>
      </c>
      <c r="V1404">
        <f>YEAR(Table1[[#This Row],[Order Date]])</f>
        <v>2023</v>
      </c>
      <c r="W1404" t="str">
        <f>TEXT(Table1[[#This Row],[Order Date]],"mmm")</f>
        <v>Oct</v>
      </c>
      <c r="X1404">
        <f t="shared" si="63"/>
        <v>0.79899999999999949</v>
      </c>
      <c r="Y1404" t="str">
        <f t="shared" si="64"/>
        <v>Profit</v>
      </c>
      <c r="Z1404" t="str">
        <f t="shared" si="65"/>
        <v>No Discount</v>
      </c>
    </row>
    <row r="1405" spans="1:26" x14ac:dyDescent="0.35">
      <c r="A1405" s="1">
        <v>1404</v>
      </c>
      <c r="B1405" s="2" t="s">
        <v>3949</v>
      </c>
      <c r="C1405" s="3">
        <v>45225</v>
      </c>
      <c r="D1405" s="3">
        <v>45229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V1405">
        <f>YEAR(Table1[[#This Row],[Order Date]])</f>
        <v>2023</v>
      </c>
      <c r="W1405" t="str">
        <f>TEXT(Table1[[#This Row],[Order Date]],"mmm")</f>
        <v>Oct</v>
      </c>
      <c r="X1405">
        <f t="shared" si="63"/>
        <v>7.6792000000000034</v>
      </c>
      <c r="Y1405" t="str">
        <f t="shared" si="64"/>
        <v>Profit</v>
      </c>
      <c r="Z1405" t="str">
        <f t="shared" si="65"/>
        <v>Low</v>
      </c>
    </row>
    <row r="1406" spans="1:26" x14ac:dyDescent="0.35">
      <c r="A1406" s="1">
        <v>1405</v>
      </c>
      <c r="B1406" s="2" t="s">
        <v>3954</v>
      </c>
      <c r="C1406" s="3">
        <v>45226</v>
      </c>
      <c r="D1406" s="3">
        <v>45231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V1406">
        <f>YEAR(Table1[[#This Row],[Order Date]])</f>
        <v>2023</v>
      </c>
      <c r="W1406" t="str">
        <f>TEXT(Table1[[#This Row],[Order Date]],"mmm")</f>
        <v>Oct</v>
      </c>
      <c r="X1406">
        <f t="shared" si="63"/>
        <v>1.3446</v>
      </c>
      <c r="Y1406" t="str">
        <f t="shared" si="64"/>
        <v>Profit</v>
      </c>
      <c r="Z1406" t="str">
        <f t="shared" si="65"/>
        <v>Low</v>
      </c>
    </row>
    <row r="1407" spans="1:26" x14ac:dyDescent="0.35">
      <c r="A1407" s="1">
        <v>1406</v>
      </c>
      <c r="B1407" s="2" t="s">
        <v>3954</v>
      </c>
      <c r="C1407" s="3">
        <v>45226</v>
      </c>
      <c r="D1407" s="3">
        <v>45231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10.368000000000002</v>
      </c>
      <c r="S1407" s="1">
        <v>2</v>
      </c>
      <c r="T1407" s="1">
        <v>0.2</v>
      </c>
      <c r="U1407" s="1">
        <v>3.6288</v>
      </c>
      <c r="V1407">
        <f>YEAR(Table1[[#This Row],[Order Date]])</f>
        <v>2023</v>
      </c>
      <c r="W1407" t="str">
        <f>TEXT(Table1[[#This Row],[Order Date]],"mmm")</f>
        <v>Oct</v>
      </c>
      <c r="X1407">
        <f t="shared" si="63"/>
        <v>1.8144</v>
      </c>
      <c r="Y1407" t="str">
        <f t="shared" si="64"/>
        <v>Profit</v>
      </c>
      <c r="Z1407" t="str">
        <f t="shared" si="65"/>
        <v>Low</v>
      </c>
    </row>
    <row r="1408" spans="1:26" x14ac:dyDescent="0.35">
      <c r="A1408" s="1">
        <v>1407</v>
      </c>
      <c r="B1408" s="2" t="s">
        <v>3957</v>
      </c>
      <c r="C1408" s="3">
        <v>45227</v>
      </c>
      <c r="D1408" s="3">
        <v>45230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>
        <f>YEAR(Table1[[#This Row],[Order Date]])</f>
        <v>2023</v>
      </c>
      <c r="W1408" t="str">
        <f>TEXT(Table1[[#This Row],[Order Date]],"mmm")</f>
        <v>Oct</v>
      </c>
      <c r="X1408">
        <f t="shared" si="63"/>
        <v>-6.0489999999999995</v>
      </c>
      <c r="Y1408" t="str">
        <f t="shared" si="64"/>
        <v>Loss</v>
      </c>
      <c r="Z1408" t="str">
        <f t="shared" si="65"/>
        <v>Low</v>
      </c>
    </row>
    <row r="1409" spans="1:26" x14ac:dyDescent="0.35">
      <c r="A1409" s="1">
        <v>1408</v>
      </c>
      <c r="B1409" s="2" t="s">
        <v>3957</v>
      </c>
      <c r="C1409" s="3">
        <v>45227</v>
      </c>
      <c r="D1409" s="3">
        <v>45230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V1409">
        <f>YEAR(Table1[[#This Row],[Order Date]])</f>
        <v>2023</v>
      </c>
      <c r="W1409" t="str">
        <f>TEXT(Table1[[#This Row],[Order Date]],"mmm")</f>
        <v>Oct</v>
      </c>
      <c r="X1409">
        <f t="shared" si="63"/>
        <v>1.1224999999999996</v>
      </c>
      <c r="Y1409" t="str">
        <f t="shared" si="64"/>
        <v>Profit</v>
      </c>
      <c r="Z1409" t="str">
        <f t="shared" si="65"/>
        <v>Low</v>
      </c>
    </row>
    <row r="1410" spans="1:26" x14ac:dyDescent="0.35">
      <c r="A1410" s="1">
        <v>1409</v>
      </c>
      <c r="B1410" s="2" t="s">
        <v>3957</v>
      </c>
      <c r="C1410" s="3">
        <v>45227</v>
      </c>
      <c r="D1410" s="3">
        <v>45230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  <c r="V1410">
        <f>YEAR(Table1[[#This Row],[Order Date]])</f>
        <v>2023</v>
      </c>
      <c r="W1410" t="str">
        <f>TEXT(Table1[[#This Row],[Order Date]],"mmm")</f>
        <v>Oct</v>
      </c>
      <c r="X1410">
        <f t="shared" ref="X1410:X1473" si="66">IFERROR(U1410/S1410,0)</f>
        <v>7.6355999999999993</v>
      </c>
      <c r="Y1410" t="str">
        <f t="shared" ref="Y1410:Y1473" si="67">IF(U1410&gt;0,"Profit",IF(U1410&lt;0,"Loss","Break-even"))</f>
        <v>Profit</v>
      </c>
      <c r="Z1410" t="str">
        <f t="shared" ref="Z1410:Z1473" si="68">IF(T1410=0,"No Discount",IF(T1410&lt;=0.2,"Low",IF(T1410&lt;=0.4,"Medium","High")))</f>
        <v>No Discount</v>
      </c>
    </row>
    <row r="1411" spans="1:26" x14ac:dyDescent="0.35">
      <c r="A1411" s="1">
        <v>1410</v>
      </c>
      <c r="B1411" s="2" t="s">
        <v>3957</v>
      </c>
      <c r="C1411" s="3">
        <v>45227</v>
      </c>
      <c r="D1411" s="3">
        <v>45230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</v>
      </c>
      <c r="T1411" s="1">
        <v>0</v>
      </c>
      <c r="U1411" s="1">
        <v>14.422200000000032</v>
      </c>
      <c r="V1411">
        <f>YEAR(Table1[[#This Row],[Order Date]])</f>
        <v>2023</v>
      </c>
      <c r="W1411" t="str">
        <f>TEXT(Table1[[#This Row],[Order Date]],"mmm")</f>
        <v>Oct</v>
      </c>
      <c r="X1411">
        <f t="shared" si="66"/>
        <v>7.2111000000000161</v>
      </c>
      <c r="Y1411" t="str">
        <f t="shared" si="67"/>
        <v>Profit</v>
      </c>
      <c r="Z1411" t="str">
        <f t="shared" si="68"/>
        <v>No Discount</v>
      </c>
    </row>
    <row r="1412" spans="1:26" x14ac:dyDescent="0.35">
      <c r="A1412" s="1">
        <v>1411</v>
      </c>
      <c r="B1412" s="2" t="s">
        <v>3957</v>
      </c>
      <c r="C1412" s="3">
        <v>45227</v>
      </c>
      <c r="D1412" s="3">
        <v>45230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</v>
      </c>
      <c r="T1412" s="1">
        <v>0</v>
      </c>
      <c r="U1412" s="1">
        <v>6.2800000000000189E-2</v>
      </c>
      <c r="V1412">
        <f>YEAR(Table1[[#This Row],[Order Date]])</f>
        <v>2023</v>
      </c>
      <c r="W1412" t="str">
        <f>TEXT(Table1[[#This Row],[Order Date]],"mmm")</f>
        <v>Oct</v>
      </c>
      <c r="X1412">
        <f t="shared" si="66"/>
        <v>3.1400000000000095E-2</v>
      </c>
      <c r="Y1412" t="str">
        <f t="shared" si="67"/>
        <v>Profit</v>
      </c>
      <c r="Z1412" t="str">
        <f t="shared" si="68"/>
        <v>No Discount</v>
      </c>
    </row>
    <row r="1413" spans="1:26" x14ac:dyDescent="0.35">
      <c r="A1413" s="1">
        <v>1412</v>
      </c>
      <c r="B1413" s="2" t="s">
        <v>3964</v>
      </c>
      <c r="C1413" s="3">
        <v>45227</v>
      </c>
      <c r="D1413" s="3">
        <v>45231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</v>
      </c>
      <c r="T1413" s="1">
        <v>0</v>
      </c>
      <c r="U1413" s="1">
        <v>74.8142</v>
      </c>
      <c r="V1413">
        <f>YEAR(Table1[[#This Row],[Order Date]])</f>
        <v>2023</v>
      </c>
      <c r="W1413" t="str">
        <f>TEXT(Table1[[#This Row],[Order Date]],"mmm")</f>
        <v>Oct</v>
      </c>
      <c r="X1413">
        <f t="shared" si="66"/>
        <v>37.4071</v>
      </c>
      <c r="Y1413" t="str">
        <f t="shared" si="67"/>
        <v>Profit</v>
      </c>
      <c r="Z1413" t="str">
        <f t="shared" si="68"/>
        <v>No Discount</v>
      </c>
    </row>
    <row r="1414" spans="1:26" x14ac:dyDescent="0.35">
      <c r="A1414" s="1">
        <v>1413</v>
      </c>
      <c r="B1414" s="2" t="s">
        <v>3970</v>
      </c>
      <c r="C1414" s="3">
        <v>45228</v>
      </c>
      <c r="D1414" s="3">
        <v>45232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</v>
      </c>
      <c r="T1414" s="1">
        <v>0</v>
      </c>
      <c r="U1414" s="1">
        <v>35.663599999999995</v>
      </c>
      <c r="V1414">
        <f>YEAR(Table1[[#This Row],[Order Date]])</f>
        <v>2023</v>
      </c>
      <c r="W1414" t="str">
        <f>TEXT(Table1[[#This Row],[Order Date]],"mmm")</f>
        <v>Oct</v>
      </c>
      <c r="X1414">
        <f t="shared" si="66"/>
        <v>17.831799999999998</v>
      </c>
      <c r="Y1414" t="str">
        <f t="shared" si="67"/>
        <v>Profit</v>
      </c>
      <c r="Z1414" t="str">
        <f t="shared" si="68"/>
        <v>No Discount</v>
      </c>
    </row>
    <row r="1415" spans="1:26" x14ac:dyDescent="0.35">
      <c r="A1415" s="1">
        <v>1414</v>
      </c>
      <c r="B1415" s="2" t="s">
        <v>3970</v>
      </c>
      <c r="C1415" s="3">
        <v>45228</v>
      </c>
      <c r="D1415" s="3">
        <v>45232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  <c r="V1415">
        <f>YEAR(Table1[[#This Row],[Order Date]])</f>
        <v>2023</v>
      </c>
      <c r="W1415" t="str">
        <f>TEXT(Table1[[#This Row],[Order Date]],"mmm")</f>
        <v>Oct</v>
      </c>
      <c r="X1415">
        <f t="shared" si="66"/>
        <v>0.44550000000000001</v>
      </c>
      <c r="Y1415" t="str">
        <f t="shared" si="67"/>
        <v>Profit</v>
      </c>
      <c r="Z1415" t="str">
        <f t="shared" si="68"/>
        <v>No Discount</v>
      </c>
    </row>
    <row r="1416" spans="1:26" x14ac:dyDescent="0.35">
      <c r="A1416" s="1">
        <v>1415</v>
      </c>
      <c r="B1416" s="2" t="s">
        <v>3975</v>
      </c>
      <c r="C1416" s="3">
        <v>45228</v>
      </c>
      <c r="D1416" s="3">
        <v>45230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V1416">
        <f>YEAR(Table1[[#This Row],[Order Date]])</f>
        <v>2023</v>
      </c>
      <c r="W1416" t="str">
        <f>TEXT(Table1[[#This Row],[Order Date]],"mmm")</f>
        <v>Oct</v>
      </c>
      <c r="X1416">
        <f t="shared" si="66"/>
        <v>56.998999999999945</v>
      </c>
      <c r="Y1416" t="str">
        <f t="shared" si="67"/>
        <v>Profit</v>
      </c>
      <c r="Z1416" t="str">
        <f t="shared" si="68"/>
        <v>Low</v>
      </c>
    </row>
    <row r="1417" spans="1:26" x14ac:dyDescent="0.35">
      <c r="A1417" s="1">
        <v>1416</v>
      </c>
      <c r="B1417" s="2" t="s">
        <v>3976</v>
      </c>
      <c r="C1417" s="3">
        <v>45230</v>
      </c>
      <c r="D1417" s="3">
        <v>45232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</v>
      </c>
      <c r="T1417" s="1">
        <v>0</v>
      </c>
      <c r="U1417" s="1">
        <v>481.46999999999991</v>
      </c>
      <c r="V1417">
        <f>YEAR(Table1[[#This Row],[Order Date]])</f>
        <v>2023</v>
      </c>
      <c r="W1417" t="str">
        <f>TEXT(Table1[[#This Row],[Order Date]],"mmm")</f>
        <v>Oct</v>
      </c>
      <c r="X1417">
        <f t="shared" si="66"/>
        <v>96.293999999999983</v>
      </c>
      <c r="Y1417" t="str">
        <f t="shared" si="67"/>
        <v>Profit</v>
      </c>
      <c r="Z1417" t="str">
        <f t="shared" si="68"/>
        <v>No Discount</v>
      </c>
    </row>
    <row r="1418" spans="1:26" x14ac:dyDescent="0.35">
      <c r="A1418" s="1">
        <v>1417</v>
      </c>
      <c r="B1418" s="2" t="s">
        <v>3981</v>
      </c>
      <c r="C1418" s="3">
        <v>45230</v>
      </c>
      <c r="D1418" s="3">
        <v>45234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</v>
      </c>
      <c r="T1418" s="1">
        <v>0.2</v>
      </c>
      <c r="U1418" s="1">
        <v>-9.1470000000000056</v>
      </c>
      <c r="V1418">
        <f>YEAR(Table1[[#This Row],[Order Date]])</f>
        <v>2023</v>
      </c>
      <c r="W1418" t="str">
        <f>TEXT(Table1[[#This Row],[Order Date]],"mmm")</f>
        <v>Oct</v>
      </c>
      <c r="X1418">
        <f t="shared" si="66"/>
        <v>-3.0490000000000017</v>
      </c>
      <c r="Y1418" t="str">
        <f t="shared" si="67"/>
        <v>Loss</v>
      </c>
      <c r="Z1418" t="str">
        <f t="shared" si="68"/>
        <v>Low</v>
      </c>
    </row>
    <row r="1419" spans="1:26" x14ac:dyDescent="0.35">
      <c r="A1419" s="1">
        <v>1418</v>
      </c>
      <c r="B1419" s="2" t="s">
        <v>3976</v>
      </c>
      <c r="C1419" s="3">
        <v>45230</v>
      </c>
      <c r="D1419" s="3">
        <v>45232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17.669999999999998</v>
      </c>
      <c r="S1419" s="1">
        <v>3</v>
      </c>
      <c r="T1419" s="1">
        <v>0</v>
      </c>
      <c r="U1419" s="1">
        <v>7.7748000000000008</v>
      </c>
      <c r="V1419">
        <f>YEAR(Table1[[#This Row],[Order Date]])</f>
        <v>2023</v>
      </c>
      <c r="W1419" t="str">
        <f>TEXT(Table1[[#This Row],[Order Date]],"mmm")</f>
        <v>Oct</v>
      </c>
      <c r="X1419">
        <f t="shared" si="66"/>
        <v>2.5916000000000001</v>
      </c>
      <c r="Y1419" t="str">
        <f t="shared" si="67"/>
        <v>Profit</v>
      </c>
      <c r="Z1419" t="str">
        <f t="shared" si="68"/>
        <v>No Discount</v>
      </c>
    </row>
    <row r="1420" spans="1:26" x14ac:dyDescent="0.35">
      <c r="A1420" s="1">
        <v>1419</v>
      </c>
      <c r="B1420" s="2" t="s">
        <v>3976</v>
      </c>
      <c r="C1420" s="3">
        <v>45230</v>
      </c>
      <c r="D1420" s="3">
        <v>45232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</v>
      </c>
      <c r="T1420" s="1">
        <v>0</v>
      </c>
      <c r="U1420" s="1">
        <v>4.2803999999999984</v>
      </c>
      <c r="V1420">
        <f>YEAR(Table1[[#This Row],[Order Date]])</f>
        <v>2023</v>
      </c>
      <c r="W1420" t="str">
        <f>TEXT(Table1[[#This Row],[Order Date]],"mmm")</f>
        <v>Oct</v>
      </c>
      <c r="X1420">
        <f t="shared" si="66"/>
        <v>2.1401999999999992</v>
      </c>
      <c r="Y1420" t="str">
        <f t="shared" si="67"/>
        <v>Profit</v>
      </c>
      <c r="Z1420" t="str">
        <f t="shared" si="68"/>
        <v>No Discount</v>
      </c>
    </row>
    <row r="1421" spans="1:26" x14ac:dyDescent="0.35">
      <c r="A1421" s="1">
        <v>1420</v>
      </c>
      <c r="B1421" s="2" t="s">
        <v>3976</v>
      </c>
      <c r="C1421" s="3">
        <v>45230</v>
      </c>
      <c r="D1421" s="3">
        <v>45232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V1421">
        <f>YEAR(Table1[[#This Row],[Order Date]])</f>
        <v>2023</v>
      </c>
      <c r="W1421" t="str">
        <f>TEXT(Table1[[#This Row],[Order Date]],"mmm")</f>
        <v>Oct</v>
      </c>
      <c r="X1421">
        <f t="shared" si="66"/>
        <v>-60.607800000000026</v>
      </c>
      <c r="Y1421" t="str">
        <f t="shared" si="67"/>
        <v>Loss</v>
      </c>
      <c r="Z1421" t="str">
        <f t="shared" si="68"/>
        <v>Medium</v>
      </c>
    </row>
    <row r="1422" spans="1:26" x14ac:dyDescent="0.35">
      <c r="A1422" s="1">
        <v>1421</v>
      </c>
      <c r="B1422" s="2" t="s">
        <v>3985</v>
      </c>
      <c r="C1422" s="3">
        <v>45230</v>
      </c>
      <c r="D1422" s="3">
        <v>45232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  <c r="V1422">
        <f>YEAR(Table1[[#This Row],[Order Date]])</f>
        <v>2023</v>
      </c>
      <c r="W1422" t="str">
        <f>TEXT(Table1[[#This Row],[Order Date]],"mmm")</f>
        <v>Oct</v>
      </c>
      <c r="X1422">
        <f t="shared" si="66"/>
        <v>-91.815799999999996</v>
      </c>
      <c r="Y1422" t="str">
        <f t="shared" si="67"/>
        <v>Loss</v>
      </c>
      <c r="Z1422" t="str">
        <f t="shared" si="68"/>
        <v>Medium</v>
      </c>
    </row>
    <row r="1423" spans="1:26" x14ac:dyDescent="0.35">
      <c r="A1423" s="1">
        <v>1422</v>
      </c>
      <c r="B1423" s="2" t="s">
        <v>3981</v>
      </c>
      <c r="C1423" s="3">
        <v>45230</v>
      </c>
      <c r="D1423" s="3">
        <v>45234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</v>
      </c>
      <c r="T1423" s="1">
        <v>0</v>
      </c>
      <c r="U1423" s="1">
        <v>3.7169999999999996</v>
      </c>
      <c r="V1423">
        <f>YEAR(Table1[[#This Row],[Order Date]])</f>
        <v>2023</v>
      </c>
      <c r="W1423" t="str">
        <f>TEXT(Table1[[#This Row],[Order Date]],"mmm")</f>
        <v>Oct</v>
      </c>
      <c r="X1423">
        <f t="shared" si="66"/>
        <v>1.2389999999999999</v>
      </c>
      <c r="Y1423" t="str">
        <f t="shared" si="67"/>
        <v>Profit</v>
      </c>
      <c r="Z1423" t="str">
        <f t="shared" si="68"/>
        <v>No Discount</v>
      </c>
    </row>
    <row r="1424" spans="1:26" x14ac:dyDescent="0.35">
      <c r="A1424" s="1">
        <v>1423</v>
      </c>
      <c r="B1424" s="2" t="s">
        <v>3976</v>
      </c>
      <c r="C1424" s="3">
        <v>45230</v>
      </c>
      <c r="D1424" s="3">
        <v>45232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</v>
      </c>
      <c r="T1424" s="1">
        <v>0</v>
      </c>
      <c r="U1424" s="1">
        <v>18.715000000000003</v>
      </c>
      <c r="V1424">
        <f>YEAR(Table1[[#This Row],[Order Date]])</f>
        <v>2023</v>
      </c>
      <c r="W1424" t="str">
        <f>TEXT(Table1[[#This Row],[Order Date]],"mmm")</f>
        <v>Oct</v>
      </c>
      <c r="X1424">
        <f t="shared" si="66"/>
        <v>3.7430000000000008</v>
      </c>
      <c r="Y1424" t="str">
        <f t="shared" si="67"/>
        <v>Profit</v>
      </c>
      <c r="Z1424" t="str">
        <f t="shared" si="68"/>
        <v>No Discount</v>
      </c>
    </row>
    <row r="1425" spans="1:26" x14ac:dyDescent="0.35">
      <c r="A1425" s="1">
        <v>1424</v>
      </c>
      <c r="B1425" s="2" t="s">
        <v>3981</v>
      </c>
      <c r="C1425" s="3">
        <v>45230</v>
      </c>
      <c r="D1425" s="3">
        <v>45234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V1425">
        <f>YEAR(Table1[[#This Row],[Order Date]])</f>
        <v>2023</v>
      </c>
      <c r="W1425" t="str">
        <f>TEXT(Table1[[#This Row],[Order Date]],"mmm")</f>
        <v>Oct</v>
      </c>
      <c r="X1425">
        <f t="shared" si="66"/>
        <v>2.6945999999999994</v>
      </c>
      <c r="Y1425" t="str">
        <f t="shared" si="67"/>
        <v>Profit</v>
      </c>
      <c r="Z1425" t="str">
        <f t="shared" si="68"/>
        <v>Low</v>
      </c>
    </row>
    <row r="1426" spans="1:26" x14ac:dyDescent="0.35">
      <c r="A1426" s="1">
        <v>1425</v>
      </c>
      <c r="B1426" s="2" t="s">
        <v>3976</v>
      </c>
      <c r="C1426" s="3">
        <v>45230</v>
      </c>
      <c r="D1426" s="3">
        <v>45232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</v>
      </c>
      <c r="T1426" s="1">
        <v>0</v>
      </c>
      <c r="U1426" s="1">
        <v>15.676799999999997</v>
      </c>
      <c r="V1426">
        <f>YEAR(Table1[[#This Row],[Order Date]])</f>
        <v>2023</v>
      </c>
      <c r="W1426" t="str">
        <f>TEXT(Table1[[#This Row],[Order Date]],"mmm")</f>
        <v>Oct</v>
      </c>
      <c r="X1426">
        <f t="shared" si="66"/>
        <v>7.8383999999999983</v>
      </c>
      <c r="Y1426" t="str">
        <f t="shared" si="67"/>
        <v>Profit</v>
      </c>
      <c r="Z1426" t="str">
        <f t="shared" si="68"/>
        <v>No Discount</v>
      </c>
    </row>
    <row r="1427" spans="1:26" x14ac:dyDescent="0.35">
      <c r="A1427" s="1">
        <v>1426</v>
      </c>
      <c r="B1427" s="2" t="s">
        <v>3981</v>
      </c>
      <c r="C1427" s="3">
        <v>45230</v>
      </c>
      <c r="D1427" s="3">
        <v>45234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V1427">
        <f>YEAR(Table1[[#This Row],[Order Date]])</f>
        <v>2023</v>
      </c>
      <c r="W1427" t="str">
        <f>TEXT(Table1[[#This Row],[Order Date]],"mmm")</f>
        <v>Oct</v>
      </c>
      <c r="X1427">
        <f t="shared" si="66"/>
        <v>2.0099999999999998</v>
      </c>
      <c r="Y1427" t="str">
        <f t="shared" si="67"/>
        <v>Profit</v>
      </c>
      <c r="Z1427" t="str">
        <f t="shared" si="68"/>
        <v>Low</v>
      </c>
    </row>
    <row r="1428" spans="1:26" x14ac:dyDescent="0.35">
      <c r="A1428" s="1">
        <v>1427</v>
      </c>
      <c r="B1428" s="2" t="s">
        <v>3981</v>
      </c>
      <c r="C1428" s="3">
        <v>45230</v>
      </c>
      <c r="D1428" s="3">
        <v>45234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  <c r="V1428">
        <f>YEAR(Table1[[#This Row],[Order Date]])</f>
        <v>2023</v>
      </c>
      <c r="W1428" t="str">
        <f>TEXT(Table1[[#This Row],[Order Date]],"mmm")</f>
        <v>Oct</v>
      </c>
      <c r="X1428">
        <f t="shared" si="66"/>
        <v>1.7388000000000001</v>
      </c>
      <c r="Y1428" t="str">
        <f t="shared" si="67"/>
        <v>Profit</v>
      </c>
      <c r="Z1428" t="str">
        <f t="shared" si="68"/>
        <v>No Discount</v>
      </c>
    </row>
    <row r="1429" spans="1:26" x14ac:dyDescent="0.35">
      <c r="A1429" s="1">
        <v>1428</v>
      </c>
      <c r="B1429" s="2" t="s">
        <v>3981</v>
      </c>
      <c r="C1429" s="3">
        <v>45230</v>
      </c>
      <c r="D1429" s="3">
        <v>45234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64.740000000000009</v>
      </c>
      <c r="S1429" s="1">
        <v>13</v>
      </c>
      <c r="T1429" s="1">
        <v>0</v>
      </c>
      <c r="U1429" s="1">
        <v>30.427800000000005</v>
      </c>
      <c r="V1429">
        <f>YEAR(Table1[[#This Row],[Order Date]])</f>
        <v>2023</v>
      </c>
      <c r="W1429" t="str">
        <f>TEXT(Table1[[#This Row],[Order Date]],"mmm")</f>
        <v>Oct</v>
      </c>
      <c r="X1429">
        <f t="shared" si="66"/>
        <v>2.3406000000000002</v>
      </c>
      <c r="Y1429" t="str">
        <f t="shared" si="67"/>
        <v>Profit</v>
      </c>
      <c r="Z1429" t="str">
        <f t="shared" si="68"/>
        <v>No Discount</v>
      </c>
    </row>
    <row r="1430" spans="1:26" x14ac:dyDescent="0.35">
      <c r="A1430" s="1">
        <v>1429</v>
      </c>
      <c r="B1430" s="2" t="s">
        <v>3976</v>
      </c>
      <c r="C1430" s="3">
        <v>45230</v>
      </c>
      <c r="D1430" s="3">
        <v>45232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  <c r="V1430">
        <f>YEAR(Table1[[#This Row],[Order Date]])</f>
        <v>2023</v>
      </c>
      <c r="W1430" t="str">
        <f>TEXT(Table1[[#This Row],[Order Date]],"mmm")</f>
        <v>Oct</v>
      </c>
      <c r="X1430">
        <f t="shared" si="66"/>
        <v>2.3875999999999999</v>
      </c>
      <c r="Y1430" t="str">
        <f t="shared" si="67"/>
        <v>Profit</v>
      </c>
      <c r="Z1430" t="str">
        <f t="shared" si="68"/>
        <v>No Discount</v>
      </c>
    </row>
    <row r="1431" spans="1:26" x14ac:dyDescent="0.35">
      <c r="A1431" s="1">
        <v>1430</v>
      </c>
      <c r="B1431" s="2" t="s">
        <v>3981</v>
      </c>
      <c r="C1431" s="3">
        <v>45230</v>
      </c>
      <c r="D1431" s="3">
        <v>45234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</v>
      </c>
      <c r="T1431" s="1">
        <v>0</v>
      </c>
      <c r="U1431" s="1">
        <v>12.169199999999989</v>
      </c>
      <c r="V1431">
        <f>YEAR(Table1[[#This Row],[Order Date]])</f>
        <v>2023</v>
      </c>
      <c r="W1431" t="str">
        <f>TEXT(Table1[[#This Row],[Order Date]],"mmm")</f>
        <v>Oct</v>
      </c>
      <c r="X1431">
        <f t="shared" si="66"/>
        <v>3.0422999999999973</v>
      </c>
      <c r="Y1431" t="str">
        <f t="shared" si="67"/>
        <v>Profit</v>
      </c>
      <c r="Z1431" t="str">
        <f t="shared" si="68"/>
        <v>No Discount</v>
      </c>
    </row>
    <row r="1432" spans="1:26" x14ac:dyDescent="0.35">
      <c r="A1432" s="1">
        <v>1431</v>
      </c>
      <c r="B1432" s="2" t="s">
        <v>3981</v>
      </c>
      <c r="C1432" s="3">
        <v>45230</v>
      </c>
      <c r="D1432" s="3">
        <v>45234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</v>
      </c>
      <c r="T1432" s="1">
        <v>0</v>
      </c>
      <c r="U1432" s="1">
        <v>20.877999999999997</v>
      </c>
      <c r="V1432">
        <f>YEAR(Table1[[#This Row],[Order Date]])</f>
        <v>2023</v>
      </c>
      <c r="W1432" t="str">
        <f>TEXT(Table1[[#This Row],[Order Date]],"mmm")</f>
        <v>Oct</v>
      </c>
      <c r="X1432">
        <f t="shared" si="66"/>
        <v>4.1755999999999993</v>
      </c>
      <c r="Y1432" t="str">
        <f t="shared" si="67"/>
        <v>Profit</v>
      </c>
      <c r="Z1432" t="str">
        <f t="shared" si="68"/>
        <v>No Discount</v>
      </c>
    </row>
    <row r="1433" spans="1:26" x14ac:dyDescent="0.35">
      <c r="A1433" s="1">
        <v>1432</v>
      </c>
      <c r="B1433" s="2" t="s">
        <v>3981</v>
      </c>
      <c r="C1433" s="3">
        <v>45230</v>
      </c>
      <c r="D1433" s="3">
        <v>45234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</v>
      </c>
      <c r="T1433" s="1">
        <v>0</v>
      </c>
      <c r="U1433" s="1">
        <v>47.862899999999982</v>
      </c>
      <c r="V1433">
        <f>YEAR(Table1[[#This Row],[Order Date]])</f>
        <v>2023</v>
      </c>
      <c r="W1433" t="str">
        <f>TEXT(Table1[[#This Row],[Order Date]],"mmm")</f>
        <v>Oct</v>
      </c>
      <c r="X1433">
        <f t="shared" si="66"/>
        <v>5.3180999999999976</v>
      </c>
      <c r="Y1433" t="str">
        <f t="shared" si="67"/>
        <v>Profit</v>
      </c>
      <c r="Z1433" t="str">
        <f t="shared" si="68"/>
        <v>No Discount</v>
      </c>
    </row>
    <row r="1434" spans="1:26" x14ac:dyDescent="0.35">
      <c r="A1434" s="1">
        <v>1433</v>
      </c>
      <c r="B1434" s="2" t="s">
        <v>4005</v>
      </c>
      <c r="C1434" s="3">
        <v>45230</v>
      </c>
      <c r="D1434" s="3">
        <v>45233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V1434">
        <f>YEAR(Table1[[#This Row],[Order Date]])</f>
        <v>2023</v>
      </c>
      <c r="W1434" t="str">
        <f>TEXT(Table1[[#This Row],[Order Date]],"mmm")</f>
        <v>Oct</v>
      </c>
      <c r="X1434">
        <f t="shared" si="66"/>
        <v>10.439099999999989</v>
      </c>
      <c r="Y1434" t="str">
        <f t="shared" si="67"/>
        <v>Profit</v>
      </c>
      <c r="Z1434" t="str">
        <f t="shared" si="68"/>
        <v>Low</v>
      </c>
    </row>
    <row r="1435" spans="1:26" x14ac:dyDescent="0.35">
      <c r="A1435" s="1">
        <v>1434</v>
      </c>
      <c r="B1435" s="2" t="s">
        <v>4009</v>
      </c>
      <c r="C1435" s="3">
        <v>45230</v>
      </c>
      <c r="D1435" s="3">
        <v>45232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V1435">
        <f>YEAR(Table1[[#This Row],[Order Date]])</f>
        <v>2023</v>
      </c>
      <c r="W1435" t="str">
        <f>TEXT(Table1[[#This Row],[Order Date]],"mmm")</f>
        <v>Oct</v>
      </c>
      <c r="X1435">
        <f t="shared" si="66"/>
        <v>4.1390999999999991</v>
      </c>
      <c r="Y1435" t="str">
        <f t="shared" si="67"/>
        <v>Profit</v>
      </c>
      <c r="Z1435" t="str">
        <f t="shared" si="68"/>
        <v>Low</v>
      </c>
    </row>
    <row r="1436" spans="1:26" x14ac:dyDescent="0.35">
      <c r="A1436" s="1">
        <v>1435</v>
      </c>
      <c r="B1436" s="2" t="s">
        <v>4012</v>
      </c>
      <c r="C1436" s="3">
        <v>45231</v>
      </c>
      <c r="D1436" s="3">
        <v>45233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V1436">
        <f>YEAR(Table1[[#This Row],[Order Date]])</f>
        <v>2023</v>
      </c>
      <c r="W1436" t="str">
        <f>TEXT(Table1[[#This Row],[Order Date]],"mmm")</f>
        <v>Nov</v>
      </c>
      <c r="X1436">
        <f t="shared" si="66"/>
        <v>8.1586000000000016</v>
      </c>
      <c r="Y1436" t="str">
        <f t="shared" si="67"/>
        <v>Profit</v>
      </c>
      <c r="Z1436" t="str">
        <f t="shared" si="68"/>
        <v>Low</v>
      </c>
    </row>
    <row r="1437" spans="1:26" x14ac:dyDescent="0.35">
      <c r="A1437" s="1">
        <v>1436</v>
      </c>
      <c r="B1437" s="2" t="s">
        <v>4016</v>
      </c>
      <c r="C1437" s="3">
        <v>45231</v>
      </c>
      <c r="D1437" s="3">
        <v>45235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</v>
      </c>
      <c r="T1437" s="1">
        <v>0</v>
      </c>
      <c r="U1437" s="1">
        <v>9.8207999999999984</v>
      </c>
      <c r="V1437">
        <f>YEAR(Table1[[#This Row],[Order Date]])</f>
        <v>2023</v>
      </c>
      <c r="W1437" t="str">
        <f>TEXT(Table1[[#This Row],[Order Date]],"mmm")</f>
        <v>Nov</v>
      </c>
      <c r="X1437">
        <f t="shared" si="66"/>
        <v>1.6367999999999998</v>
      </c>
      <c r="Y1437" t="str">
        <f t="shared" si="67"/>
        <v>Profit</v>
      </c>
      <c r="Z1437" t="str">
        <f t="shared" si="68"/>
        <v>No Discount</v>
      </c>
    </row>
    <row r="1438" spans="1:26" x14ac:dyDescent="0.35">
      <c r="A1438" s="1">
        <v>1437</v>
      </c>
      <c r="B1438" s="2" t="s">
        <v>4016</v>
      </c>
      <c r="C1438" s="3">
        <v>45231</v>
      </c>
      <c r="D1438" s="3">
        <v>45235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533.93999999999994</v>
      </c>
      <c r="S1438" s="1">
        <v>3</v>
      </c>
      <c r="T1438" s="1">
        <v>0</v>
      </c>
      <c r="U1438" s="1">
        <v>154.84259999999995</v>
      </c>
      <c r="V1438">
        <f>YEAR(Table1[[#This Row],[Order Date]])</f>
        <v>2023</v>
      </c>
      <c r="W1438" t="str">
        <f>TEXT(Table1[[#This Row],[Order Date]],"mmm")</f>
        <v>Nov</v>
      </c>
      <c r="X1438">
        <f t="shared" si="66"/>
        <v>51.614199999999983</v>
      </c>
      <c r="Y1438" t="str">
        <f t="shared" si="67"/>
        <v>Profit</v>
      </c>
      <c r="Z1438" t="str">
        <f t="shared" si="68"/>
        <v>No Discount</v>
      </c>
    </row>
    <row r="1439" spans="1:26" x14ac:dyDescent="0.35">
      <c r="A1439" s="1">
        <v>1438</v>
      </c>
      <c r="B1439" s="2" t="s">
        <v>4019</v>
      </c>
      <c r="C1439" s="3">
        <v>45231</v>
      </c>
      <c r="D1439" s="3">
        <v>45235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</v>
      </c>
      <c r="T1439" s="1">
        <v>0</v>
      </c>
      <c r="U1439" s="1">
        <v>22.074799999999996</v>
      </c>
      <c r="V1439">
        <f>YEAR(Table1[[#This Row],[Order Date]])</f>
        <v>2023</v>
      </c>
      <c r="W1439" t="str">
        <f>TEXT(Table1[[#This Row],[Order Date]],"mmm")</f>
        <v>Nov</v>
      </c>
      <c r="X1439">
        <f t="shared" si="66"/>
        <v>11.037399999999998</v>
      </c>
      <c r="Y1439" t="str">
        <f t="shared" si="67"/>
        <v>Profit</v>
      </c>
      <c r="Z1439" t="str">
        <f t="shared" si="68"/>
        <v>No Discount</v>
      </c>
    </row>
    <row r="1440" spans="1:26" x14ac:dyDescent="0.35">
      <c r="A1440" s="1">
        <v>1439</v>
      </c>
      <c r="B1440" s="2" t="s">
        <v>4023</v>
      </c>
      <c r="C1440" s="3">
        <v>45231</v>
      </c>
      <c r="D1440" s="3">
        <v>45235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V1440">
        <f>YEAR(Table1[[#This Row],[Order Date]])</f>
        <v>2023</v>
      </c>
      <c r="W1440" t="str">
        <f>TEXT(Table1[[#This Row],[Order Date]],"mmm")</f>
        <v>Nov</v>
      </c>
      <c r="X1440">
        <f t="shared" si="66"/>
        <v>0.29960000000000003</v>
      </c>
      <c r="Y1440" t="str">
        <f t="shared" si="67"/>
        <v>Profit</v>
      </c>
      <c r="Z1440" t="str">
        <f t="shared" si="68"/>
        <v>Low</v>
      </c>
    </row>
    <row r="1441" spans="1:26" x14ac:dyDescent="0.35">
      <c r="A1441" s="1">
        <v>1440</v>
      </c>
      <c r="B1441" s="2" t="s">
        <v>4026</v>
      </c>
      <c r="C1441" s="3">
        <v>45231</v>
      </c>
      <c r="D1441" s="3">
        <v>45237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V1441">
        <f>YEAR(Table1[[#This Row],[Order Date]])</f>
        <v>2023</v>
      </c>
      <c r="W1441" t="str">
        <f>TEXT(Table1[[#This Row],[Order Date]],"mmm")</f>
        <v>Nov</v>
      </c>
      <c r="X1441">
        <f t="shared" si="66"/>
        <v>1.4392000000000003</v>
      </c>
      <c r="Y1441" t="str">
        <f t="shared" si="67"/>
        <v>Profit</v>
      </c>
      <c r="Z1441" t="str">
        <f t="shared" si="68"/>
        <v>Low</v>
      </c>
    </row>
    <row r="1442" spans="1:26" x14ac:dyDescent="0.35">
      <c r="A1442" s="1">
        <v>1441</v>
      </c>
      <c r="B1442" s="2" t="s">
        <v>4027</v>
      </c>
      <c r="C1442" s="3">
        <v>45231</v>
      </c>
      <c r="D1442" s="3">
        <v>45238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</v>
      </c>
      <c r="T1442" s="1">
        <v>0</v>
      </c>
      <c r="U1442" s="1">
        <v>1.6355999999999997</v>
      </c>
      <c r="V1442">
        <f>YEAR(Table1[[#This Row],[Order Date]])</f>
        <v>2023</v>
      </c>
      <c r="W1442" t="str">
        <f>TEXT(Table1[[#This Row],[Order Date]],"mmm")</f>
        <v>Nov</v>
      </c>
      <c r="X1442">
        <f t="shared" si="66"/>
        <v>0.54519999999999991</v>
      </c>
      <c r="Y1442" t="str">
        <f t="shared" si="67"/>
        <v>Profit</v>
      </c>
      <c r="Z1442" t="str">
        <f t="shared" si="68"/>
        <v>No Discount</v>
      </c>
    </row>
    <row r="1443" spans="1:26" x14ac:dyDescent="0.35">
      <c r="A1443" s="1">
        <v>1442</v>
      </c>
      <c r="B1443" s="2" t="s">
        <v>4012</v>
      </c>
      <c r="C1443" s="3">
        <v>45231</v>
      </c>
      <c r="D1443" s="3">
        <v>45233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V1443">
        <f>YEAR(Table1[[#This Row],[Order Date]])</f>
        <v>2023</v>
      </c>
      <c r="W1443" t="str">
        <f>TEXT(Table1[[#This Row],[Order Date]],"mmm")</f>
        <v>Nov</v>
      </c>
      <c r="X1443">
        <f t="shared" si="66"/>
        <v>-1.3049999999999997</v>
      </c>
      <c r="Y1443" t="str">
        <f t="shared" si="67"/>
        <v>Loss</v>
      </c>
      <c r="Z1443" t="str">
        <f t="shared" si="68"/>
        <v>High</v>
      </c>
    </row>
    <row r="1444" spans="1:26" x14ac:dyDescent="0.35">
      <c r="A1444" s="1">
        <v>1443</v>
      </c>
      <c r="B1444" s="2" t="s">
        <v>4012</v>
      </c>
      <c r="C1444" s="3">
        <v>45231</v>
      </c>
      <c r="D1444" s="3">
        <v>45233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V1444">
        <f>YEAR(Table1[[#This Row],[Order Date]])</f>
        <v>2023</v>
      </c>
      <c r="W1444" t="str">
        <f>TEXT(Table1[[#This Row],[Order Date]],"mmm")</f>
        <v>Nov</v>
      </c>
      <c r="X1444">
        <f t="shared" si="66"/>
        <v>-5.9807999999999977</v>
      </c>
      <c r="Y1444" t="str">
        <f t="shared" si="67"/>
        <v>Loss</v>
      </c>
      <c r="Z1444" t="str">
        <f t="shared" si="68"/>
        <v>High</v>
      </c>
    </row>
    <row r="1445" spans="1:26" x14ac:dyDescent="0.35">
      <c r="A1445" s="1">
        <v>1444</v>
      </c>
      <c r="B1445" s="2" t="s">
        <v>4023</v>
      </c>
      <c r="C1445" s="3">
        <v>45231</v>
      </c>
      <c r="D1445" s="3">
        <v>45235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</v>
      </c>
      <c r="T1445" s="1">
        <v>0.2</v>
      </c>
      <c r="U1445" s="1">
        <v>1.4099999999999997</v>
      </c>
      <c r="V1445">
        <f>YEAR(Table1[[#This Row],[Order Date]])</f>
        <v>2023</v>
      </c>
      <c r="W1445" t="str">
        <f>TEXT(Table1[[#This Row],[Order Date]],"mmm")</f>
        <v>Nov</v>
      </c>
      <c r="X1445">
        <f t="shared" si="66"/>
        <v>0.28199999999999992</v>
      </c>
      <c r="Y1445" t="str">
        <f t="shared" si="67"/>
        <v>Profit</v>
      </c>
      <c r="Z1445" t="str">
        <f t="shared" si="68"/>
        <v>Low</v>
      </c>
    </row>
    <row r="1446" spans="1:26" x14ac:dyDescent="0.35">
      <c r="A1446" s="1">
        <v>1445</v>
      </c>
      <c r="B1446" s="2" t="s">
        <v>4023</v>
      </c>
      <c r="C1446" s="3">
        <v>45231</v>
      </c>
      <c r="D1446" s="3">
        <v>45235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V1446">
        <f>YEAR(Table1[[#This Row],[Order Date]])</f>
        <v>2023</v>
      </c>
      <c r="W1446" t="str">
        <f>TEXT(Table1[[#This Row],[Order Date]],"mmm")</f>
        <v>Nov</v>
      </c>
      <c r="X1446">
        <f t="shared" si="66"/>
        <v>1.2947999999999997</v>
      </c>
      <c r="Y1446" t="str">
        <f t="shared" si="67"/>
        <v>Profit</v>
      </c>
      <c r="Z1446" t="str">
        <f t="shared" si="68"/>
        <v>Low</v>
      </c>
    </row>
    <row r="1447" spans="1:26" x14ac:dyDescent="0.35">
      <c r="A1447" s="1">
        <v>1446</v>
      </c>
      <c r="B1447" s="2" t="s">
        <v>4029</v>
      </c>
      <c r="C1447" s="3">
        <v>45231</v>
      </c>
      <c r="D1447" s="3">
        <v>45238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44.400000000000006</v>
      </c>
      <c r="S1447" s="1">
        <v>3</v>
      </c>
      <c r="T1447" s="1">
        <v>0</v>
      </c>
      <c r="U1447" s="1">
        <v>22.200000000000003</v>
      </c>
      <c r="V1447">
        <f>YEAR(Table1[[#This Row],[Order Date]])</f>
        <v>2023</v>
      </c>
      <c r="W1447" t="str">
        <f>TEXT(Table1[[#This Row],[Order Date]],"mmm")</f>
        <v>Nov</v>
      </c>
      <c r="X1447">
        <f t="shared" si="66"/>
        <v>7.4000000000000012</v>
      </c>
      <c r="Y1447" t="str">
        <f t="shared" si="67"/>
        <v>Profit</v>
      </c>
      <c r="Z1447" t="str">
        <f t="shared" si="68"/>
        <v>No Discount</v>
      </c>
    </row>
    <row r="1448" spans="1:26" x14ac:dyDescent="0.35">
      <c r="A1448" s="1">
        <v>1447</v>
      </c>
      <c r="B1448" s="2" t="s">
        <v>4034</v>
      </c>
      <c r="C1448" s="3">
        <v>45231</v>
      </c>
      <c r="D1448" s="3">
        <v>45238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V1448">
        <f>YEAR(Table1[[#This Row],[Order Date]])</f>
        <v>2023</v>
      </c>
      <c r="W1448" t="str">
        <f>TEXT(Table1[[#This Row],[Order Date]],"mmm")</f>
        <v>Nov</v>
      </c>
      <c r="X1448">
        <f t="shared" si="66"/>
        <v>1.7003999999999999</v>
      </c>
      <c r="Y1448" t="str">
        <f t="shared" si="67"/>
        <v>Profit</v>
      </c>
      <c r="Z1448" t="str">
        <f t="shared" si="68"/>
        <v>Low</v>
      </c>
    </row>
    <row r="1449" spans="1:26" x14ac:dyDescent="0.35">
      <c r="A1449" s="1">
        <v>1448</v>
      </c>
      <c r="B1449" s="2" t="s">
        <v>4016</v>
      </c>
      <c r="C1449" s="3">
        <v>45231</v>
      </c>
      <c r="D1449" s="3">
        <v>45235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  <c r="V1449">
        <f>YEAR(Table1[[#This Row],[Order Date]])</f>
        <v>2023</v>
      </c>
      <c r="W1449" t="str">
        <f>TEXT(Table1[[#This Row],[Order Date]],"mmm")</f>
        <v>Nov</v>
      </c>
      <c r="X1449">
        <f t="shared" si="66"/>
        <v>27.430199999999999</v>
      </c>
      <c r="Y1449" t="str">
        <f t="shared" si="67"/>
        <v>Profit</v>
      </c>
      <c r="Z1449" t="str">
        <f t="shared" si="68"/>
        <v>No Discount</v>
      </c>
    </row>
    <row r="1450" spans="1:26" x14ac:dyDescent="0.35">
      <c r="A1450" s="1">
        <v>1449</v>
      </c>
      <c r="B1450" s="2" t="s">
        <v>4029</v>
      </c>
      <c r="C1450" s="3">
        <v>45231</v>
      </c>
      <c r="D1450" s="3">
        <v>45238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21.400000000000002</v>
      </c>
      <c r="S1450" s="1">
        <v>5</v>
      </c>
      <c r="T1450" s="1">
        <v>0</v>
      </c>
      <c r="U1450" s="1">
        <v>9.629999999999999</v>
      </c>
      <c r="V1450">
        <f>YEAR(Table1[[#This Row],[Order Date]])</f>
        <v>2023</v>
      </c>
      <c r="W1450" t="str">
        <f>TEXT(Table1[[#This Row],[Order Date]],"mmm")</f>
        <v>Nov</v>
      </c>
      <c r="X1450">
        <f t="shared" si="66"/>
        <v>1.9259999999999997</v>
      </c>
      <c r="Y1450" t="str">
        <f t="shared" si="67"/>
        <v>Profit</v>
      </c>
      <c r="Z1450" t="str">
        <f t="shared" si="68"/>
        <v>No Discount</v>
      </c>
    </row>
    <row r="1451" spans="1:26" x14ac:dyDescent="0.35">
      <c r="A1451" s="1">
        <v>1450</v>
      </c>
      <c r="B1451" s="2" t="s">
        <v>4027</v>
      </c>
      <c r="C1451" s="3">
        <v>45231</v>
      </c>
      <c r="D1451" s="3">
        <v>45238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</v>
      </c>
      <c r="T1451" s="1">
        <v>0</v>
      </c>
      <c r="U1451" s="1">
        <v>19.465600000000002</v>
      </c>
      <c r="V1451">
        <f>YEAR(Table1[[#This Row],[Order Date]])</f>
        <v>2023</v>
      </c>
      <c r="W1451" t="str">
        <f>TEXT(Table1[[#This Row],[Order Date]],"mmm")</f>
        <v>Nov</v>
      </c>
      <c r="X1451">
        <f t="shared" si="66"/>
        <v>9.732800000000001</v>
      </c>
      <c r="Y1451" t="str">
        <f t="shared" si="67"/>
        <v>Profit</v>
      </c>
      <c r="Z1451" t="str">
        <f t="shared" si="68"/>
        <v>No Discount</v>
      </c>
    </row>
    <row r="1452" spans="1:26" x14ac:dyDescent="0.35">
      <c r="A1452" s="1">
        <v>1451</v>
      </c>
      <c r="B1452" s="2" t="s">
        <v>4038</v>
      </c>
      <c r="C1452" s="3">
        <v>45231</v>
      </c>
      <c r="D1452" s="3">
        <v>45235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</v>
      </c>
      <c r="T1452" s="1">
        <v>0.2</v>
      </c>
      <c r="U1452" s="1">
        <v>-94.33299999999997</v>
      </c>
      <c r="V1452">
        <f>YEAR(Table1[[#This Row],[Order Date]])</f>
        <v>2023</v>
      </c>
      <c r="W1452" t="str">
        <f>TEXT(Table1[[#This Row],[Order Date]],"mmm")</f>
        <v>Nov</v>
      </c>
      <c r="X1452">
        <f t="shared" si="66"/>
        <v>-18.866599999999995</v>
      </c>
      <c r="Y1452" t="str">
        <f t="shared" si="67"/>
        <v>Loss</v>
      </c>
      <c r="Z1452" t="str">
        <f t="shared" si="68"/>
        <v>Low</v>
      </c>
    </row>
    <row r="1453" spans="1:26" x14ac:dyDescent="0.35">
      <c r="A1453" s="1">
        <v>1452</v>
      </c>
      <c r="B1453" s="2" t="s">
        <v>4038</v>
      </c>
      <c r="C1453" s="3">
        <v>45231</v>
      </c>
      <c r="D1453" s="3">
        <v>45235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</v>
      </c>
      <c r="T1453" s="1">
        <v>0.2</v>
      </c>
      <c r="U1453" s="1">
        <v>54.5916</v>
      </c>
      <c r="V1453">
        <f>YEAR(Table1[[#This Row],[Order Date]])</f>
        <v>2023</v>
      </c>
      <c r="W1453" t="str">
        <f>TEXT(Table1[[#This Row],[Order Date]],"mmm")</f>
        <v>Nov</v>
      </c>
      <c r="X1453">
        <f t="shared" si="66"/>
        <v>18.197199999999999</v>
      </c>
      <c r="Y1453" t="str">
        <f t="shared" si="67"/>
        <v>Profit</v>
      </c>
      <c r="Z1453" t="str">
        <f t="shared" si="68"/>
        <v>Low</v>
      </c>
    </row>
    <row r="1454" spans="1:26" x14ac:dyDescent="0.35">
      <c r="A1454" s="1">
        <v>1453</v>
      </c>
      <c r="B1454" s="2" t="s">
        <v>4026</v>
      </c>
      <c r="C1454" s="3">
        <v>45231</v>
      </c>
      <c r="D1454" s="3">
        <v>45237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V1454">
        <f>YEAR(Table1[[#This Row],[Order Date]])</f>
        <v>2023</v>
      </c>
      <c r="W1454" t="str">
        <f>TEXT(Table1[[#This Row],[Order Date]],"mmm")</f>
        <v>Nov</v>
      </c>
      <c r="X1454">
        <f t="shared" si="66"/>
        <v>61.998999999999953</v>
      </c>
      <c r="Y1454" t="str">
        <f t="shared" si="67"/>
        <v>Profit</v>
      </c>
      <c r="Z1454" t="str">
        <f t="shared" si="68"/>
        <v>Low</v>
      </c>
    </row>
    <row r="1455" spans="1:26" x14ac:dyDescent="0.35">
      <c r="A1455" s="1">
        <v>1454</v>
      </c>
      <c r="B1455" s="2" t="s">
        <v>4023</v>
      </c>
      <c r="C1455" s="3">
        <v>45231</v>
      </c>
      <c r="D1455" s="3">
        <v>45235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978.83999999999992</v>
      </c>
      <c r="S1455" s="1">
        <v>9</v>
      </c>
      <c r="T1455" s="1">
        <v>0.2</v>
      </c>
      <c r="U1455" s="1">
        <v>110.1194999999999</v>
      </c>
      <c r="V1455">
        <f>YEAR(Table1[[#This Row],[Order Date]])</f>
        <v>2023</v>
      </c>
      <c r="W1455" t="str">
        <f>TEXT(Table1[[#This Row],[Order Date]],"mmm")</f>
        <v>Nov</v>
      </c>
      <c r="X1455">
        <f t="shared" si="66"/>
        <v>12.235499999999989</v>
      </c>
      <c r="Y1455" t="str">
        <f t="shared" si="67"/>
        <v>Profit</v>
      </c>
      <c r="Z1455" t="str">
        <f t="shared" si="68"/>
        <v>Low</v>
      </c>
    </row>
    <row r="1456" spans="1:26" x14ac:dyDescent="0.35">
      <c r="A1456" s="1">
        <v>1455</v>
      </c>
      <c r="B1456" s="2" t="s">
        <v>4046</v>
      </c>
      <c r="C1456" s="3">
        <v>45232</v>
      </c>
      <c r="D1456" s="3">
        <v>45236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</v>
      </c>
      <c r="T1456" s="1">
        <v>0</v>
      </c>
      <c r="U1456" s="1">
        <v>24.121800000000004</v>
      </c>
      <c r="V1456">
        <f>YEAR(Table1[[#This Row],[Order Date]])</f>
        <v>2023</v>
      </c>
      <c r="W1456" t="str">
        <f>TEXT(Table1[[#This Row],[Order Date]],"mmm")</f>
        <v>Nov</v>
      </c>
      <c r="X1456">
        <f t="shared" si="66"/>
        <v>4.0203000000000007</v>
      </c>
      <c r="Y1456" t="str">
        <f t="shared" si="67"/>
        <v>Profit</v>
      </c>
      <c r="Z1456" t="str">
        <f t="shared" si="68"/>
        <v>No Discount</v>
      </c>
    </row>
    <row r="1457" spans="1:26" x14ac:dyDescent="0.35">
      <c r="A1457" s="1">
        <v>1456</v>
      </c>
      <c r="B1457" s="2" t="s">
        <v>4047</v>
      </c>
      <c r="C1457" s="3">
        <v>45232</v>
      </c>
      <c r="D1457" s="3">
        <v>45236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  <c r="V1457">
        <f>YEAR(Table1[[#This Row],[Order Date]])</f>
        <v>2023</v>
      </c>
      <c r="W1457" t="str">
        <f>TEXT(Table1[[#This Row],[Order Date]],"mmm")</f>
        <v>Nov</v>
      </c>
      <c r="X1457">
        <f t="shared" si="66"/>
        <v>-4.4897999999999998</v>
      </c>
      <c r="Y1457" t="str">
        <f t="shared" si="67"/>
        <v>Loss</v>
      </c>
      <c r="Z1457" t="str">
        <f t="shared" si="68"/>
        <v>High</v>
      </c>
    </row>
    <row r="1458" spans="1:26" x14ac:dyDescent="0.35">
      <c r="A1458" s="1">
        <v>1457</v>
      </c>
      <c r="B1458" s="2" t="s">
        <v>4046</v>
      </c>
      <c r="C1458" s="3">
        <v>45232</v>
      </c>
      <c r="D1458" s="3">
        <v>45236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  <c r="V1458">
        <f>YEAR(Table1[[#This Row],[Order Date]])</f>
        <v>2023</v>
      </c>
      <c r="W1458" t="str">
        <f>TEXT(Table1[[#This Row],[Order Date]],"mmm")</f>
        <v>Nov</v>
      </c>
      <c r="X1458">
        <f t="shared" si="66"/>
        <v>2.2907999999999999</v>
      </c>
      <c r="Y1458" t="str">
        <f t="shared" si="67"/>
        <v>Profit</v>
      </c>
      <c r="Z1458" t="str">
        <f t="shared" si="68"/>
        <v>No Discount</v>
      </c>
    </row>
    <row r="1459" spans="1:26" x14ac:dyDescent="0.35">
      <c r="A1459" s="1">
        <v>1458</v>
      </c>
      <c r="B1459" s="2" t="s">
        <v>4049</v>
      </c>
      <c r="C1459" s="3">
        <v>45232</v>
      </c>
      <c r="D1459" s="3">
        <v>45236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</v>
      </c>
      <c r="T1459" s="1">
        <v>0</v>
      </c>
      <c r="U1459" s="1">
        <v>105.24679999999995</v>
      </c>
      <c r="V1459">
        <f>YEAR(Table1[[#This Row],[Order Date]])</f>
        <v>2023</v>
      </c>
      <c r="W1459" t="str">
        <f>TEXT(Table1[[#This Row],[Order Date]],"mmm")</f>
        <v>Nov</v>
      </c>
      <c r="X1459">
        <f t="shared" si="66"/>
        <v>52.623399999999975</v>
      </c>
      <c r="Y1459" t="str">
        <f t="shared" si="67"/>
        <v>Profit</v>
      </c>
      <c r="Z1459" t="str">
        <f t="shared" si="68"/>
        <v>No Discount</v>
      </c>
    </row>
    <row r="1460" spans="1:26" x14ac:dyDescent="0.35">
      <c r="A1460" s="1">
        <v>1459</v>
      </c>
      <c r="B1460" s="2" t="s">
        <v>4054</v>
      </c>
      <c r="C1460" s="3">
        <v>45232</v>
      </c>
      <c r="D1460" s="3">
        <v>45237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</v>
      </c>
      <c r="T1460" s="1">
        <v>0</v>
      </c>
      <c r="U1460" s="1">
        <v>15.098399999999998</v>
      </c>
      <c r="V1460">
        <f>YEAR(Table1[[#This Row],[Order Date]])</f>
        <v>2023</v>
      </c>
      <c r="W1460" t="str">
        <f>TEXT(Table1[[#This Row],[Order Date]],"mmm")</f>
        <v>Nov</v>
      </c>
      <c r="X1460">
        <f t="shared" si="66"/>
        <v>7.549199999999999</v>
      </c>
      <c r="Y1460" t="str">
        <f t="shared" si="67"/>
        <v>Profit</v>
      </c>
      <c r="Z1460" t="str">
        <f t="shared" si="68"/>
        <v>No Discount</v>
      </c>
    </row>
    <row r="1461" spans="1:26" x14ac:dyDescent="0.35">
      <c r="A1461" s="1">
        <v>1460</v>
      </c>
      <c r="B1461" s="2" t="s">
        <v>4057</v>
      </c>
      <c r="C1461" s="3">
        <v>45232</v>
      </c>
      <c r="D1461" s="3">
        <v>45236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799.92000000000007</v>
      </c>
      <c r="S1461" s="1">
        <v>10</v>
      </c>
      <c r="T1461" s="1">
        <v>0.2</v>
      </c>
      <c r="U1461" s="1">
        <v>239.976</v>
      </c>
      <c r="V1461">
        <f>YEAR(Table1[[#This Row],[Order Date]])</f>
        <v>2023</v>
      </c>
      <c r="W1461" t="str">
        <f>TEXT(Table1[[#This Row],[Order Date]],"mmm")</f>
        <v>Nov</v>
      </c>
      <c r="X1461">
        <f t="shared" si="66"/>
        <v>23.997599999999998</v>
      </c>
      <c r="Y1461" t="str">
        <f t="shared" si="67"/>
        <v>Profit</v>
      </c>
      <c r="Z1461" t="str">
        <f t="shared" si="68"/>
        <v>Low</v>
      </c>
    </row>
    <row r="1462" spans="1:26" x14ac:dyDescent="0.35">
      <c r="A1462" s="1">
        <v>1461</v>
      </c>
      <c r="B1462" s="2" t="s">
        <v>4047</v>
      </c>
      <c r="C1462" s="3">
        <v>45232</v>
      </c>
      <c r="D1462" s="3">
        <v>45236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V1462">
        <f>YEAR(Table1[[#This Row],[Order Date]])</f>
        <v>2023</v>
      </c>
      <c r="W1462" t="str">
        <f>TEXT(Table1[[#This Row],[Order Date]],"mmm")</f>
        <v>Nov</v>
      </c>
      <c r="X1462">
        <f t="shared" si="66"/>
        <v>-17.998800000000003</v>
      </c>
      <c r="Y1462" t="str">
        <f t="shared" si="67"/>
        <v>Loss</v>
      </c>
      <c r="Z1462" t="str">
        <f t="shared" si="68"/>
        <v>Medium</v>
      </c>
    </row>
    <row r="1463" spans="1:26" x14ac:dyDescent="0.35">
      <c r="A1463" s="1">
        <v>1462</v>
      </c>
      <c r="B1463" s="2" t="s">
        <v>4047</v>
      </c>
      <c r="C1463" s="3">
        <v>45232</v>
      </c>
      <c r="D1463" s="3">
        <v>45236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V1463">
        <f>YEAR(Table1[[#This Row],[Order Date]])</f>
        <v>2023</v>
      </c>
      <c r="W1463" t="str">
        <f>TEXT(Table1[[#This Row],[Order Date]],"mmm")</f>
        <v>Nov</v>
      </c>
      <c r="X1463">
        <f t="shared" si="66"/>
        <v>-1.4352000000000003</v>
      </c>
      <c r="Y1463" t="str">
        <f t="shared" si="67"/>
        <v>Loss</v>
      </c>
      <c r="Z1463" t="str">
        <f t="shared" si="68"/>
        <v>Medium</v>
      </c>
    </row>
    <row r="1464" spans="1:26" x14ac:dyDescent="0.35">
      <c r="A1464" s="1">
        <v>1463</v>
      </c>
      <c r="B1464" s="2" t="s">
        <v>4049</v>
      </c>
      <c r="C1464" s="3">
        <v>45232</v>
      </c>
      <c r="D1464" s="3">
        <v>45236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</v>
      </c>
      <c r="T1464" s="1">
        <v>0.2</v>
      </c>
      <c r="U1464" s="1">
        <v>5.2181999999999924</v>
      </c>
      <c r="V1464">
        <f>YEAR(Table1[[#This Row],[Order Date]])</f>
        <v>2023</v>
      </c>
      <c r="W1464" t="str">
        <f>TEXT(Table1[[#This Row],[Order Date]],"mmm")</f>
        <v>Nov</v>
      </c>
      <c r="X1464">
        <f t="shared" si="66"/>
        <v>2.6090999999999962</v>
      </c>
      <c r="Y1464" t="str">
        <f t="shared" si="67"/>
        <v>Profit</v>
      </c>
      <c r="Z1464" t="str">
        <f t="shared" si="68"/>
        <v>Low</v>
      </c>
    </row>
    <row r="1465" spans="1:26" x14ac:dyDescent="0.35">
      <c r="A1465" s="1">
        <v>1464</v>
      </c>
      <c r="B1465" s="2" t="s">
        <v>4054</v>
      </c>
      <c r="C1465" s="3">
        <v>45232</v>
      </c>
      <c r="D1465" s="3">
        <v>45237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V1465">
        <f>YEAR(Table1[[#This Row],[Order Date]])</f>
        <v>2023</v>
      </c>
      <c r="W1465" t="str">
        <f>TEXT(Table1[[#This Row],[Order Date]],"mmm")</f>
        <v>Nov</v>
      </c>
      <c r="X1465">
        <f t="shared" si="66"/>
        <v>4.6193000000000026</v>
      </c>
      <c r="Y1465" t="str">
        <f t="shared" si="67"/>
        <v>Profit</v>
      </c>
      <c r="Z1465" t="str">
        <f t="shared" si="68"/>
        <v>Low</v>
      </c>
    </row>
    <row r="1466" spans="1:26" x14ac:dyDescent="0.35">
      <c r="A1466" s="1">
        <v>1465</v>
      </c>
      <c r="B1466" s="2" t="s">
        <v>4062</v>
      </c>
      <c r="C1466" s="3">
        <v>45232</v>
      </c>
      <c r="D1466" s="3">
        <v>45237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88.77600000000001</v>
      </c>
      <c r="S1466" s="1">
        <v>3</v>
      </c>
      <c r="T1466" s="1">
        <v>0.2</v>
      </c>
      <c r="U1466" s="1">
        <v>7.7679000000000009</v>
      </c>
      <c r="V1466">
        <f>YEAR(Table1[[#This Row],[Order Date]])</f>
        <v>2023</v>
      </c>
      <c r="W1466" t="str">
        <f>TEXT(Table1[[#This Row],[Order Date]],"mmm")</f>
        <v>Nov</v>
      </c>
      <c r="X1466">
        <f t="shared" si="66"/>
        <v>2.5893000000000002</v>
      </c>
      <c r="Y1466" t="str">
        <f t="shared" si="67"/>
        <v>Profit</v>
      </c>
      <c r="Z1466" t="str">
        <f t="shared" si="68"/>
        <v>Low</v>
      </c>
    </row>
    <row r="1467" spans="1:26" x14ac:dyDescent="0.35">
      <c r="A1467" s="1">
        <v>1466</v>
      </c>
      <c r="B1467" s="2" t="s">
        <v>4066</v>
      </c>
      <c r="C1467" s="3">
        <v>45233</v>
      </c>
      <c r="D1467" s="3">
        <v>45237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V1467">
        <f>YEAR(Table1[[#This Row],[Order Date]])</f>
        <v>2023</v>
      </c>
      <c r="W1467" t="str">
        <f>TEXT(Table1[[#This Row],[Order Date]],"mmm")</f>
        <v>Nov</v>
      </c>
      <c r="X1467">
        <f t="shared" si="66"/>
        <v>-17.098000000000013</v>
      </c>
      <c r="Y1467" t="str">
        <f t="shared" si="67"/>
        <v>Loss</v>
      </c>
      <c r="Z1467" t="str">
        <f t="shared" si="68"/>
        <v>Low</v>
      </c>
    </row>
    <row r="1468" spans="1:26" x14ac:dyDescent="0.35">
      <c r="A1468" s="1">
        <v>1467</v>
      </c>
      <c r="B1468" s="2" t="s">
        <v>4066</v>
      </c>
      <c r="C1468" s="3">
        <v>45233</v>
      </c>
      <c r="D1468" s="3">
        <v>45237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V1468">
        <f>YEAR(Table1[[#This Row],[Order Date]])</f>
        <v>2023</v>
      </c>
      <c r="W1468" t="str">
        <f>TEXT(Table1[[#This Row],[Order Date]],"mmm")</f>
        <v>Nov</v>
      </c>
      <c r="X1468">
        <f t="shared" si="66"/>
        <v>-49.876900000000013</v>
      </c>
      <c r="Y1468" t="str">
        <f t="shared" si="67"/>
        <v>Loss</v>
      </c>
      <c r="Z1468" t="str">
        <f t="shared" si="68"/>
        <v>Medium</v>
      </c>
    </row>
    <row r="1469" spans="1:26" x14ac:dyDescent="0.35">
      <c r="A1469" s="1">
        <v>1468</v>
      </c>
      <c r="B1469" s="2" t="s">
        <v>4071</v>
      </c>
      <c r="C1469" s="3">
        <v>45233</v>
      </c>
      <c r="D1469" s="3">
        <v>45233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</v>
      </c>
      <c r="T1469" s="1">
        <v>0</v>
      </c>
      <c r="U1469" s="1">
        <v>3.36</v>
      </c>
      <c r="V1469">
        <f>YEAR(Table1[[#This Row],[Order Date]])</f>
        <v>2023</v>
      </c>
      <c r="W1469" t="str">
        <f>TEXT(Table1[[#This Row],[Order Date]],"mmm")</f>
        <v>Nov</v>
      </c>
      <c r="X1469">
        <f t="shared" si="66"/>
        <v>0.84</v>
      </c>
      <c r="Y1469" t="str">
        <f t="shared" si="67"/>
        <v>Profit</v>
      </c>
      <c r="Z1469" t="str">
        <f t="shared" si="68"/>
        <v>No Discount</v>
      </c>
    </row>
    <row r="1470" spans="1:26" x14ac:dyDescent="0.35">
      <c r="A1470" s="1">
        <v>1469</v>
      </c>
      <c r="B1470" s="2" t="s">
        <v>4074</v>
      </c>
      <c r="C1470" s="3">
        <v>45233</v>
      </c>
      <c r="D1470" s="3">
        <v>45235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</v>
      </c>
      <c r="T1470" s="1">
        <v>0</v>
      </c>
      <c r="U1470" s="1">
        <v>2.8224</v>
      </c>
      <c r="V1470">
        <f>YEAR(Table1[[#This Row],[Order Date]])</f>
        <v>2023</v>
      </c>
      <c r="W1470" t="str">
        <f>TEXT(Table1[[#This Row],[Order Date]],"mmm")</f>
        <v>Nov</v>
      </c>
      <c r="X1470">
        <f t="shared" si="66"/>
        <v>1.4112</v>
      </c>
      <c r="Y1470" t="str">
        <f t="shared" si="67"/>
        <v>Profit</v>
      </c>
      <c r="Z1470" t="str">
        <f t="shared" si="68"/>
        <v>No Discount</v>
      </c>
    </row>
    <row r="1471" spans="1:26" x14ac:dyDescent="0.35">
      <c r="A1471" s="1">
        <v>1470</v>
      </c>
      <c r="B1471" s="2" t="s">
        <v>4077</v>
      </c>
      <c r="C1471" s="3">
        <v>45233</v>
      </c>
      <c r="D1471" s="3">
        <v>45237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>
        <f>YEAR(Table1[[#This Row],[Order Date]])</f>
        <v>2023</v>
      </c>
      <c r="W1471" t="str">
        <f>TEXT(Table1[[#This Row],[Order Date]],"mmm")</f>
        <v>Nov</v>
      </c>
      <c r="X1471">
        <f t="shared" si="66"/>
        <v>9.1679999999999993</v>
      </c>
      <c r="Y1471" t="str">
        <f t="shared" si="67"/>
        <v>Profit</v>
      </c>
      <c r="Z1471" t="str">
        <f t="shared" si="68"/>
        <v>Low</v>
      </c>
    </row>
    <row r="1472" spans="1:26" x14ac:dyDescent="0.35">
      <c r="A1472" s="1">
        <v>1471</v>
      </c>
      <c r="B1472" s="2" t="s">
        <v>4066</v>
      </c>
      <c r="C1472" s="3">
        <v>45233</v>
      </c>
      <c r="D1472" s="3">
        <v>45237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V1472">
        <f>YEAR(Table1[[#This Row],[Order Date]])</f>
        <v>2023</v>
      </c>
      <c r="W1472" t="str">
        <f>TEXT(Table1[[#This Row],[Order Date]],"mmm")</f>
        <v>Nov</v>
      </c>
      <c r="X1472">
        <f t="shared" si="66"/>
        <v>-1.4982000000000002</v>
      </c>
      <c r="Y1472" t="str">
        <f t="shared" si="67"/>
        <v>Loss</v>
      </c>
      <c r="Z1472" t="str">
        <f t="shared" si="68"/>
        <v>High</v>
      </c>
    </row>
    <row r="1473" spans="1:26" x14ac:dyDescent="0.35">
      <c r="A1473" s="1">
        <v>1472</v>
      </c>
      <c r="B1473" s="2" t="s">
        <v>4077</v>
      </c>
      <c r="C1473" s="3">
        <v>45233</v>
      </c>
      <c r="D1473" s="3">
        <v>45237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V1473">
        <f>YEAR(Table1[[#This Row],[Order Date]])</f>
        <v>2023</v>
      </c>
      <c r="W1473" t="str">
        <f>TEXT(Table1[[#This Row],[Order Date]],"mmm")</f>
        <v>Nov</v>
      </c>
      <c r="X1473">
        <f t="shared" si="66"/>
        <v>1.4238999999999997</v>
      </c>
      <c r="Y1473" t="str">
        <f t="shared" si="67"/>
        <v>Profit</v>
      </c>
      <c r="Z1473" t="str">
        <f t="shared" si="68"/>
        <v>Low</v>
      </c>
    </row>
    <row r="1474" spans="1:26" x14ac:dyDescent="0.35">
      <c r="A1474" s="1">
        <v>1473</v>
      </c>
      <c r="B1474" s="2" t="s">
        <v>4078</v>
      </c>
      <c r="C1474" s="3">
        <v>45233</v>
      </c>
      <c r="D1474" s="3">
        <v>45238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V1474">
        <f>YEAR(Table1[[#This Row],[Order Date]])</f>
        <v>2023</v>
      </c>
      <c r="W1474" t="str">
        <f>TEXT(Table1[[#This Row],[Order Date]],"mmm")</f>
        <v>Nov</v>
      </c>
      <c r="X1474">
        <f t="shared" ref="X1474:X1537" si="69">IFERROR(U1474/S1474,0)</f>
        <v>0.5885999999999999</v>
      </c>
      <c r="Y1474" t="str">
        <f t="shared" ref="Y1474:Y1537" si="70">IF(U1474&gt;0,"Profit",IF(U1474&lt;0,"Loss","Break-even"))</f>
        <v>Profit</v>
      </c>
      <c r="Z1474" t="str">
        <f t="shared" ref="Z1474:Z1537" si="71">IF(T1474=0,"No Discount",IF(T1474&lt;=0.2,"Low",IF(T1474&lt;=0.4,"Medium","High")))</f>
        <v>Low</v>
      </c>
    </row>
    <row r="1475" spans="1:26" x14ac:dyDescent="0.35">
      <c r="A1475" s="1">
        <v>1474</v>
      </c>
      <c r="B1475" s="2" t="s">
        <v>4078</v>
      </c>
      <c r="C1475" s="3">
        <v>45233</v>
      </c>
      <c r="D1475" s="3">
        <v>45238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V1475">
        <f>YEAR(Table1[[#This Row],[Order Date]])</f>
        <v>2023</v>
      </c>
      <c r="W1475" t="str">
        <f>TEXT(Table1[[#This Row],[Order Date]],"mmm")</f>
        <v>Nov</v>
      </c>
      <c r="X1475">
        <f t="shared" si="69"/>
        <v>5.3945999999999996</v>
      </c>
      <c r="Y1475" t="str">
        <f t="shared" si="70"/>
        <v>Profit</v>
      </c>
      <c r="Z1475" t="str">
        <f t="shared" si="71"/>
        <v>Low</v>
      </c>
    </row>
    <row r="1476" spans="1:26" x14ac:dyDescent="0.35">
      <c r="A1476" s="1">
        <v>1475</v>
      </c>
      <c r="B1476" s="2" t="s">
        <v>4066</v>
      </c>
      <c r="C1476" s="3">
        <v>45233</v>
      </c>
      <c r="D1476" s="3">
        <v>45237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V1476">
        <f>YEAR(Table1[[#This Row],[Order Date]])</f>
        <v>2023</v>
      </c>
      <c r="W1476" t="str">
        <f>TEXT(Table1[[#This Row],[Order Date]],"mmm")</f>
        <v>Nov</v>
      </c>
      <c r="X1476">
        <f t="shared" si="69"/>
        <v>-0.81199999999999983</v>
      </c>
      <c r="Y1476" t="str">
        <f t="shared" si="70"/>
        <v>Loss</v>
      </c>
      <c r="Z1476" t="str">
        <f t="shared" si="71"/>
        <v>Low</v>
      </c>
    </row>
    <row r="1477" spans="1:26" x14ac:dyDescent="0.35">
      <c r="A1477" s="1">
        <v>1476</v>
      </c>
      <c r="B1477" s="2" t="s">
        <v>4082</v>
      </c>
      <c r="C1477" s="3">
        <v>45233</v>
      </c>
      <c r="D1477" s="3">
        <v>45238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V1477">
        <f>YEAR(Table1[[#This Row],[Order Date]])</f>
        <v>2023</v>
      </c>
      <c r="W1477" t="str">
        <f>TEXT(Table1[[#This Row],[Order Date]],"mmm")</f>
        <v>Nov</v>
      </c>
      <c r="X1477">
        <f t="shared" si="69"/>
        <v>-21.475800000000003</v>
      </c>
      <c r="Y1477" t="str">
        <f t="shared" si="70"/>
        <v>Loss</v>
      </c>
      <c r="Z1477" t="str">
        <f t="shared" si="71"/>
        <v>Low</v>
      </c>
    </row>
    <row r="1478" spans="1:26" x14ac:dyDescent="0.35">
      <c r="A1478" s="1">
        <v>1477</v>
      </c>
      <c r="B1478" s="2" t="s">
        <v>4083</v>
      </c>
      <c r="C1478" s="3">
        <v>45233</v>
      </c>
      <c r="D1478" s="3">
        <v>45238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</v>
      </c>
      <c r="T1478" s="1">
        <v>0</v>
      </c>
      <c r="U1478" s="1">
        <v>3.3755999999999986</v>
      </c>
      <c r="V1478">
        <f>YEAR(Table1[[#This Row],[Order Date]])</f>
        <v>2023</v>
      </c>
      <c r="W1478" t="str">
        <f>TEXT(Table1[[#This Row],[Order Date]],"mmm")</f>
        <v>Nov</v>
      </c>
      <c r="X1478">
        <f t="shared" si="69"/>
        <v>1.1251999999999995</v>
      </c>
      <c r="Y1478" t="str">
        <f t="shared" si="70"/>
        <v>Profit</v>
      </c>
      <c r="Z1478" t="str">
        <f t="shared" si="71"/>
        <v>No Discount</v>
      </c>
    </row>
    <row r="1479" spans="1:26" x14ac:dyDescent="0.35">
      <c r="A1479" s="1">
        <v>1478</v>
      </c>
      <c r="B1479" s="2" t="s">
        <v>4084</v>
      </c>
      <c r="C1479" s="3">
        <v>45233</v>
      </c>
      <c r="D1479" s="3">
        <v>45237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</v>
      </c>
      <c r="T1479" s="1">
        <v>0</v>
      </c>
      <c r="U1479" s="1">
        <v>18.893699999999995</v>
      </c>
      <c r="V1479">
        <f>YEAR(Table1[[#This Row],[Order Date]])</f>
        <v>2023</v>
      </c>
      <c r="W1479" t="str">
        <f>TEXT(Table1[[#This Row],[Order Date]],"mmm")</f>
        <v>Nov</v>
      </c>
      <c r="X1479">
        <f t="shared" si="69"/>
        <v>6.2978999999999985</v>
      </c>
      <c r="Y1479" t="str">
        <f t="shared" si="70"/>
        <v>Profit</v>
      </c>
      <c r="Z1479" t="str">
        <f t="shared" si="71"/>
        <v>No Discount</v>
      </c>
    </row>
    <row r="1480" spans="1:26" x14ac:dyDescent="0.35">
      <c r="A1480" s="1">
        <v>1479</v>
      </c>
      <c r="B1480" s="2" t="s">
        <v>4077</v>
      </c>
      <c r="C1480" s="3">
        <v>45233</v>
      </c>
      <c r="D1480" s="3">
        <v>45237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</v>
      </c>
      <c r="T1480" s="1">
        <v>0</v>
      </c>
      <c r="U1480" s="1">
        <v>219.50880000000006</v>
      </c>
      <c r="V1480">
        <f>YEAR(Table1[[#This Row],[Order Date]])</f>
        <v>2023</v>
      </c>
      <c r="W1480" t="str">
        <f>TEXT(Table1[[#This Row],[Order Date]],"mmm")</f>
        <v>Nov</v>
      </c>
      <c r="X1480">
        <f t="shared" si="69"/>
        <v>54.877200000000016</v>
      </c>
      <c r="Y1480" t="str">
        <f t="shared" si="70"/>
        <v>Profit</v>
      </c>
      <c r="Z1480" t="str">
        <f t="shared" si="71"/>
        <v>No Discount</v>
      </c>
    </row>
    <row r="1481" spans="1:26" x14ac:dyDescent="0.35">
      <c r="A1481" s="1">
        <v>1480</v>
      </c>
      <c r="B1481" s="2" t="s">
        <v>4087</v>
      </c>
      <c r="C1481" s="3">
        <v>45234</v>
      </c>
      <c r="D1481" s="3">
        <v>45239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V1481">
        <f>YEAR(Table1[[#This Row],[Order Date]])</f>
        <v>2023</v>
      </c>
      <c r="W1481" t="str">
        <f>TEXT(Table1[[#This Row],[Order Date]],"mmm")</f>
        <v>Nov</v>
      </c>
      <c r="X1481">
        <f t="shared" si="69"/>
        <v>24.156800000000004</v>
      </c>
      <c r="Y1481" t="str">
        <f t="shared" si="70"/>
        <v>Profit</v>
      </c>
      <c r="Z1481" t="str">
        <f t="shared" si="71"/>
        <v>Low</v>
      </c>
    </row>
    <row r="1482" spans="1:26" x14ac:dyDescent="0.35">
      <c r="A1482" s="1">
        <v>1481</v>
      </c>
      <c r="B1482" s="2" t="s">
        <v>4088</v>
      </c>
      <c r="C1482" s="3">
        <v>45234</v>
      </c>
      <c r="D1482" s="3">
        <v>45238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35.340000000000003</v>
      </c>
      <c r="S1482" s="1">
        <v>2</v>
      </c>
      <c r="T1482" s="1">
        <v>0</v>
      </c>
      <c r="U1482" s="1">
        <v>13.429200000000002</v>
      </c>
      <c r="V1482">
        <f>YEAR(Table1[[#This Row],[Order Date]])</f>
        <v>2023</v>
      </c>
      <c r="W1482" t="str">
        <f>TEXT(Table1[[#This Row],[Order Date]],"mmm")</f>
        <v>Nov</v>
      </c>
      <c r="X1482">
        <f t="shared" si="69"/>
        <v>6.7146000000000008</v>
      </c>
      <c r="Y1482" t="str">
        <f t="shared" si="70"/>
        <v>Profit</v>
      </c>
      <c r="Z1482" t="str">
        <f t="shared" si="71"/>
        <v>No Discount</v>
      </c>
    </row>
    <row r="1483" spans="1:26" x14ac:dyDescent="0.35">
      <c r="A1483" s="1">
        <v>1482</v>
      </c>
      <c r="B1483" s="2" t="s">
        <v>4091</v>
      </c>
      <c r="C1483" s="3">
        <v>45234</v>
      </c>
      <c r="D1483" s="3">
        <v>45241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V1483">
        <f>YEAR(Table1[[#This Row],[Order Date]])</f>
        <v>2023</v>
      </c>
      <c r="W1483" t="str">
        <f>TEXT(Table1[[#This Row],[Order Date]],"mmm")</f>
        <v>Nov</v>
      </c>
      <c r="X1483">
        <f t="shared" si="69"/>
        <v>-16.136099999999992</v>
      </c>
      <c r="Y1483" t="str">
        <f t="shared" si="70"/>
        <v>Loss</v>
      </c>
      <c r="Z1483" t="str">
        <f t="shared" si="71"/>
        <v>Low</v>
      </c>
    </row>
    <row r="1484" spans="1:26" x14ac:dyDescent="0.35">
      <c r="A1484" s="1">
        <v>1483</v>
      </c>
      <c r="B1484" s="2" t="s">
        <v>4094</v>
      </c>
      <c r="C1484" s="3">
        <v>45234</v>
      </c>
      <c r="D1484" s="3">
        <v>45238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V1484">
        <f>YEAR(Table1[[#This Row],[Order Date]])</f>
        <v>2023</v>
      </c>
      <c r="W1484" t="str">
        <f>TEXT(Table1[[#This Row],[Order Date]],"mmm")</f>
        <v>Nov</v>
      </c>
      <c r="X1484">
        <f t="shared" si="69"/>
        <v>1.0192000000000001</v>
      </c>
      <c r="Y1484" t="str">
        <f t="shared" si="70"/>
        <v>Profit</v>
      </c>
      <c r="Z1484" t="str">
        <f t="shared" si="71"/>
        <v>Low</v>
      </c>
    </row>
    <row r="1485" spans="1:26" x14ac:dyDescent="0.35">
      <c r="A1485" s="1">
        <v>1484</v>
      </c>
      <c r="B1485" s="2" t="s">
        <v>4095</v>
      </c>
      <c r="C1485" s="3">
        <v>45234</v>
      </c>
      <c r="D1485" s="3">
        <v>45241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</v>
      </c>
      <c r="T1485" s="1">
        <v>0</v>
      </c>
      <c r="U1485" s="1">
        <v>0.79380000000000006</v>
      </c>
      <c r="V1485">
        <f>YEAR(Table1[[#This Row],[Order Date]])</f>
        <v>2023</v>
      </c>
      <c r="W1485" t="str">
        <f>TEXT(Table1[[#This Row],[Order Date]],"mmm")</f>
        <v>Nov</v>
      </c>
      <c r="X1485">
        <f t="shared" si="69"/>
        <v>0.79380000000000006</v>
      </c>
      <c r="Y1485" t="str">
        <f t="shared" si="70"/>
        <v>Profit</v>
      </c>
      <c r="Z1485" t="str">
        <f t="shared" si="71"/>
        <v>No Discount</v>
      </c>
    </row>
    <row r="1486" spans="1:26" x14ac:dyDescent="0.35">
      <c r="A1486" s="1">
        <v>1485</v>
      </c>
      <c r="B1486" s="2" t="s">
        <v>4100</v>
      </c>
      <c r="C1486" s="3">
        <v>45234</v>
      </c>
      <c r="D1486" s="3">
        <v>45240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</v>
      </c>
      <c r="T1486" s="1">
        <v>0.2</v>
      </c>
      <c r="U1486" s="1">
        <v>18.873199999999997</v>
      </c>
      <c r="V1486">
        <f>YEAR(Table1[[#This Row],[Order Date]])</f>
        <v>2023</v>
      </c>
      <c r="W1486" t="str">
        <f>TEXT(Table1[[#This Row],[Order Date]],"mmm")</f>
        <v>Nov</v>
      </c>
      <c r="X1486">
        <f t="shared" si="69"/>
        <v>4.7182999999999993</v>
      </c>
      <c r="Y1486" t="str">
        <f t="shared" si="70"/>
        <v>Profit</v>
      </c>
      <c r="Z1486" t="str">
        <f t="shared" si="71"/>
        <v>Low</v>
      </c>
    </row>
    <row r="1487" spans="1:26" x14ac:dyDescent="0.35">
      <c r="A1487" s="1">
        <v>1486</v>
      </c>
      <c r="B1487" s="2" t="s">
        <v>4091</v>
      </c>
      <c r="C1487" s="3">
        <v>45234</v>
      </c>
      <c r="D1487" s="3">
        <v>45241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V1487">
        <f>YEAR(Table1[[#This Row],[Order Date]])</f>
        <v>2023</v>
      </c>
      <c r="W1487" t="str">
        <f>TEXT(Table1[[#This Row],[Order Date]],"mmm")</f>
        <v>Nov</v>
      </c>
      <c r="X1487">
        <f t="shared" si="69"/>
        <v>2.7419999999999995</v>
      </c>
      <c r="Y1487" t="str">
        <f t="shared" si="70"/>
        <v>Profit</v>
      </c>
      <c r="Z1487" t="str">
        <f t="shared" si="71"/>
        <v>Low</v>
      </c>
    </row>
    <row r="1488" spans="1:26" x14ac:dyDescent="0.35">
      <c r="A1488" s="1">
        <v>1487</v>
      </c>
      <c r="B1488" s="2" t="s">
        <v>4094</v>
      </c>
      <c r="C1488" s="3">
        <v>45234</v>
      </c>
      <c r="D1488" s="3">
        <v>45238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8.3760000000000012</v>
      </c>
      <c r="S1488" s="1">
        <v>3</v>
      </c>
      <c r="T1488" s="1">
        <v>0.2</v>
      </c>
      <c r="U1488" s="1">
        <v>2.7222</v>
      </c>
      <c r="V1488">
        <f>YEAR(Table1[[#This Row],[Order Date]])</f>
        <v>2023</v>
      </c>
      <c r="W1488" t="str">
        <f>TEXT(Table1[[#This Row],[Order Date]],"mmm")</f>
        <v>Nov</v>
      </c>
      <c r="X1488">
        <f t="shared" si="69"/>
        <v>0.90739999999999998</v>
      </c>
      <c r="Y1488" t="str">
        <f t="shared" si="70"/>
        <v>Profit</v>
      </c>
      <c r="Z1488" t="str">
        <f t="shared" si="71"/>
        <v>Low</v>
      </c>
    </row>
    <row r="1489" spans="1:26" x14ac:dyDescent="0.35">
      <c r="A1489" s="1">
        <v>1488</v>
      </c>
      <c r="B1489" s="2" t="s">
        <v>4091</v>
      </c>
      <c r="C1489" s="3">
        <v>45234</v>
      </c>
      <c r="D1489" s="3">
        <v>45241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>
        <f>YEAR(Table1[[#This Row],[Order Date]])</f>
        <v>2023</v>
      </c>
      <c r="W1489" t="str">
        <f>TEXT(Table1[[#This Row],[Order Date]],"mmm")</f>
        <v>Nov</v>
      </c>
      <c r="X1489">
        <f t="shared" si="69"/>
        <v>3.1104000000000003</v>
      </c>
      <c r="Y1489" t="str">
        <f t="shared" si="70"/>
        <v>Profit</v>
      </c>
      <c r="Z1489" t="str">
        <f t="shared" si="71"/>
        <v>No Discount</v>
      </c>
    </row>
    <row r="1490" spans="1:26" x14ac:dyDescent="0.35">
      <c r="A1490" s="1">
        <v>1489</v>
      </c>
      <c r="B1490" s="2" t="s">
        <v>4087</v>
      </c>
      <c r="C1490" s="3">
        <v>45234</v>
      </c>
      <c r="D1490" s="3">
        <v>45239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</v>
      </c>
      <c r="T1490" s="1">
        <v>0</v>
      </c>
      <c r="U1490" s="1">
        <v>13.070999999999998</v>
      </c>
      <c r="V1490">
        <f>YEAR(Table1[[#This Row],[Order Date]])</f>
        <v>2023</v>
      </c>
      <c r="W1490" t="str">
        <f>TEXT(Table1[[#This Row],[Order Date]],"mmm")</f>
        <v>Nov</v>
      </c>
      <c r="X1490">
        <f t="shared" si="69"/>
        <v>13.070999999999998</v>
      </c>
      <c r="Y1490" t="str">
        <f t="shared" si="70"/>
        <v>Profit</v>
      </c>
      <c r="Z1490" t="str">
        <f t="shared" si="71"/>
        <v>No Discount</v>
      </c>
    </row>
    <row r="1491" spans="1:26" x14ac:dyDescent="0.35">
      <c r="A1491" s="1">
        <v>1490</v>
      </c>
      <c r="B1491" s="2" t="s">
        <v>4087</v>
      </c>
      <c r="C1491" s="3">
        <v>45234</v>
      </c>
      <c r="D1491" s="3">
        <v>45239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</v>
      </c>
      <c r="S1491" s="1">
        <v>4</v>
      </c>
      <c r="T1491" s="1">
        <v>0</v>
      </c>
      <c r="U1491" s="1">
        <v>129.6</v>
      </c>
      <c r="V1491">
        <f>YEAR(Table1[[#This Row],[Order Date]])</f>
        <v>2023</v>
      </c>
      <c r="W1491" t="str">
        <f>TEXT(Table1[[#This Row],[Order Date]],"mmm")</f>
        <v>Nov</v>
      </c>
      <c r="X1491">
        <f t="shared" si="69"/>
        <v>32.4</v>
      </c>
      <c r="Y1491" t="str">
        <f t="shared" si="70"/>
        <v>Profit</v>
      </c>
      <c r="Z1491" t="str">
        <f t="shared" si="71"/>
        <v>No Discount</v>
      </c>
    </row>
    <row r="1492" spans="1:26" x14ac:dyDescent="0.35">
      <c r="A1492" s="1">
        <v>1491</v>
      </c>
      <c r="B1492" s="2" t="s">
        <v>4087</v>
      </c>
      <c r="C1492" s="3">
        <v>45234</v>
      </c>
      <c r="D1492" s="3">
        <v>45239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</v>
      </c>
      <c r="T1492" s="1">
        <v>0</v>
      </c>
      <c r="U1492" s="1">
        <v>1995.99</v>
      </c>
      <c r="V1492">
        <f>YEAR(Table1[[#This Row],[Order Date]])</f>
        <v>2023</v>
      </c>
      <c r="W1492" t="str">
        <f>TEXT(Table1[[#This Row],[Order Date]],"mmm")</f>
        <v>Nov</v>
      </c>
      <c r="X1492">
        <f t="shared" si="69"/>
        <v>997.995</v>
      </c>
      <c r="Y1492" t="str">
        <f t="shared" si="70"/>
        <v>Profit</v>
      </c>
      <c r="Z1492" t="str">
        <f t="shared" si="71"/>
        <v>No Discount</v>
      </c>
    </row>
    <row r="1493" spans="1:26" x14ac:dyDescent="0.35">
      <c r="A1493" s="1">
        <v>1492</v>
      </c>
      <c r="B1493" s="2" t="s">
        <v>4091</v>
      </c>
      <c r="C1493" s="3">
        <v>45234</v>
      </c>
      <c r="D1493" s="3">
        <v>45241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V1493">
        <f>YEAR(Table1[[#This Row],[Order Date]])</f>
        <v>2023</v>
      </c>
      <c r="W1493" t="str">
        <f>TEXT(Table1[[#This Row],[Order Date]],"mmm")</f>
        <v>Nov</v>
      </c>
      <c r="X1493">
        <f t="shared" si="69"/>
        <v>34.997499999999988</v>
      </c>
      <c r="Y1493" t="str">
        <f t="shared" si="70"/>
        <v>Profit</v>
      </c>
      <c r="Z1493" t="str">
        <f t="shared" si="71"/>
        <v>Low</v>
      </c>
    </row>
    <row r="1494" spans="1:26" x14ac:dyDescent="0.35">
      <c r="A1494" s="1">
        <v>1493</v>
      </c>
      <c r="B1494" s="2" t="s">
        <v>4091</v>
      </c>
      <c r="C1494" s="3">
        <v>45234</v>
      </c>
      <c r="D1494" s="3">
        <v>45241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V1494">
        <f>YEAR(Table1[[#This Row],[Order Date]])</f>
        <v>2023</v>
      </c>
      <c r="W1494" t="str">
        <f>TEXT(Table1[[#This Row],[Order Date]],"mmm")</f>
        <v>Nov</v>
      </c>
      <c r="X1494">
        <f t="shared" si="69"/>
        <v>9.5191999999999961</v>
      </c>
      <c r="Y1494" t="str">
        <f t="shared" si="70"/>
        <v>Profit</v>
      </c>
      <c r="Z1494" t="str">
        <f t="shared" si="71"/>
        <v>Low</v>
      </c>
    </row>
    <row r="1495" spans="1:26" x14ac:dyDescent="0.35">
      <c r="A1495" s="1">
        <v>1494</v>
      </c>
      <c r="B1495" s="2" t="s">
        <v>4087</v>
      </c>
      <c r="C1495" s="3">
        <v>45234</v>
      </c>
      <c r="D1495" s="3">
        <v>45239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  <c r="V1495">
        <f>YEAR(Table1[[#This Row],[Order Date]])</f>
        <v>2023</v>
      </c>
      <c r="W1495" t="str">
        <f>TEXT(Table1[[#This Row],[Order Date]],"mmm")</f>
        <v>Nov</v>
      </c>
      <c r="X1495">
        <f t="shared" si="69"/>
        <v>13.3371</v>
      </c>
      <c r="Y1495" t="str">
        <f t="shared" si="70"/>
        <v>Profit</v>
      </c>
      <c r="Z1495" t="str">
        <f t="shared" si="71"/>
        <v>No Discount</v>
      </c>
    </row>
    <row r="1496" spans="1:26" x14ac:dyDescent="0.35">
      <c r="A1496" s="1">
        <v>1495</v>
      </c>
      <c r="B1496" s="2" t="s">
        <v>4117</v>
      </c>
      <c r="C1496" s="3">
        <v>45235</v>
      </c>
      <c r="D1496" s="3">
        <v>45235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  <c r="V1496">
        <f>YEAR(Table1[[#This Row],[Order Date]])</f>
        <v>2023</v>
      </c>
      <c r="W1496" t="str">
        <f>TEXT(Table1[[#This Row],[Order Date]],"mmm")</f>
        <v>Nov</v>
      </c>
      <c r="X1496">
        <f t="shared" si="69"/>
        <v>8.0945999999999998</v>
      </c>
      <c r="Y1496" t="str">
        <f t="shared" si="70"/>
        <v>Profit</v>
      </c>
      <c r="Z1496" t="str">
        <f t="shared" si="71"/>
        <v>No Discount</v>
      </c>
    </row>
    <row r="1497" spans="1:26" x14ac:dyDescent="0.35">
      <c r="A1497" s="1">
        <v>1496</v>
      </c>
      <c r="B1497" s="2" t="s">
        <v>4122</v>
      </c>
      <c r="C1497" s="3">
        <v>45235</v>
      </c>
      <c r="D1497" s="3">
        <v>45240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</v>
      </c>
      <c r="T1497" s="1">
        <v>0</v>
      </c>
      <c r="U1497" s="1">
        <v>8.8176000000000023</v>
      </c>
      <c r="V1497">
        <f>YEAR(Table1[[#This Row],[Order Date]])</f>
        <v>2023</v>
      </c>
      <c r="W1497" t="str">
        <f>TEXT(Table1[[#This Row],[Order Date]],"mmm")</f>
        <v>Nov</v>
      </c>
      <c r="X1497">
        <f t="shared" si="69"/>
        <v>1.4696000000000005</v>
      </c>
      <c r="Y1497" t="str">
        <f t="shared" si="70"/>
        <v>Profit</v>
      </c>
      <c r="Z1497" t="str">
        <f t="shared" si="71"/>
        <v>No Discount</v>
      </c>
    </row>
    <row r="1498" spans="1:26" x14ac:dyDescent="0.35">
      <c r="A1498" s="1">
        <v>1497</v>
      </c>
      <c r="B1498" s="2" t="s">
        <v>4125</v>
      </c>
      <c r="C1498" s="3">
        <v>45235</v>
      </c>
      <c r="D1498" s="3">
        <v>45240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V1498">
        <f>YEAR(Table1[[#This Row],[Order Date]])</f>
        <v>2023</v>
      </c>
      <c r="W1498" t="str">
        <f>TEXT(Table1[[#This Row],[Order Date]],"mmm")</f>
        <v>Nov</v>
      </c>
      <c r="X1498">
        <f t="shared" si="69"/>
        <v>-17.098000000000013</v>
      </c>
      <c r="Y1498" t="str">
        <f t="shared" si="70"/>
        <v>Loss</v>
      </c>
      <c r="Z1498" t="str">
        <f t="shared" si="71"/>
        <v>Low</v>
      </c>
    </row>
    <row r="1499" spans="1:26" x14ac:dyDescent="0.35">
      <c r="A1499" s="1">
        <v>1498</v>
      </c>
      <c r="B1499" s="2" t="s">
        <v>4125</v>
      </c>
      <c r="C1499" s="3">
        <v>45235</v>
      </c>
      <c r="D1499" s="3">
        <v>45240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V1499">
        <f>YEAR(Table1[[#This Row],[Order Date]])</f>
        <v>2023</v>
      </c>
      <c r="W1499" t="str">
        <f>TEXT(Table1[[#This Row],[Order Date]],"mmm")</f>
        <v>Nov</v>
      </c>
      <c r="X1499">
        <f t="shared" si="69"/>
        <v>-4.3979999999999979</v>
      </c>
      <c r="Y1499" t="str">
        <f t="shared" si="70"/>
        <v>Loss</v>
      </c>
      <c r="Z1499" t="str">
        <f t="shared" si="71"/>
        <v>High</v>
      </c>
    </row>
    <row r="1500" spans="1:26" x14ac:dyDescent="0.35">
      <c r="A1500" s="1">
        <v>1499</v>
      </c>
      <c r="B1500" s="2" t="s">
        <v>4125</v>
      </c>
      <c r="C1500" s="3">
        <v>45235</v>
      </c>
      <c r="D1500" s="3">
        <v>45240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  <c r="V1500">
        <f>YEAR(Table1[[#This Row],[Order Date]])</f>
        <v>2023</v>
      </c>
      <c r="W1500" t="str">
        <f>TEXT(Table1[[#This Row],[Order Date]],"mmm")</f>
        <v>Nov</v>
      </c>
      <c r="X1500">
        <f t="shared" si="69"/>
        <v>-15.751399999999999</v>
      </c>
      <c r="Y1500" t="str">
        <f t="shared" si="70"/>
        <v>Loss</v>
      </c>
      <c r="Z1500" t="str">
        <f t="shared" si="71"/>
        <v>Low</v>
      </c>
    </row>
    <row r="1501" spans="1:26" x14ac:dyDescent="0.35">
      <c r="A1501" s="1">
        <v>1500</v>
      </c>
      <c r="B1501" s="2" t="s">
        <v>4125</v>
      </c>
      <c r="C1501" s="3">
        <v>45235</v>
      </c>
      <c r="D1501" s="3">
        <v>45240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</v>
      </c>
      <c r="T1501" s="1">
        <v>0.2</v>
      </c>
      <c r="U1501" s="1">
        <v>-6.4450000000000021</v>
      </c>
      <c r="V1501">
        <f>YEAR(Table1[[#This Row],[Order Date]])</f>
        <v>2023</v>
      </c>
      <c r="W1501" t="str">
        <f>TEXT(Table1[[#This Row],[Order Date]],"mmm")</f>
        <v>Nov</v>
      </c>
      <c r="X1501">
        <f t="shared" si="69"/>
        <v>-1.2890000000000004</v>
      </c>
      <c r="Y1501" t="str">
        <f t="shared" si="70"/>
        <v>Loss</v>
      </c>
      <c r="Z1501" t="str">
        <f t="shared" si="71"/>
        <v>Low</v>
      </c>
    </row>
    <row r="1502" spans="1:26" x14ac:dyDescent="0.35">
      <c r="A1502" s="1">
        <v>1501</v>
      </c>
      <c r="B1502" s="2" t="s">
        <v>4130</v>
      </c>
      <c r="C1502" s="3">
        <v>45235</v>
      </c>
      <c r="D1502" s="3">
        <v>45240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</v>
      </c>
      <c r="T1502" s="1">
        <v>0</v>
      </c>
      <c r="U1502" s="1">
        <v>16.2486</v>
      </c>
      <c r="V1502">
        <f>YEAR(Table1[[#This Row],[Order Date]])</f>
        <v>2023</v>
      </c>
      <c r="W1502" t="str">
        <f>TEXT(Table1[[#This Row],[Order Date]],"mmm")</f>
        <v>Nov</v>
      </c>
      <c r="X1502">
        <f t="shared" si="69"/>
        <v>5.4161999999999999</v>
      </c>
      <c r="Y1502" t="str">
        <f t="shared" si="70"/>
        <v>Profit</v>
      </c>
      <c r="Z1502" t="str">
        <f t="shared" si="71"/>
        <v>No Discount</v>
      </c>
    </row>
    <row r="1503" spans="1:26" x14ac:dyDescent="0.35">
      <c r="A1503" s="1">
        <v>1502</v>
      </c>
      <c r="B1503" s="2" t="s">
        <v>4125</v>
      </c>
      <c r="C1503" s="3">
        <v>45235</v>
      </c>
      <c r="D1503" s="3">
        <v>45240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V1503">
        <f>YEAR(Table1[[#This Row],[Order Date]])</f>
        <v>2023</v>
      </c>
      <c r="W1503" t="str">
        <f>TEXT(Table1[[#This Row],[Order Date]],"mmm")</f>
        <v>Nov</v>
      </c>
      <c r="X1503">
        <f t="shared" si="69"/>
        <v>8.3973000000000013</v>
      </c>
      <c r="Y1503" t="str">
        <f t="shared" si="70"/>
        <v>Profit</v>
      </c>
      <c r="Z1503" t="str">
        <f t="shared" si="71"/>
        <v>Low</v>
      </c>
    </row>
    <row r="1504" spans="1:26" x14ac:dyDescent="0.35">
      <c r="A1504" s="1">
        <v>1503</v>
      </c>
      <c r="B1504" s="2" t="s">
        <v>4133</v>
      </c>
      <c r="C1504" s="3">
        <v>45236</v>
      </c>
      <c r="D1504" s="3">
        <v>45241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</v>
      </c>
      <c r="T1504" s="1">
        <v>0</v>
      </c>
      <c r="U1504" s="1">
        <v>20.9664</v>
      </c>
      <c r="V1504">
        <f>YEAR(Table1[[#This Row],[Order Date]])</f>
        <v>2023</v>
      </c>
      <c r="W1504" t="str">
        <f>TEXT(Table1[[#This Row],[Order Date]],"mmm")</f>
        <v>Nov</v>
      </c>
      <c r="X1504">
        <f t="shared" si="69"/>
        <v>3.4944000000000002</v>
      </c>
      <c r="Y1504" t="str">
        <f t="shared" si="70"/>
        <v>Profit</v>
      </c>
      <c r="Z1504" t="str">
        <f t="shared" si="71"/>
        <v>No Discount</v>
      </c>
    </row>
    <row r="1505" spans="1:26" x14ac:dyDescent="0.35">
      <c r="A1505" s="1">
        <v>1504</v>
      </c>
      <c r="B1505" s="2" t="s">
        <v>4134</v>
      </c>
      <c r="C1505" s="3">
        <v>45237</v>
      </c>
      <c r="D1505" s="3">
        <v>45242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683.14399999999989</v>
      </c>
      <c r="S1505" s="1">
        <v>4</v>
      </c>
      <c r="T1505" s="1">
        <v>0.3</v>
      </c>
      <c r="U1505" s="1">
        <v>0</v>
      </c>
      <c r="V1505">
        <f>YEAR(Table1[[#This Row],[Order Date]])</f>
        <v>2023</v>
      </c>
      <c r="W1505" t="str">
        <f>TEXT(Table1[[#This Row],[Order Date]],"mmm")</f>
        <v>Nov</v>
      </c>
      <c r="X1505">
        <f t="shared" si="69"/>
        <v>0</v>
      </c>
      <c r="Y1505" t="str">
        <f t="shared" si="70"/>
        <v>Break-even</v>
      </c>
      <c r="Z1505" t="str">
        <f t="shared" si="71"/>
        <v>Medium</v>
      </c>
    </row>
    <row r="1506" spans="1:26" x14ac:dyDescent="0.35">
      <c r="A1506" s="1">
        <v>1505</v>
      </c>
      <c r="B1506" s="2" t="s">
        <v>4135</v>
      </c>
      <c r="C1506" s="3">
        <v>45237</v>
      </c>
      <c r="D1506" s="3">
        <v>45242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</v>
      </c>
      <c r="T1506" s="1">
        <v>0</v>
      </c>
      <c r="U1506" s="1">
        <v>68.846399999999988</v>
      </c>
      <c r="V1506">
        <f>YEAR(Table1[[#This Row],[Order Date]])</f>
        <v>2023</v>
      </c>
      <c r="W1506" t="str">
        <f>TEXT(Table1[[#This Row],[Order Date]],"mmm")</f>
        <v>Nov</v>
      </c>
      <c r="X1506">
        <f t="shared" si="69"/>
        <v>11.474399999999997</v>
      </c>
      <c r="Y1506" t="str">
        <f t="shared" si="70"/>
        <v>Profit</v>
      </c>
      <c r="Z1506" t="str">
        <f t="shared" si="71"/>
        <v>No Discount</v>
      </c>
    </row>
    <row r="1507" spans="1:26" x14ac:dyDescent="0.35">
      <c r="A1507" s="1">
        <v>1506</v>
      </c>
      <c r="B1507" s="2" t="s">
        <v>4137</v>
      </c>
      <c r="C1507" s="3">
        <v>45237</v>
      </c>
      <c r="D1507" s="3">
        <v>45241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V1507">
        <f>YEAR(Table1[[#This Row],[Order Date]])</f>
        <v>2023</v>
      </c>
      <c r="W1507" t="str">
        <f>TEXT(Table1[[#This Row],[Order Date]],"mmm")</f>
        <v>Nov</v>
      </c>
      <c r="X1507">
        <f t="shared" si="69"/>
        <v>2.2643999999999993</v>
      </c>
      <c r="Y1507" t="str">
        <f t="shared" si="70"/>
        <v>Profit</v>
      </c>
      <c r="Z1507" t="str">
        <f t="shared" si="71"/>
        <v>Low</v>
      </c>
    </row>
    <row r="1508" spans="1:26" x14ac:dyDescent="0.35">
      <c r="A1508" s="1">
        <v>1507</v>
      </c>
      <c r="B1508" s="2" t="s">
        <v>4134</v>
      </c>
      <c r="C1508" s="3">
        <v>45237</v>
      </c>
      <c r="D1508" s="3">
        <v>45242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1.4759999999999995</v>
      </c>
      <c r="S1508" s="1">
        <v>3</v>
      </c>
      <c r="T1508" s="1">
        <v>0.8</v>
      </c>
      <c r="U1508" s="1">
        <v>-2.214</v>
      </c>
      <c r="V1508">
        <f>YEAR(Table1[[#This Row],[Order Date]])</f>
        <v>2023</v>
      </c>
      <c r="W1508" t="str">
        <f>TEXT(Table1[[#This Row],[Order Date]],"mmm")</f>
        <v>Nov</v>
      </c>
      <c r="X1508">
        <f t="shared" si="69"/>
        <v>-0.73799999999999999</v>
      </c>
      <c r="Y1508" t="str">
        <f t="shared" si="70"/>
        <v>Loss</v>
      </c>
      <c r="Z1508" t="str">
        <f t="shared" si="71"/>
        <v>High</v>
      </c>
    </row>
    <row r="1509" spans="1:26" x14ac:dyDescent="0.35">
      <c r="A1509" s="1">
        <v>1508</v>
      </c>
      <c r="B1509" s="2" t="s">
        <v>4142</v>
      </c>
      <c r="C1509" s="3">
        <v>45237</v>
      </c>
      <c r="D1509" s="3">
        <v>45239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V1509">
        <f>YEAR(Table1[[#This Row],[Order Date]])</f>
        <v>2023</v>
      </c>
      <c r="W1509" t="str">
        <f>TEXT(Table1[[#This Row],[Order Date]],"mmm")</f>
        <v>Nov</v>
      </c>
      <c r="X1509">
        <f t="shared" si="69"/>
        <v>-14.759399999999999</v>
      </c>
      <c r="Y1509" t="str">
        <f t="shared" si="70"/>
        <v>Loss</v>
      </c>
      <c r="Z1509" t="str">
        <f t="shared" si="71"/>
        <v>High</v>
      </c>
    </row>
    <row r="1510" spans="1:26" x14ac:dyDescent="0.35">
      <c r="A1510" s="1">
        <v>1509</v>
      </c>
      <c r="B1510" s="2" t="s">
        <v>4145</v>
      </c>
      <c r="C1510" s="3">
        <v>45237</v>
      </c>
      <c r="D1510" s="3">
        <v>45242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V1510">
        <f>YEAR(Table1[[#This Row],[Order Date]])</f>
        <v>2023</v>
      </c>
      <c r="W1510" t="str">
        <f>TEXT(Table1[[#This Row],[Order Date]],"mmm")</f>
        <v>Nov</v>
      </c>
      <c r="X1510">
        <f t="shared" si="69"/>
        <v>6.5969999999999986</v>
      </c>
      <c r="Y1510" t="str">
        <f t="shared" si="70"/>
        <v>Profit</v>
      </c>
      <c r="Z1510" t="str">
        <f t="shared" si="71"/>
        <v>Low</v>
      </c>
    </row>
    <row r="1511" spans="1:26" x14ac:dyDescent="0.35">
      <c r="A1511" s="1">
        <v>1510</v>
      </c>
      <c r="B1511" s="2" t="s">
        <v>4135</v>
      </c>
      <c r="C1511" s="3">
        <v>45237</v>
      </c>
      <c r="D1511" s="3">
        <v>45242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  <c r="V1511">
        <f>YEAR(Table1[[#This Row],[Order Date]])</f>
        <v>2023</v>
      </c>
      <c r="W1511" t="str">
        <f>TEXT(Table1[[#This Row],[Order Date]],"mmm")</f>
        <v>Nov</v>
      </c>
      <c r="X1511">
        <f t="shared" si="69"/>
        <v>1.9410999999999998</v>
      </c>
      <c r="Y1511" t="str">
        <f t="shared" si="70"/>
        <v>Profit</v>
      </c>
      <c r="Z1511" t="str">
        <f t="shared" si="71"/>
        <v>No Discount</v>
      </c>
    </row>
    <row r="1512" spans="1:26" x14ac:dyDescent="0.35">
      <c r="A1512" s="1">
        <v>1511</v>
      </c>
      <c r="B1512" s="2" t="s">
        <v>4142</v>
      </c>
      <c r="C1512" s="3">
        <v>45237</v>
      </c>
      <c r="D1512" s="3">
        <v>45239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V1512">
        <f>YEAR(Table1[[#This Row],[Order Date]])</f>
        <v>2023</v>
      </c>
      <c r="W1512" t="str">
        <f>TEXT(Table1[[#This Row],[Order Date]],"mmm")</f>
        <v>Nov</v>
      </c>
      <c r="X1512">
        <f t="shared" si="69"/>
        <v>8.9841999999999995</v>
      </c>
      <c r="Y1512" t="str">
        <f t="shared" si="70"/>
        <v>Profit</v>
      </c>
      <c r="Z1512" t="str">
        <f t="shared" si="71"/>
        <v>Low</v>
      </c>
    </row>
    <row r="1513" spans="1:26" x14ac:dyDescent="0.35">
      <c r="A1513" s="1">
        <v>1512</v>
      </c>
      <c r="B1513" s="2" t="s">
        <v>4146</v>
      </c>
      <c r="C1513" s="3">
        <v>45237</v>
      </c>
      <c r="D1513" s="3">
        <v>45238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</v>
      </c>
      <c r="T1513" s="1">
        <v>0</v>
      </c>
      <c r="U1513" s="1">
        <v>2.8415999999999997</v>
      </c>
      <c r="V1513">
        <f>YEAR(Table1[[#This Row],[Order Date]])</f>
        <v>2023</v>
      </c>
      <c r="W1513" t="str">
        <f>TEXT(Table1[[#This Row],[Order Date]],"mmm")</f>
        <v>Nov</v>
      </c>
      <c r="X1513">
        <f t="shared" si="69"/>
        <v>0.71039999999999992</v>
      </c>
      <c r="Y1513" t="str">
        <f t="shared" si="70"/>
        <v>Profit</v>
      </c>
      <c r="Z1513" t="str">
        <f t="shared" si="71"/>
        <v>No Discount</v>
      </c>
    </row>
    <row r="1514" spans="1:26" x14ac:dyDescent="0.35">
      <c r="A1514" s="1">
        <v>1513</v>
      </c>
      <c r="B1514" s="2" t="s">
        <v>4146</v>
      </c>
      <c r="C1514" s="3">
        <v>45237</v>
      </c>
      <c r="D1514" s="3">
        <v>45238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</v>
      </c>
      <c r="T1514" s="1">
        <v>0</v>
      </c>
      <c r="U1514" s="1">
        <v>13.8828</v>
      </c>
      <c r="V1514">
        <f>YEAR(Table1[[#This Row],[Order Date]])</f>
        <v>2023</v>
      </c>
      <c r="W1514" t="str">
        <f>TEXT(Table1[[#This Row],[Order Date]],"mmm")</f>
        <v>Nov</v>
      </c>
      <c r="X1514">
        <f t="shared" si="69"/>
        <v>4.6276000000000002</v>
      </c>
      <c r="Y1514" t="str">
        <f t="shared" si="70"/>
        <v>Profit</v>
      </c>
      <c r="Z1514" t="str">
        <f t="shared" si="71"/>
        <v>No Discount</v>
      </c>
    </row>
    <row r="1515" spans="1:26" x14ac:dyDescent="0.35">
      <c r="A1515" s="1">
        <v>1514</v>
      </c>
      <c r="B1515" s="2" t="s">
        <v>4137</v>
      </c>
      <c r="C1515" s="3">
        <v>45237</v>
      </c>
      <c r="D1515" s="3">
        <v>45241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V1515">
        <f>YEAR(Table1[[#This Row],[Order Date]])</f>
        <v>2023</v>
      </c>
      <c r="W1515" t="str">
        <f>TEXT(Table1[[#This Row],[Order Date]],"mmm")</f>
        <v>Nov</v>
      </c>
      <c r="X1515">
        <f t="shared" si="69"/>
        <v>1.8143999999999998</v>
      </c>
      <c r="Y1515" t="str">
        <f t="shared" si="70"/>
        <v>Profit</v>
      </c>
      <c r="Z1515" t="str">
        <f t="shared" si="71"/>
        <v>Low</v>
      </c>
    </row>
    <row r="1516" spans="1:26" x14ac:dyDescent="0.35">
      <c r="A1516" s="1">
        <v>1515</v>
      </c>
      <c r="B1516" s="2" t="s">
        <v>4135</v>
      </c>
      <c r="C1516" s="3">
        <v>45237</v>
      </c>
      <c r="D1516" s="3">
        <v>45242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</v>
      </c>
      <c r="T1516" s="1">
        <v>0</v>
      </c>
      <c r="U1516" s="1">
        <v>5.8707999999999991</v>
      </c>
      <c r="V1516">
        <f>YEAR(Table1[[#This Row],[Order Date]])</f>
        <v>2023</v>
      </c>
      <c r="W1516" t="str">
        <f>TEXT(Table1[[#This Row],[Order Date]],"mmm")</f>
        <v>Nov</v>
      </c>
      <c r="X1516">
        <f t="shared" si="69"/>
        <v>2.9353999999999996</v>
      </c>
      <c r="Y1516" t="str">
        <f t="shared" si="70"/>
        <v>Profit</v>
      </c>
      <c r="Z1516" t="str">
        <f t="shared" si="71"/>
        <v>No Discount</v>
      </c>
    </row>
    <row r="1517" spans="1:26" x14ac:dyDescent="0.35">
      <c r="A1517" s="1">
        <v>1516</v>
      </c>
      <c r="B1517" s="2" t="s">
        <v>4135</v>
      </c>
      <c r="C1517" s="3">
        <v>45237</v>
      </c>
      <c r="D1517" s="3">
        <v>45242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36.630000000000003</v>
      </c>
      <c r="S1517" s="1">
        <v>3</v>
      </c>
      <c r="T1517" s="1">
        <v>0</v>
      </c>
      <c r="U1517" s="1">
        <v>9.8901000000000039</v>
      </c>
      <c r="V1517">
        <f>YEAR(Table1[[#This Row],[Order Date]])</f>
        <v>2023</v>
      </c>
      <c r="W1517" t="str">
        <f>TEXT(Table1[[#This Row],[Order Date]],"mmm")</f>
        <v>Nov</v>
      </c>
      <c r="X1517">
        <f t="shared" si="69"/>
        <v>3.2967000000000013</v>
      </c>
      <c r="Y1517" t="str">
        <f t="shared" si="70"/>
        <v>Profit</v>
      </c>
      <c r="Z1517" t="str">
        <f t="shared" si="71"/>
        <v>No Discount</v>
      </c>
    </row>
    <row r="1518" spans="1:26" x14ac:dyDescent="0.35">
      <c r="A1518" s="1">
        <v>1517</v>
      </c>
      <c r="B1518" s="2" t="s">
        <v>4134</v>
      </c>
      <c r="C1518" s="3">
        <v>45237</v>
      </c>
      <c r="D1518" s="3">
        <v>45242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V1518">
        <f>YEAR(Table1[[#This Row],[Order Date]])</f>
        <v>2023</v>
      </c>
      <c r="W1518" t="str">
        <f>TEXT(Table1[[#This Row],[Order Date]],"mmm")</f>
        <v>Nov</v>
      </c>
      <c r="X1518">
        <f t="shared" si="69"/>
        <v>0.50890000000000035</v>
      </c>
      <c r="Y1518" t="str">
        <f t="shared" si="70"/>
        <v>Profit</v>
      </c>
      <c r="Z1518" t="str">
        <f t="shared" si="71"/>
        <v>Low</v>
      </c>
    </row>
    <row r="1519" spans="1:26" x14ac:dyDescent="0.35">
      <c r="A1519" s="1">
        <v>1518</v>
      </c>
      <c r="B1519" s="2" t="s">
        <v>4149</v>
      </c>
      <c r="C1519" s="3">
        <v>45238</v>
      </c>
      <c r="D1519" s="3">
        <v>45244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V1519">
        <f>YEAR(Table1[[#This Row],[Order Date]])</f>
        <v>2023</v>
      </c>
      <c r="W1519" t="str">
        <f>TEXT(Table1[[#This Row],[Order Date]],"mmm")</f>
        <v>Nov</v>
      </c>
      <c r="X1519">
        <f t="shared" si="69"/>
        <v>8.3393999999999977</v>
      </c>
      <c r="Y1519" t="str">
        <f t="shared" si="70"/>
        <v>Profit</v>
      </c>
      <c r="Z1519" t="str">
        <f t="shared" si="71"/>
        <v>Low</v>
      </c>
    </row>
    <row r="1520" spans="1:26" x14ac:dyDescent="0.35">
      <c r="A1520" s="1">
        <v>1519</v>
      </c>
      <c r="B1520" s="2" t="s">
        <v>4153</v>
      </c>
      <c r="C1520" s="3">
        <v>45239</v>
      </c>
      <c r="D1520" s="3">
        <v>45241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V1520">
        <f>YEAR(Table1[[#This Row],[Order Date]])</f>
        <v>2023</v>
      </c>
      <c r="W1520" t="str">
        <f>TEXT(Table1[[#This Row],[Order Date]],"mmm")</f>
        <v>Nov</v>
      </c>
      <c r="X1520">
        <f t="shared" si="69"/>
        <v>5.2391999999999896</v>
      </c>
      <c r="Y1520" t="str">
        <f t="shared" si="70"/>
        <v>Profit</v>
      </c>
      <c r="Z1520" t="str">
        <f t="shared" si="71"/>
        <v>Low</v>
      </c>
    </row>
    <row r="1521" spans="1:26" x14ac:dyDescent="0.35">
      <c r="A1521" s="1">
        <v>1520</v>
      </c>
      <c r="B1521" s="2" t="s">
        <v>4156</v>
      </c>
      <c r="C1521" s="3">
        <v>45239</v>
      </c>
      <c r="D1521" s="3">
        <v>45243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</v>
      </c>
      <c r="T1521" s="1">
        <v>0</v>
      </c>
      <c r="U1521" s="1">
        <v>21.477600000000002</v>
      </c>
      <c r="V1521">
        <f>YEAR(Table1[[#This Row],[Order Date]])</f>
        <v>2023</v>
      </c>
      <c r="W1521" t="str">
        <f>TEXT(Table1[[#This Row],[Order Date]],"mmm")</f>
        <v>Nov</v>
      </c>
      <c r="X1521">
        <f t="shared" si="69"/>
        <v>2.3864000000000001</v>
      </c>
      <c r="Y1521" t="str">
        <f t="shared" si="70"/>
        <v>Profit</v>
      </c>
      <c r="Z1521" t="str">
        <f t="shared" si="71"/>
        <v>No Discount</v>
      </c>
    </row>
    <row r="1522" spans="1:26" x14ac:dyDescent="0.35">
      <c r="A1522" s="1">
        <v>1521</v>
      </c>
      <c r="B1522" s="2" t="s">
        <v>4153</v>
      </c>
      <c r="C1522" s="3">
        <v>45239</v>
      </c>
      <c r="D1522" s="3">
        <v>45241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62.649999999999991</v>
      </c>
      <c r="S1522" s="1">
        <v>7</v>
      </c>
      <c r="T1522" s="1">
        <v>0</v>
      </c>
      <c r="U1522" s="1">
        <v>28.818999999999996</v>
      </c>
      <c r="V1522">
        <f>YEAR(Table1[[#This Row],[Order Date]])</f>
        <v>2023</v>
      </c>
      <c r="W1522" t="str">
        <f>TEXT(Table1[[#This Row],[Order Date]],"mmm")</f>
        <v>Nov</v>
      </c>
      <c r="X1522">
        <f t="shared" si="69"/>
        <v>4.1169999999999991</v>
      </c>
      <c r="Y1522" t="str">
        <f t="shared" si="70"/>
        <v>Profit</v>
      </c>
      <c r="Z1522" t="str">
        <f t="shared" si="71"/>
        <v>No Discount</v>
      </c>
    </row>
    <row r="1523" spans="1:26" x14ac:dyDescent="0.35">
      <c r="A1523" s="1">
        <v>1522</v>
      </c>
      <c r="B1523" s="2" t="s">
        <v>4153</v>
      </c>
      <c r="C1523" s="3">
        <v>45239</v>
      </c>
      <c r="D1523" s="3">
        <v>45241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</v>
      </c>
      <c r="T1523" s="1">
        <v>0</v>
      </c>
      <c r="U1523" s="1">
        <v>45.527999999999992</v>
      </c>
      <c r="V1523">
        <f>YEAR(Table1[[#This Row],[Order Date]])</f>
        <v>2023</v>
      </c>
      <c r="W1523" t="str">
        <f>TEXT(Table1[[#This Row],[Order Date]],"mmm")</f>
        <v>Nov</v>
      </c>
      <c r="X1523">
        <f t="shared" si="69"/>
        <v>9.105599999999999</v>
      </c>
      <c r="Y1523" t="str">
        <f t="shared" si="70"/>
        <v>Profit</v>
      </c>
      <c r="Z1523" t="str">
        <f t="shared" si="71"/>
        <v>No Discount</v>
      </c>
    </row>
    <row r="1524" spans="1:26" x14ac:dyDescent="0.35">
      <c r="A1524" s="1">
        <v>1523</v>
      </c>
      <c r="B1524" s="2" t="s">
        <v>4153</v>
      </c>
      <c r="C1524" s="3">
        <v>45239</v>
      </c>
      <c r="D1524" s="3">
        <v>45241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</v>
      </c>
      <c r="T1524" s="1">
        <v>0</v>
      </c>
      <c r="U1524" s="1">
        <v>24.980400000000007</v>
      </c>
      <c r="V1524">
        <f>YEAR(Table1[[#This Row],[Order Date]])</f>
        <v>2023</v>
      </c>
      <c r="W1524" t="str">
        <f>TEXT(Table1[[#This Row],[Order Date]],"mmm")</f>
        <v>Nov</v>
      </c>
      <c r="X1524">
        <f t="shared" si="69"/>
        <v>4.1634000000000011</v>
      </c>
      <c r="Y1524" t="str">
        <f t="shared" si="70"/>
        <v>Profit</v>
      </c>
      <c r="Z1524" t="str">
        <f t="shared" si="71"/>
        <v>No Discount</v>
      </c>
    </row>
    <row r="1525" spans="1:26" x14ac:dyDescent="0.35">
      <c r="A1525" s="1">
        <v>1524</v>
      </c>
      <c r="B1525" s="2" t="s">
        <v>4153</v>
      </c>
      <c r="C1525" s="3">
        <v>45239</v>
      </c>
      <c r="D1525" s="3">
        <v>45241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</v>
      </c>
      <c r="T1525" s="1">
        <v>0</v>
      </c>
      <c r="U1525" s="1">
        <v>3.4091999999999842</v>
      </c>
      <c r="V1525">
        <f>YEAR(Table1[[#This Row],[Order Date]])</f>
        <v>2023</v>
      </c>
      <c r="W1525" t="str">
        <f>TEXT(Table1[[#This Row],[Order Date]],"mmm")</f>
        <v>Nov</v>
      </c>
      <c r="X1525">
        <f t="shared" si="69"/>
        <v>1.1363999999999947</v>
      </c>
      <c r="Y1525" t="str">
        <f t="shared" si="70"/>
        <v>Profit</v>
      </c>
      <c r="Z1525" t="str">
        <f t="shared" si="71"/>
        <v>No Discount</v>
      </c>
    </row>
    <row r="1526" spans="1:26" x14ac:dyDescent="0.35">
      <c r="A1526" s="1">
        <v>1525</v>
      </c>
      <c r="B1526" s="2" t="s">
        <v>4153</v>
      </c>
      <c r="C1526" s="3">
        <v>45239</v>
      </c>
      <c r="D1526" s="3">
        <v>45241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V1526">
        <f>YEAR(Table1[[#This Row],[Order Date]])</f>
        <v>2023</v>
      </c>
      <c r="W1526" t="str">
        <f>TEXT(Table1[[#This Row],[Order Date]],"mmm")</f>
        <v>Nov</v>
      </c>
      <c r="X1526">
        <f t="shared" si="69"/>
        <v>21.998999999999981</v>
      </c>
      <c r="Y1526" t="str">
        <f t="shared" si="70"/>
        <v>Profit</v>
      </c>
      <c r="Z1526" t="str">
        <f t="shared" si="71"/>
        <v>Low</v>
      </c>
    </row>
    <row r="1527" spans="1:26" x14ac:dyDescent="0.35">
      <c r="A1527" s="1">
        <v>1526</v>
      </c>
      <c r="B1527" s="2" t="s">
        <v>4164</v>
      </c>
      <c r="C1527" s="3">
        <v>45240</v>
      </c>
      <c r="D1527" s="3">
        <v>45246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563.93999999999994</v>
      </c>
      <c r="S1527" s="1">
        <v>3</v>
      </c>
      <c r="T1527" s="1">
        <v>0</v>
      </c>
      <c r="U1527" s="1">
        <v>112.78800000000001</v>
      </c>
      <c r="V1527">
        <f>YEAR(Table1[[#This Row],[Order Date]])</f>
        <v>2023</v>
      </c>
      <c r="W1527" t="str">
        <f>TEXT(Table1[[#This Row],[Order Date]],"mmm")</f>
        <v>Nov</v>
      </c>
      <c r="X1527">
        <f t="shared" si="69"/>
        <v>37.596000000000004</v>
      </c>
      <c r="Y1527" t="str">
        <f t="shared" si="70"/>
        <v>Profit</v>
      </c>
      <c r="Z1527" t="str">
        <f t="shared" si="71"/>
        <v>No Discount</v>
      </c>
    </row>
    <row r="1528" spans="1:26" x14ac:dyDescent="0.35">
      <c r="A1528" s="1">
        <v>1527</v>
      </c>
      <c r="B1528" s="2" t="s">
        <v>4165</v>
      </c>
      <c r="C1528" s="3">
        <v>45240</v>
      </c>
      <c r="D1528" s="3">
        <v>45246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39.880000000000003</v>
      </c>
      <c r="S1528" s="1">
        <v>2</v>
      </c>
      <c r="T1528" s="1">
        <v>0</v>
      </c>
      <c r="U1528" s="1">
        <v>11.166400000000003</v>
      </c>
      <c r="V1528">
        <f>YEAR(Table1[[#This Row],[Order Date]])</f>
        <v>2023</v>
      </c>
      <c r="W1528" t="str">
        <f>TEXT(Table1[[#This Row],[Order Date]],"mmm")</f>
        <v>Nov</v>
      </c>
      <c r="X1528">
        <f t="shared" si="69"/>
        <v>5.5832000000000015</v>
      </c>
      <c r="Y1528" t="str">
        <f t="shared" si="70"/>
        <v>Profit</v>
      </c>
      <c r="Z1528" t="str">
        <f t="shared" si="71"/>
        <v>No Discount</v>
      </c>
    </row>
    <row r="1529" spans="1:26" x14ac:dyDescent="0.35">
      <c r="A1529" s="1">
        <v>1528</v>
      </c>
      <c r="B1529" s="2" t="s">
        <v>4165</v>
      </c>
      <c r="C1529" s="3">
        <v>45240</v>
      </c>
      <c r="D1529" s="3">
        <v>45246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</v>
      </c>
      <c r="T1529" s="1">
        <v>0</v>
      </c>
      <c r="U1529" s="1">
        <v>14.896000000000003</v>
      </c>
      <c r="V1529">
        <f>YEAR(Table1[[#This Row],[Order Date]])</f>
        <v>2023</v>
      </c>
      <c r="W1529" t="str">
        <f>TEXT(Table1[[#This Row],[Order Date]],"mmm")</f>
        <v>Nov</v>
      </c>
      <c r="X1529">
        <f t="shared" si="69"/>
        <v>2.9792000000000005</v>
      </c>
      <c r="Y1529" t="str">
        <f t="shared" si="70"/>
        <v>Profit</v>
      </c>
      <c r="Z1529" t="str">
        <f t="shared" si="71"/>
        <v>No Discount</v>
      </c>
    </row>
    <row r="1530" spans="1:26" x14ac:dyDescent="0.35">
      <c r="A1530" s="1">
        <v>1529</v>
      </c>
      <c r="B1530" s="2" t="s">
        <v>4164</v>
      </c>
      <c r="C1530" s="3">
        <v>45240</v>
      </c>
      <c r="D1530" s="3">
        <v>45246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</v>
      </c>
      <c r="T1530" s="1">
        <v>0</v>
      </c>
      <c r="U1530" s="1">
        <v>1.5209999999999999</v>
      </c>
      <c r="V1530">
        <f>YEAR(Table1[[#This Row],[Order Date]])</f>
        <v>2023</v>
      </c>
      <c r="W1530" t="str">
        <f>TEXT(Table1[[#This Row],[Order Date]],"mmm")</f>
        <v>Nov</v>
      </c>
      <c r="X1530">
        <f t="shared" si="69"/>
        <v>0.76049999999999995</v>
      </c>
      <c r="Y1530" t="str">
        <f t="shared" si="70"/>
        <v>Profit</v>
      </c>
      <c r="Z1530" t="str">
        <f t="shared" si="71"/>
        <v>No Discount</v>
      </c>
    </row>
    <row r="1531" spans="1:26" x14ac:dyDescent="0.35">
      <c r="A1531" s="1">
        <v>1530</v>
      </c>
      <c r="B1531" s="2" t="s">
        <v>4165</v>
      </c>
      <c r="C1531" s="3">
        <v>45240</v>
      </c>
      <c r="D1531" s="3">
        <v>45246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  <c r="V1531">
        <f>YEAR(Table1[[#This Row],[Order Date]])</f>
        <v>2023</v>
      </c>
      <c r="W1531" t="str">
        <f>TEXT(Table1[[#This Row],[Order Date]],"mmm")</f>
        <v>Nov</v>
      </c>
      <c r="X1531">
        <f t="shared" si="69"/>
        <v>2.2907999999999999</v>
      </c>
      <c r="Y1531" t="str">
        <f t="shared" si="70"/>
        <v>Profit</v>
      </c>
      <c r="Z1531" t="str">
        <f t="shared" si="71"/>
        <v>No Discount</v>
      </c>
    </row>
    <row r="1532" spans="1:26" x14ac:dyDescent="0.35">
      <c r="A1532" s="1">
        <v>1531</v>
      </c>
      <c r="B1532" s="2" t="s">
        <v>4164</v>
      </c>
      <c r="C1532" s="3">
        <v>45240</v>
      </c>
      <c r="D1532" s="3">
        <v>45246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</v>
      </c>
      <c r="T1532" s="1">
        <v>0</v>
      </c>
      <c r="U1532" s="1">
        <v>5.7779999999999987</v>
      </c>
      <c r="V1532">
        <f>YEAR(Table1[[#This Row],[Order Date]])</f>
        <v>2023</v>
      </c>
      <c r="W1532" t="str">
        <f>TEXT(Table1[[#This Row],[Order Date]],"mmm")</f>
        <v>Nov</v>
      </c>
      <c r="X1532">
        <f t="shared" si="69"/>
        <v>1.9259999999999995</v>
      </c>
      <c r="Y1532" t="str">
        <f t="shared" si="70"/>
        <v>Profit</v>
      </c>
      <c r="Z1532" t="str">
        <f t="shared" si="71"/>
        <v>No Discount</v>
      </c>
    </row>
    <row r="1533" spans="1:26" x14ac:dyDescent="0.35">
      <c r="A1533" s="1">
        <v>1532</v>
      </c>
      <c r="B1533" s="2" t="s">
        <v>4165</v>
      </c>
      <c r="C1533" s="3">
        <v>45240</v>
      </c>
      <c r="D1533" s="3">
        <v>45246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</v>
      </c>
      <c r="T1533" s="1">
        <v>0</v>
      </c>
      <c r="U1533" s="1">
        <v>28.007999999999996</v>
      </c>
      <c r="V1533">
        <f>YEAR(Table1[[#This Row],[Order Date]])</f>
        <v>2023</v>
      </c>
      <c r="W1533" t="str">
        <f>TEXT(Table1[[#This Row],[Order Date]],"mmm")</f>
        <v>Nov</v>
      </c>
      <c r="X1533">
        <f t="shared" si="69"/>
        <v>3.5009999999999994</v>
      </c>
      <c r="Y1533" t="str">
        <f t="shared" si="70"/>
        <v>Profit</v>
      </c>
      <c r="Z1533" t="str">
        <f t="shared" si="71"/>
        <v>No Discount</v>
      </c>
    </row>
    <row r="1534" spans="1:26" x14ac:dyDescent="0.35">
      <c r="A1534" s="1">
        <v>1533</v>
      </c>
      <c r="B1534" s="2" t="s">
        <v>4164</v>
      </c>
      <c r="C1534" s="3">
        <v>45240</v>
      </c>
      <c r="D1534" s="3">
        <v>45246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  <c r="V1534">
        <f>YEAR(Table1[[#This Row],[Order Date]])</f>
        <v>2023</v>
      </c>
      <c r="W1534" t="str">
        <f>TEXT(Table1[[#This Row],[Order Date]],"mmm")</f>
        <v>Nov</v>
      </c>
      <c r="X1534">
        <f t="shared" si="69"/>
        <v>2.3759999999999999</v>
      </c>
      <c r="Y1534" t="str">
        <f t="shared" si="70"/>
        <v>Profit</v>
      </c>
      <c r="Z1534" t="str">
        <f t="shared" si="71"/>
        <v>No Discount</v>
      </c>
    </row>
    <row r="1535" spans="1:26" x14ac:dyDescent="0.35">
      <c r="A1535" s="1">
        <v>1534</v>
      </c>
      <c r="B1535" s="2" t="s">
        <v>4164</v>
      </c>
      <c r="C1535" s="3">
        <v>45240</v>
      </c>
      <c r="D1535" s="3">
        <v>45246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</v>
      </c>
      <c r="T1535" s="1">
        <v>0</v>
      </c>
      <c r="U1535" s="1">
        <v>160.62299999999993</v>
      </c>
      <c r="V1535">
        <f>YEAR(Table1[[#This Row],[Order Date]])</f>
        <v>2023</v>
      </c>
      <c r="W1535" t="str">
        <f>TEXT(Table1[[#This Row],[Order Date]],"mmm")</f>
        <v>Nov</v>
      </c>
      <c r="X1535">
        <f t="shared" si="69"/>
        <v>53.540999999999976</v>
      </c>
      <c r="Y1535" t="str">
        <f t="shared" si="70"/>
        <v>Profit</v>
      </c>
      <c r="Z1535" t="str">
        <f t="shared" si="71"/>
        <v>No Discount</v>
      </c>
    </row>
    <row r="1536" spans="1:26" x14ac:dyDescent="0.35">
      <c r="A1536" s="1">
        <v>1535</v>
      </c>
      <c r="B1536" s="2" t="s">
        <v>4164</v>
      </c>
      <c r="C1536" s="3">
        <v>45240</v>
      </c>
      <c r="D1536" s="3">
        <v>45246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  <c r="V1536">
        <f>YEAR(Table1[[#This Row],[Order Date]])</f>
        <v>2023</v>
      </c>
      <c r="W1536" t="str">
        <f>TEXT(Table1[[#This Row],[Order Date]],"mmm")</f>
        <v>Nov</v>
      </c>
      <c r="X1536">
        <f t="shared" si="69"/>
        <v>3.9862000000000002</v>
      </c>
      <c r="Y1536" t="str">
        <f t="shared" si="70"/>
        <v>Profit</v>
      </c>
      <c r="Z1536" t="str">
        <f t="shared" si="71"/>
        <v>No Discount</v>
      </c>
    </row>
    <row r="1537" spans="1:26" x14ac:dyDescent="0.35">
      <c r="A1537" s="1">
        <v>1536</v>
      </c>
      <c r="B1537" s="2" t="s">
        <v>4165</v>
      </c>
      <c r="C1537" s="3">
        <v>45240</v>
      </c>
      <c r="D1537" s="3">
        <v>45246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  <c r="V1537">
        <f>YEAR(Table1[[#This Row],[Order Date]])</f>
        <v>2023</v>
      </c>
      <c r="W1537" t="str">
        <f>TEXT(Table1[[#This Row],[Order Date]],"mmm")</f>
        <v>Nov</v>
      </c>
      <c r="X1537">
        <f t="shared" si="69"/>
        <v>4.2861000000000002</v>
      </c>
      <c r="Y1537" t="str">
        <f t="shared" si="70"/>
        <v>Profit</v>
      </c>
      <c r="Z1537" t="str">
        <f t="shared" si="71"/>
        <v>No Discount</v>
      </c>
    </row>
    <row r="1538" spans="1:26" x14ac:dyDescent="0.35">
      <c r="A1538" s="1">
        <v>1537</v>
      </c>
      <c r="B1538" s="2" t="s">
        <v>4165</v>
      </c>
      <c r="C1538" s="3">
        <v>45240</v>
      </c>
      <c r="D1538" s="3">
        <v>45246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V1538">
        <f>YEAR(Table1[[#This Row],[Order Date]])</f>
        <v>2023</v>
      </c>
      <c r="W1538" t="str">
        <f>TEXT(Table1[[#This Row],[Order Date]],"mmm")</f>
        <v>Nov</v>
      </c>
      <c r="X1538">
        <f t="shared" ref="X1538:X1601" si="72">IFERROR(U1538/S1538,0)</f>
        <v>7.5192000000000014</v>
      </c>
      <c r="Y1538" t="str">
        <f t="shared" ref="Y1538:Y1601" si="73">IF(U1538&gt;0,"Profit",IF(U1538&lt;0,"Loss","Break-even"))</f>
        <v>Profit</v>
      </c>
      <c r="Z1538" t="str">
        <f t="shared" ref="Z1538:Z1601" si="74">IF(T1538=0,"No Discount",IF(T1538&lt;=0.2,"Low",IF(T1538&lt;=0.4,"Medium","High")))</f>
        <v>Low</v>
      </c>
    </row>
    <row r="1539" spans="1:26" x14ac:dyDescent="0.35">
      <c r="A1539" s="1">
        <v>1538</v>
      </c>
      <c r="B1539" s="2" t="s">
        <v>4180</v>
      </c>
      <c r="C1539" s="3">
        <v>45241</v>
      </c>
      <c r="D1539" s="3">
        <v>45245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  <c r="V1539">
        <f>YEAR(Table1[[#This Row],[Order Date]])</f>
        <v>2023</v>
      </c>
      <c r="W1539" t="str">
        <f>TEXT(Table1[[#This Row],[Order Date]],"mmm")</f>
        <v>Nov</v>
      </c>
      <c r="X1539">
        <f t="shared" si="72"/>
        <v>-62.635199999999998</v>
      </c>
      <c r="Y1539" t="str">
        <f t="shared" si="73"/>
        <v>Loss</v>
      </c>
      <c r="Z1539" t="str">
        <f t="shared" si="74"/>
        <v>High</v>
      </c>
    </row>
    <row r="1540" spans="1:26" x14ac:dyDescent="0.35">
      <c r="A1540" s="1">
        <v>1539</v>
      </c>
      <c r="B1540" s="2" t="s">
        <v>4184</v>
      </c>
      <c r="C1540" s="3">
        <v>45241</v>
      </c>
      <c r="D1540" s="3">
        <v>45244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V1540">
        <f>YEAR(Table1[[#This Row],[Order Date]])</f>
        <v>2023</v>
      </c>
      <c r="W1540" t="str">
        <f>TEXT(Table1[[#This Row],[Order Date]],"mmm")</f>
        <v>Nov</v>
      </c>
      <c r="X1540">
        <f t="shared" si="72"/>
        <v>15.097999999999985</v>
      </c>
      <c r="Y1540" t="str">
        <f t="shared" si="73"/>
        <v>Profit</v>
      </c>
      <c r="Z1540" t="str">
        <f t="shared" si="74"/>
        <v>Low</v>
      </c>
    </row>
    <row r="1541" spans="1:26" x14ac:dyDescent="0.35">
      <c r="A1541" s="1">
        <v>1540</v>
      </c>
      <c r="B1541" s="2" t="s">
        <v>4189</v>
      </c>
      <c r="C1541" s="3">
        <v>45241</v>
      </c>
      <c r="D1541" s="3">
        <v>45248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V1541">
        <f>YEAR(Table1[[#This Row],[Order Date]])</f>
        <v>2023</v>
      </c>
      <c r="W1541" t="str">
        <f>TEXT(Table1[[#This Row],[Order Date]],"mmm")</f>
        <v>Nov</v>
      </c>
      <c r="X1541">
        <f t="shared" si="72"/>
        <v>11.264799999999997</v>
      </c>
      <c r="Y1541" t="str">
        <f t="shared" si="73"/>
        <v>Profit</v>
      </c>
      <c r="Z1541" t="str">
        <f t="shared" si="74"/>
        <v>Low</v>
      </c>
    </row>
    <row r="1542" spans="1:26" x14ac:dyDescent="0.35">
      <c r="A1542" s="1">
        <v>1541</v>
      </c>
      <c r="B1542" s="2" t="s">
        <v>4190</v>
      </c>
      <c r="C1542" s="3">
        <v>45241</v>
      </c>
      <c r="D1542" s="3">
        <v>45245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V1542">
        <f>YEAR(Table1[[#This Row],[Order Date]])</f>
        <v>2023</v>
      </c>
      <c r="W1542" t="str">
        <f>TEXT(Table1[[#This Row],[Order Date]],"mmm")</f>
        <v>Nov</v>
      </c>
      <c r="X1542">
        <f t="shared" si="72"/>
        <v>-14.248999999999995</v>
      </c>
      <c r="Y1542" t="str">
        <f t="shared" si="73"/>
        <v>Loss</v>
      </c>
      <c r="Z1542" t="str">
        <f t="shared" si="74"/>
        <v>Medium</v>
      </c>
    </row>
    <row r="1543" spans="1:26" x14ac:dyDescent="0.35">
      <c r="A1543" s="1">
        <v>1542</v>
      </c>
      <c r="B1543" s="2" t="s">
        <v>4190</v>
      </c>
      <c r="C1543" s="3">
        <v>45241</v>
      </c>
      <c r="D1543" s="3">
        <v>45245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10.984000000000002</v>
      </c>
      <c r="S1543" s="1">
        <v>2</v>
      </c>
      <c r="T1543" s="1">
        <v>0.6</v>
      </c>
      <c r="U1543" s="1">
        <v>-7.9634</v>
      </c>
      <c r="V1543">
        <f>YEAR(Table1[[#This Row],[Order Date]])</f>
        <v>2023</v>
      </c>
      <c r="W1543" t="str">
        <f>TEXT(Table1[[#This Row],[Order Date]],"mmm")</f>
        <v>Nov</v>
      </c>
      <c r="X1543">
        <f t="shared" si="72"/>
        <v>-3.9817</v>
      </c>
      <c r="Y1543" t="str">
        <f t="shared" si="73"/>
        <v>Loss</v>
      </c>
      <c r="Z1543" t="str">
        <f t="shared" si="74"/>
        <v>High</v>
      </c>
    </row>
    <row r="1544" spans="1:26" x14ac:dyDescent="0.35">
      <c r="A1544" s="1">
        <v>1543</v>
      </c>
      <c r="B1544" s="2" t="s">
        <v>4180</v>
      </c>
      <c r="C1544" s="3">
        <v>45241</v>
      </c>
      <c r="D1544" s="3">
        <v>45245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V1544">
        <f>YEAR(Table1[[#This Row],[Order Date]])</f>
        <v>2023</v>
      </c>
      <c r="W1544" t="str">
        <f>TEXT(Table1[[#This Row],[Order Date]],"mmm")</f>
        <v>Nov</v>
      </c>
      <c r="X1544">
        <f t="shared" si="72"/>
        <v>3.8948</v>
      </c>
      <c r="Y1544" t="str">
        <f t="shared" si="73"/>
        <v>Profit</v>
      </c>
      <c r="Z1544" t="str">
        <f t="shared" si="74"/>
        <v>Low</v>
      </c>
    </row>
    <row r="1545" spans="1:26" x14ac:dyDescent="0.35">
      <c r="A1545" s="1">
        <v>1544</v>
      </c>
      <c r="B1545" s="2" t="s">
        <v>4192</v>
      </c>
      <c r="C1545" s="3">
        <v>45241</v>
      </c>
      <c r="D1545" s="3">
        <v>45243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  <c r="V1545">
        <f>YEAR(Table1[[#This Row],[Order Date]])</f>
        <v>2023</v>
      </c>
      <c r="W1545" t="str">
        <f>TEXT(Table1[[#This Row],[Order Date]],"mmm")</f>
        <v>Nov</v>
      </c>
      <c r="X1545">
        <f t="shared" si="72"/>
        <v>1.0114000000000001</v>
      </c>
      <c r="Y1545" t="str">
        <f t="shared" si="73"/>
        <v>Profit</v>
      </c>
      <c r="Z1545" t="str">
        <f t="shared" si="74"/>
        <v>No Discount</v>
      </c>
    </row>
    <row r="1546" spans="1:26" x14ac:dyDescent="0.35">
      <c r="A1546" s="1">
        <v>1545</v>
      </c>
      <c r="B1546" s="2" t="s">
        <v>4193</v>
      </c>
      <c r="C1546" s="3">
        <v>45241</v>
      </c>
      <c r="D1546" s="3">
        <v>45243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</v>
      </c>
      <c r="T1546" s="1">
        <v>0</v>
      </c>
      <c r="U1546" s="1">
        <v>6.8939999999999984</v>
      </c>
      <c r="V1546">
        <f>YEAR(Table1[[#This Row],[Order Date]])</f>
        <v>2023</v>
      </c>
      <c r="W1546" t="str">
        <f>TEXT(Table1[[#This Row],[Order Date]],"mmm")</f>
        <v>Nov</v>
      </c>
      <c r="X1546">
        <f t="shared" si="72"/>
        <v>6.8939999999999984</v>
      </c>
      <c r="Y1546" t="str">
        <f t="shared" si="73"/>
        <v>Profit</v>
      </c>
      <c r="Z1546" t="str">
        <f t="shared" si="74"/>
        <v>No Discount</v>
      </c>
    </row>
    <row r="1547" spans="1:26" x14ac:dyDescent="0.35">
      <c r="A1547" s="1">
        <v>1546</v>
      </c>
      <c r="B1547" s="2" t="s">
        <v>4184</v>
      </c>
      <c r="C1547" s="3">
        <v>45241</v>
      </c>
      <c r="D1547" s="3">
        <v>45244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V1547">
        <f>YEAR(Table1[[#This Row],[Order Date]])</f>
        <v>2023</v>
      </c>
      <c r="W1547" t="str">
        <f>TEXT(Table1[[#This Row],[Order Date]],"mmm")</f>
        <v>Nov</v>
      </c>
      <c r="X1547">
        <f t="shared" si="72"/>
        <v>0.80559999999999987</v>
      </c>
      <c r="Y1547" t="str">
        <f t="shared" si="73"/>
        <v>Profit</v>
      </c>
      <c r="Z1547" t="str">
        <f t="shared" si="74"/>
        <v>Low</v>
      </c>
    </row>
    <row r="1548" spans="1:26" x14ac:dyDescent="0.35">
      <c r="A1548" s="1">
        <v>1547</v>
      </c>
      <c r="B1548" s="2" t="s">
        <v>4189</v>
      </c>
      <c r="C1548" s="3">
        <v>45241</v>
      </c>
      <c r="D1548" s="3">
        <v>45248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</v>
      </c>
      <c r="T1548" s="1">
        <v>0</v>
      </c>
      <c r="U1548" s="1">
        <v>7.9248000000000012</v>
      </c>
      <c r="V1548">
        <f>YEAR(Table1[[#This Row],[Order Date]])</f>
        <v>2023</v>
      </c>
      <c r="W1548" t="str">
        <f>TEXT(Table1[[#This Row],[Order Date]],"mmm")</f>
        <v>Nov</v>
      </c>
      <c r="X1548">
        <f t="shared" si="72"/>
        <v>2.6416000000000004</v>
      </c>
      <c r="Y1548" t="str">
        <f t="shared" si="73"/>
        <v>Profit</v>
      </c>
      <c r="Z1548" t="str">
        <f t="shared" si="74"/>
        <v>No Discount</v>
      </c>
    </row>
    <row r="1549" spans="1:26" x14ac:dyDescent="0.35">
      <c r="A1549" s="1">
        <v>1548</v>
      </c>
      <c r="B1549" s="2" t="s">
        <v>4196</v>
      </c>
      <c r="C1549" s="3">
        <v>45241</v>
      </c>
      <c r="D1549" s="3">
        <v>45245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</v>
      </c>
      <c r="T1549" s="1">
        <v>0.2</v>
      </c>
      <c r="U1549" s="1">
        <v>6.7560000000000038</v>
      </c>
      <c r="V1549">
        <f>YEAR(Table1[[#This Row],[Order Date]])</f>
        <v>2023</v>
      </c>
      <c r="W1549" t="str">
        <f>TEXT(Table1[[#This Row],[Order Date]],"mmm")</f>
        <v>Nov</v>
      </c>
      <c r="X1549">
        <f t="shared" si="72"/>
        <v>2.2520000000000011</v>
      </c>
      <c r="Y1549" t="str">
        <f t="shared" si="73"/>
        <v>Profit</v>
      </c>
      <c r="Z1549" t="str">
        <f t="shared" si="74"/>
        <v>Low</v>
      </c>
    </row>
    <row r="1550" spans="1:26" x14ac:dyDescent="0.35">
      <c r="A1550" s="1">
        <v>1549</v>
      </c>
      <c r="B1550" s="2" t="s">
        <v>4196</v>
      </c>
      <c r="C1550" s="3">
        <v>45241</v>
      </c>
      <c r="D1550" s="3">
        <v>45245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V1550">
        <f>YEAR(Table1[[#This Row],[Order Date]])</f>
        <v>2023</v>
      </c>
      <c r="W1550" t="str">
        <f>TEXT(Table1[[#This Row],[Order Date]],"mmm")</f>
        <v>Nov</v>
      </c>
      <c r="X1550">
        <f t="shared" si="72"/>
        <v>-1.9744000000000002</v>
      </c>
      <c r="Y1550" t="str">
        <f t="shared" si="73"/>
        <v>Loss</v>
      </c>
      <c r="Z1550" t="str">
        <f t="shared" si="74"/>
        <v>High</v>
      </c>
    </row>
    <row r="1551" spans="1:26" x14ac:dyDescent="0.35">
      <c r="A1551" s="1">
        <v>1550</v>
      </c>
      <c r="B1551" s="2" t="s">
        <v>4196</v>
      </c>
      <c r="C1551" s="3">
        <v>45241</v>
      </c>
      <c r="D1551" s="3">
        <v>45245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V1551">
        <f>YEAR(Table1[[#This Row],[Order Date]])</f>
        <v>2023</v>
      </c>
      <c r="W1551" t="str">
        <f>TEXT(Table1[[#This Row],[Order Date]],"mmm")</f>
        <v>Nov</v>
      </c>
      <c r="X1551">
        <f t="shared" si="72"/>
        <v>-296.00670000000019</v>
      </c>
      <c r="Y1551" t="str">
        <f t="shared" si="73"/>
        <v>Loss</v>
      </c>
      <c r="Z1551" t="str">
        <f t="shared" si="74"/>
        <v>High</v>
      </c>
    </row>
    <row r="1552" spans="1:26" x14ac:dyDescent="0.35">
      <c r="A1552" s="1">
        <v>1551</v>
      </c>
      <c r="B1552" s="2" t="s">
        <v>4193</v>
      </c>
      <c r="C1552" s="3">
        <v>45241</v>
      </c>
      <c r="D1552" s="3">
        <v>45243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>
        <f>YEAR(Table1[[#This Row],[Order Date]])</f>
        <v>2023</v>
      </c>
      <c r="W1552" t="str">
        <f>TEXT(Table1[[#This Row],[Order Date]],"mmm")</f>
        <v>Nov</v>
      </c>
      <c r="X1552">
        <f t="shared" si="72"/>
        <v>381.29700000000003</v>
      </c>
      <c r="Y1552" t="str">
        <f t="shared" si="73"/>
        <v>Profit</v>
      </c>
      <c r="Z1552" t="str">
        <f t="shared" si="74"/>
        <v>Low</v>
      </c>
    </row>
    <row r="1553" spans="1:26" x14ac:dyDescent="0.35">
      <c r="A1553" s="1">
        <v>1552</v>
      </c>
      <c r="B1553" s="2" t="s">
        <v>4196</v>
      </c>
      <c r="C1553" s="3">
        <v>45241</v>
      </c>
      <c r="D1553" s="3">
        <v>45245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>
        <f>YEAR(Table1[[#This Row],[Order Date]])</f>
        <v>2023</v>
      </c>
      <c r="W1553" t="str">
        <f>TEXT(Table1[[#This Row],[Order Date]],"mmm")</f>
        <v>Nov</v>
      </c>
      <c r="X1553">
        <f t="shared" si="72"/>
        <v>11.8871</v>
      </c>
      <c r="Y1553" t="str">
        <f t="shared" si="73"/>
        <v>Profit</v>
      </c>
      <c r="Z1553" t="str">
        <f t="shared" si="74"/>
        <v>Low</v>
      </c>
    </row>
    <row r="1554" spans="1:26" x14ac:dyDescent="0.35">
      <c r="A1554" s="1">
        <v>1553</v>
      </c>
      <c r="B1554" s="2" t="s">
        <v>4207</v>
      </c>
      <c r="C1554" s="3">
        <v>45241</v>
      </c>
      <c r="D1554" s="3">
        <v>45247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46.349999999999994</v>
      </c>
      <c r="S1554" s="1">
        <v>5</v>
      </c>
      <c r="T1554" s="1">
        <v>0</v>
      </c>
      <c r="U1554" s="1">
        <v>21.784499999999998</v>
      </c>
      <c r="V1554">
        <f>YEAR(Table1[[#This Row],[Order Date]])</f>
        <v>2023</v>
      </c>
      <c r="W1554" t="str">
        <f>TEXT(Table1[[#This Row],[Order Date]],"mmm")</f>
        <v>Nov</v>
      </c>
      <c r="X1554">
        <f t="shared" si="72"/>
        <v>4.3568999999999996</v>
      </c>
      <c r="Y1554" t="str">
        <f t="shared" si="73"/>
        <v>Profit</v>
      </c>
      <c r="Z1554" t="str">
        <f t="shared" si="74"/>
        <v>No Discount</v>
      </c>
    </row>
    <row r="1555" spans="1:26" x14ac:dyDescent="0.35">
      <c r="A1555" s="1">
        <v>1554</v>
      </c>
      <c r="B1555" s="2" t="s">
        <v>4192</v>
      </c>
      <c r="C1555" s="3">
        <v>45241</v>
      </c>
      <c r="D1555" s="3">
        <v>45243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</v>
      </c>
      <c r="T1555" s="1">
        <v>0</v>
      </c>
      <c r="U1555" s="1">
        <v>55.763999999999996</v>
      </c>
      <c r="V1555">
        <f>YEAR(Table1[[#This Row],[Order Date]])</f>
        <v>2023</v>
      </c>
      <c r="W1555" t="str">
        <f>TEXT(Table1[[#This Row],[Order Date]],"mmm")</f>
        <v>Nov</v>
      </c>
      <c r="X1555">
        <f t="shared" si="72"/>
        <v>13.940999999999999</v>
      </c>
      <c r="Y1555" t="str">
        <f t="shared" si="73"/>
        <v>Profit</v>
      </c>
      <c r="Z1555" t="str">
        <f t="shared" si="74"/>
        <v>No Discount</v>
      </c>
    </row>
    <row r="1556" spans="1:26" x14ac:dyDescent="0.35">
      <c r="A1556" s="1">
        <v>1555</v>
      </c>
      <c r="B1556" s="2" t="s">
        <v>4196</v>
      </c>
      <c r="C1556" s="3">
        <v>45241</v>
      </c>
      <c r="D1556" s="3">
        <v>45245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V1556">
        <f>YEAR(Table1[[#This Row],[Order Date]])</f>
        <v>2023</v>
      </c>
      <c r="W1556" t="str">
        <f>TEXT(Table1[[#This Row],[Order Date]],"mmm")</f>
        <v>Nov</v>
      </c>
      <c r="X1556">
        <f t="shared" si="72"/>
        <v>1.5746999999999998</v>
      </c>
      <c r="Y1556" t="str">
        <f t="shared" si="73"/>
        <v>Profit</v>
      </c>
      <c r="Z1556" t="str">
        <f t="shared" si="74"/>
        <v>Low</v>
      </c>
    </row>
    <row r="1557" spans="1:26" x14ac:dyDescent="0.35">
      <c r="A1557" s="1">
        <v>1556</v>
      </c>
      <c r="B1557" s="2" t="s">
        <v>4207</v>
      </c>
      <c r="C1557" s="3">
        <v>45241</v>
      </c>
      <c r="D1557" s="3">
        <v>45247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</v>
      </c>
      <c r="T1557" s="1">
        <v>0</v>
      </c>
      <c r="U1557" s="1">
        <v>109.7208</v>
      </c>
      <c r="V1557">
        <f>YEAR(Table1[[#This Row],[Order Date]])</f>
        <v>2023</v>
      </c>
      <c r="W1557" t="str">
        <f>TEXT(Table1[[#This Row],[Order Date]],"mmm")</f>
        <v>Nov</v>
      </c>
      <c r="X1557">
        <f t="shared" si="72"/>
        <v>27.430199999999999</v>
      </c>
      <c r="Y1557" t="str">
        <f t="shared" si="73"/>
        <v>Profit</v>
      </c>
      <c r="Z1557" t="str">
        <f t="shared" si="74"/>
        <v>No Discount</v>
      </c>
    </row>
    <row r="1558" spans="1:26" x14ac:dyDescent="0.35">
      <c r="A1558" s="1">
        <v>1557</v>
      </c>
      <c r="B1558" s="2" t="s">
        <v>4214</v>
      </c>
      <c r="C1558" s="3">
        <v>45241</v>
      </c>
      <c r="D1558" s="3">
        <v>45248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</v>
      </c>
      <c r="T1558" s="1">
        <v>0</v>
      </c>
      <c r="U1558" s="1">
        <v>13.317599999999999</v>
      </c>
      <c r="V1558">
        <f>YEAR(Table1[[#This Row],[Order Date]])</f>
        <v>2023</v>
      </c>
      <c r="W1558" t="str">
        <f>TEXT(Table1[[#This Row],[Order Date]],"mmm")</f>
        <v>Nov</v>
      </c>
      <c r="X1558">
        <f t="shared" si="72"/>
        <v>2.2195999999999998</v>
      </c>
      <c r="Y1558" t="str">
        <f t="shared" si="73"/>
        <v>Profit</v>
      </c>
      <c r="Z1558" t="str">
        <f t="shared" si="74"/>
        <v>No Discount</v>
      </c>
    </row>
    <row r="1559" spans="1:26" x14ac:dyDescent="0.35">
      <c r="A1559" s="1">
        <v>1558</v>
      </c>
      <c r="B1559" s="2" t="s">
        <v>4207</v>
      </c>
      <c r="C1559" s="3">
        <v>45241</v>
      </c>
      <c r="D1559" s="3">
        <v>45247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</v>
      </c>
      <c r="T1559" s="1">
        <v>0</v>
      </c>
      <c r="U1559" s="1">
        <v>2.1899999999999995</v>
      </c>
      <c r="V1559">
        <f>YEAR(Table1[[#This Row],[Order Date]])</f>
        <v>2023</v>
      </c>
      <c r="W1559" t="str">
        <f>TEXT(Table1[[#This Row],[Order Date]],"mmm")</f>
        <v>Nov</v>
      </c>
      <c r="X1559">
        <f t="shared" si="72"/>
        <v>1.0949999999999998</v>
      </c>
      <c r="Y1559" t="str">
        <f t="shared" si="73"/>
        <v>Profit</v>
      </c>
      <c r="Z1559" t="str">
        <f t="shared" si="74"/>
        <v>No Discount</v>
      </c>
    </row>
    <row r="1560" spans="1:26" x14ac:dyDescent="0.35">
      <c r="A1560" s="1">
        <v>1559</v>
      </c>
      <c r="B1560" s="2" t="s">
        <v>4193</v>
      </c>
      <c r="C1560" s="3">
        <v>45241</v>
      </c>
      <c r="D1560" s="3">
        <v>45243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</v>
      </c>
      <c r="T1560" s="1">
        <v>0</v>
      </c>
      <c r="U1560" s="1">
        <v>15.319499999999996</v>
      </c>
      <c r="V1560">
        <f>YEAR(Table1[[#This Row],[Order Date]])</f>
        <v>2023</v>
      </c>
      <c r="W1560" t="str">
        <f>TEXT(Table1[[#This Row],[Order Date]],"mmm")</f>
        <v>Nov</v>
      </c>
      <c r="X1560">
        <f t="shared" si="72"/>
        <v>2.1884999999999994</v>
      </c>
      <c r="Y1560" t="str">
        <f t="shared" si="73"/>
        <v>Profit</v>
      </c>
      <c r="Z1560" t="str">
        <f t="shared" si="74"/>
        <v>No Discount</v>
      </c>
    </row>
    <row r="1561" spans="1:26" x14ac:dyDescent="0.35">
      <c r="A1561" s="1">
        <v>1560</v>
      </c>
      <c r="B1561" s="2" t="s">
        <v>4184</v>
      </c>
      <c r="C1561" s="3">
        <v>45241</v>
      </c>
      <c r="D1561" s="3">
        <v>45244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V1561">
        <f>YEAR(Table1[[#This Row],[Order Date]])</f>
        <v>2023</v>
      </c>
      <c r="W1561" t="str">
        <f>TEXT(Table1[[#This Row],[Order Date]],"mmm")</f>
        <v>Nov</v>
      </c>
      <c r="X1561">
        <f t="shared" si="72"/>
        <v>27.999200000000016</v>
      </c>
      <c r="Y1561" t="str">
        <f t="shared" si="73"/>
        <v>Profit</v>
      </c>
      <c r="Z1561" t="str">
        <f t="shared" si="74"/>
        <v>Low</v>
      </c>
    </row>
    <row r="1562" spans="1:26" x14ac:dyDescent="0.35">
      <c r="A1562" s="1">
        <v>1561</v>
      </c>
      <c r="B1562" s="2" t="s">
        <v>4192</v>
      </c>
      <c r="C1562" s="3">
        <v>45241</v>
      </c>
      <c r="D1562" s="3">
        <v>45243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</v>
      </c>
      <c r="T1562" s="1">
        <v>0.2</v>
      </c>
      <c r="U1562" s="1">
        <v>57.592799999999983</v>
      </c>
      <c r="V1562">
        <f>YEAR(Table1[[#This Row],[Order Date]])</f>
        <v>2023</v>
      </c>
      <c r="W1562" t="str">
        <f>TEXT(Table1[[#This Row],[Order Date]],"mmm")</f>
        <v>Nov</v>
      </c>
      <c r="X1562">
        <f t="shared" si="72"/>
        <v>6.3991999999999978</v>
      </c>
      <c r="Y1562" t="str">
        <f t="shared" si="73"/>
        <v>Profit</v>
      </c>
      <c r="Z1562" t="str">
        <f t="shared" si="74"/>
        <v>Low</v>
      </c>
    </row>
    <row r="1563" spans="1:26" x14ac:dyDescent="0.35">
      <c r="A1563" s="1">
        <v>1562</v>
      </c>
      <c r="B1563" s="2" t="s">
        <v>4196</v>
      </c>
      <c r="C1563" s="3">
        <v>45241</v>
      </c>
      <c r="D1563" s="3">
        <v>45245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V1563">
        <f>YEAR(Table1[[#This Row],[Order Date]])</f>
        <v>2023</v>
      </c>
      <c r="W1563" t="str">
        <f>TEXT(Table1[[#This Row],[Order Date]],"mmm")</f>
        <v>Nov</v>
      </c>
      <c r="X1563">
        <f t="shared" si="72"/>
        <v>8.3519999999999932</v>
      </c>
      <c r="Y1563" t="str">
        <f t="shared" si="73"/>
        <v>Profit</v>
      </c>
      <c r="Z1563" t="str">
        <f t="shared" si="74"/>
        <v>Low</v>
      </c>
    </row>
    <row r="1564" spans="1:26" x14ac:dyDescent="0.35">
      <c r="A1564" s="1">
        <v>1563</v>
      </c>
      <c r="B1564" s="2" t="s">
        <v>4196</v>
      </c>
      <c r="C1564" s="3">
        <v>45241</v>
      </c>
      <c r="D1564" s="3">
        <v>45245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241.17599999999999</v>
      </c>
      <c r="S1564" s="1">
        <v>3</v>
      </c>
      <c r="T1564" s="1">
        <v>0.2</v>
      </c>
      <c r="U1564" s="1">
        <v>15.07350000000001</v>
      </c>
      <c r="V1564">
        <f>YEAR(Table1[[#This Row],[Order Date]])</f>
        <v>2023</v>
      </c>
      <c r="W1564" t="str">
        <f>TEXT(Table1[[#This Row],[Order Date]],"mmm")</f>
        <v>Nov</v>
      </c>
      <c r="X1564">
        <f t="shared" si="72"/>
        <v>5.0245000000000033</v>
      </c>
      <c r="Y1564" t="str">
        <f t="shared" si="73"/>
        <v>Profit</v>
      </c>
      <c r="Z1564" t="str">
        <f t="shared" si="74"/>
        <v>Low</v>
      </c>
    </row>
    <row r="1565" spans="1:26" x14ac:dyDescent="0.35">
      <c r="A1565" s="1">
        <v>1564</v>
      </c>
      <c r="B1565" s="2" t="s">
        <v>4224</v>
      </c>
      <c r="C1565" s="3">
        <v>45242</v>
      </c>
      <c r="D1565" s="3">
        <v>45246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V1565">
        <f>YEAR(Table1[[#This Row],[Order Date]])</f>
        <v>2023</v>
      </c>
      <c r="W1565" t="str">
        <f>TEXT(Table1[[#This Row],[Order Date]],"mmm")</f>
        <v>Nov</v>
      </c>
      <c r="X1565">
        <f t="shared" si="72"/>
        <v>-12.998700000000007</v>
      </c>
      <c r="Y1565" t="str">
        <f t="shared" si="73"/>
        <v>Loss</v>
      </c>
      <c r="Z1565" t="str">
        <f t="shared" si="74"/>
        <v>Medium</v>
      </c>
    </row>
    <row r="1566" spans="1:26" x14ac:dyDescent="0.35">
      <c r="A1566" s="1">
        <v>1565</v>
      </c>
      <c r="B1566" s="2" t="s">
        <v>4227</v>
      </c>
      <c r="C1566" s="3">
        <v>45242</v>
      </c>
      <c r="D1566" s="3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V1566">
        <f>YEAR(Table1[[#This Row],[Order Date]])</f>
        <v>2023</v>
      </c>
      <c r="W1566" t="str">
        <f>TEXT(Table1[[#This Row],[Order Date]],"mmm")</f>
        <v>Nov</v>
      </c>
      <c r="X1566">
        <f t="shared" si="72"/>
        <v>-2.3033999999999999</v>
      </c>
      <c r="Y1566" t="str">
        <f t="shared" si="73"/>
        <v>Loss</v>
      </c>
      <c r="Z1566" t="str">
        <f t="shared" si="74"/>
        <v>High</v>
      </c>
    </row>
    <row r="1567" spans="1:26" x14ac:dyDescent="0.35">
      <c r="A1567" s="1">
        <v>1566</v>
      </c>
      <c r="B1567" s="2" t="s">
        <v>4229</v>
      </c>
      <c r="C1567" s="3">
        <v>45242</v>
      </c>
      <c r="D1567" s="3">
        <v>45246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V1567">
        <f>YEAR(Table1[[#This Row],[Order Date]])</f>
        <v>2023</v>
      </c>
      <c r="W1567" t="str">
        <f>TEXT(Table1[[#This Row],[Order Date]],"mmm")</f>
        <v>Nov</v>
      </c>
      <c r="X1567">
        <f t="shared" si="72"/>
        <v>10.484399999999985</v>
      </c>
      <c r="Y1567" t="str">
        <f t="shared" si="73"/>
        <v>Profit</v>
      </c>
      <c r="Z1567" t="str">
        <f t="shared" si="74"/>
        <v>Low</v>
      </c>
    </row>
    <row r="1568" spans="1:26" x14ac:dyDescent="0.35">
      <c r="A1568" s="1">
        <v>1567</v>
      </c>
      <c r="B1568" s="2" t="s">
        <v>4224</v>
      </c>
      <c r="C1568" s="3">
        <v>45242</v>
      </c>
      <c r="D1568" s="3">
        <v>45246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V1568">
        <f>YEAR(Table1[[#This Row],[Order Date]])</f>
        <v>2023</v>
      </c>
      <c r="W1568" t="str">
        <f>TEXT(Table1[[#This Row],[Order Date]],"mmm")</f>
        <v>Nov</v>
      </c>
      <c r="X1568">
        <f t="shared" si="72"/>
        <v>0.33399999999999974</v>
      </c>
      <c r="Y1568" t="str">
        <f t="shared" si="73"/>
        <v>Profit</v>
      </c>
      <c r="Z1568" t="str">
        <f t="shared" si="74"/>
        <v>Low</v>
      </c>
    </row>
    <row r="1569" spans="1:26" x14ac:dyDescent="0.35">
      <c r="A1569" s="1">
        <v>1568</v>
      </c>
      <c r="B1569" s="2" t="s">
        <v>4232</v>
      </c>
      <c r="C1569" s="3">
        <v>45242</v>
      </c>
      <c r="D1569" s="3">
        <v>45247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V1569">
        <f>YEAR(Table1[[#This Row],[Order Date]])</f>
        <v>2023</v>
      </c>
      <c r="W1569" t="str">
        <f>TEXT(Table1[[#This Row],[Order Date]],"mmm")</f>
        <v>Nov</v>
      </c>
      <c r="X1569">
        <f t="shared" si="72"/>
        <v>0.29519999999999963</v>
      </c>
      <c r="Y1569" t="str">
        <f t="shared" si="73"/>
        <v>Profit</v>
      </c>
      <c r="Z1569" t="str">
        <f t="shared" si="74"/>
        <v>Low</v>
      </c>
    </row>
    <row r="1570" spans="1:26" x14ac:dyDescent="0.35">
      <c r="A1570" s="1">
        <v>1569</v>
      </c>
      <c r="B1570" s="2" t="s">
        <v>4229</v>
      </c>
      <c r="C1570" s="3">
        <v>45242</v>
      </c>
      <c r="D1570" s="3">
        <v>45246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  <c r="V1570">
        <f>YEAR(Table1[[#This Row],[Order Date]])</f>
        <v>2023</v>
      </c>
      <c r="W1570" t="str">
        <f>TEXT(Table1[[#This Row],[Order Date]],"mmm")</f>
        <v>Nov</v>
      </c>
      <c r="X1570">
        <f t="shared" si="72"/>
        <v>2.9302000000000001</v>
      </c>
      <c r="Y1570" t="str">
        <f t="shared" si="73"/>
        <v>Profit</v>
      </c>
      <c r="Z1570" t="str">
        <f t="shared" si="74"/>
        <v>No Discount</v>
      </c>
    </row>
    <row r="1571" spans="1:26" x14ac:dyDescent="0.35">
      <c r="A1571" s="1">
        <v>1570</v>
      </c>
      <c r="B1571" s="2" t="s">
        <v>4224</v>
      </c>
      <c r="C1571" s="3">
        <v>45242</v>
      </c>
      <c r="D1571" s="3">
        <v>45246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V1571">
        <f>YEAR(Table1[[#This Row],[Order Date]])</f>
        <v>2023</v>
      </c>
      <c r="W1571" t="str">
        <f>TEXT(Table1[[#This Row],[Order Date]],"mmm")</f>
        <v>Nov</v>
      </c>
      <c r="X1571">
        <f t="shared" si="72"/>
        <v>1.8144000000000002</v>
      </c>
      <c r="Y1571" t="str">
        <f t="shared" si="73"/>
        <v>Profit</v>
      </c>
      <c r="Z1571" t="str">
        <f t="shared" si="74"/>
        <v>Low</v>
      </c>
    </row>
    <row r="1572" spans="1:26" x14ac:dyDescent="0.35">
      <c r="A1572" s="1">
        <v>1571</v>
      </c>
      <c r="B1572" s="2" t="s">
        <v>4235</v>
      </c>
      <c r="C1572" s="3">
        <v>45242</v>
      </c>
      <c r="D1572" s="3">
        <v>45242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V1572">
        <f>YEAR(Table1[[#This Row],[Order Date]])</f>
        <v>2023</v>
      </c>
      <c r="W1572" t="str">
        <f>TEXT(Table1[[#This Row],[Order Date]],"mmm")</f>
        <v>Nov</v>
      </c>
      <c r="X1572">
        <f t="shared" si="72"/>
        <v>1.2408000000000001</v>
      </c>
      <c r="Y1572" t="str">
        <f t="shared" si="73"/>
        <v>Profit</v>
      </c>
      <c r="Z1572" t="str">
        <f t="shared" si="74"/>
        <v>Low</v>
      </c>
    </row>
    <row r="1573" spans="1:26" x14ac:dyDescent="0.35">
      <c r="A1573" s="1">
        <v>1572</v>
      </c>
      <c r="B1573" s="2" t="s">
        <v>4224</v>
      </c>
      <c r="C1573" s="3">
        <v>45242</v>
      </c>
      <c r="D1573" s="3">
        <v>45246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V1573">
        <f>YEAR(Table1[[#This Row],[Order Date]])</f>
        <v>2023</v>
      </c>
      <c r="W1573" t="str">
        <f>TEXT(Table1[[#This Row],[Order Date]],"mmm")</f>
        <v>Nov</v>
      </c>
      <c r="X1573">
        <f t="shared" si="72"/>
        <v>-0.5205000000000003</v>
      </c>
      <c r="Y1573" t="str">
        <f t="shared" si="73"/>
        <v>Loss</v>
      </c>
      <c r="Z1573" t="str">
        <f t="shared" si="74"/>
        <v>Low</v>
      </c>
    </row>
    <row r="1574" spans="1:26" x14ac:dyDescent="0.35">
      <c r="A1574" s="1">
        <v>1573</v>
      </c>
      <c r="B1574" s="2" t="s">
        <v>4227</v>
      </c>
      <c r="C1574" s="3">
        <v>45242</v>
      </c>
      <c r="D1574" s="3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V1574">
        <f>YEAR(Table1[[#This Row],[Order Date]])</f>
        <v>2023</v>
      </c>
      <c r="W1574" t="str">
        <f>TEXT(Table1[[#This Row],[Order Date]],"mmm")</f>
        <v>Nov</v>
      </c>
      <c r="X1574">
        <f t="shared" si="72"/>
        <v>12.798399999999999</v>
      </c>
      <c r="Y1574" t="str">
        <f t="shared" si="73"/>
        <v>Profit</v>
      </c>
      <c r="Z1574" t="str">
        <f t="shared" si="74"/>
        <v>Low</v>
      </c>
    </row>
    <row r="1575" spans="1:26" x14ac:dyDescent="0.35">
      <c r="A1575" s="1">
        <v>1574</v>
      </c>
      <c r="B1575" s="2" t="s">
        <v>4224</v>
      </c>
      <c r="C1575" s="3">
        <v>45242</v>
      </c>
      <c r="D1575" s="3">
        <v>45246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79.512000000000015</v>
      </c>
      <c r="S1575" s="1">
        <v>3</v>
      </c>
      <c r="T1575" s="1">
        <v>0.2</v>
      </c>
      <c r="U1575" s="1">
        <v>20.8719</v>
      </c>
      <c r="V1575">
        <f>YEAR(Table1[[#This Row],[Order Date]])</f>
        <v>2023</v>
      </c>
      <c r="W1575" t="str">
        <f>TEXT(Table1[[#This Row],[Order Date]],"mmm")</f>
        <v>Nov</v>
      </c>
      <c r="X1575">
        <f t="shared" si="72"/>
        <v>6.9573</v>
      </c>
      <c r="Y1575" t="str">
        <f t="shared" si="73"/>
        <v>Profit</v>
      </c>
      <c r="Z1575" t="str">
        <f t="shared" si="74"/>
        <v>Low</v>
      </c>
    </row>
    <row r="1576" spans="1:26" x14ac:dyDescent="0.35">
      <c r="A1576" s="1">
        <v>1575</v>
      </c>
      <c r="B1576" s="2" t="s">
        <v>4242</v>
      </c>
      <c r="C1576" s="3">
        <v>45244</v>
      </c>
      <c r="D1576" s="3">
        <v>45248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69.263999999999996</v>
      </c>
      <c r="S1576" s="1">
        <v>2</v>
      </c>
      <c r="T1576" s="1">
        <v>0.1</v>
      </c>
      <c r="U1576" s="1">
        <v>14.62239999999999</v>
      </c>
      <c r="V1576">
        <f>YEAR(Table1[[#This Row],[Order Date]])</f>
        <v>2023</v>
      </c>
      <c r="W1576" t="str">
        <f>TEXT(Table1[[#This Row],[Order Date]],"mmm")</f>
        <v>Nov</v>
      </c>
      <c r="X1576">
        <f t="shared" si="72"/>
        <v>7.311199999999995</v>
      </c>
      <c r="Y1576" t="str">
        <f t="shared" si="73"/>
        <v>Profit</v>
      </c>
      <c r="Z1576" t="str">
        <f t="shared" si="74"/>
        <v>Low</v>
      </c>
    </row>
    <row r="1577" spans="1:26" x14ac:dyDescent="0.35">
      <c r="A1577" s="1">
        <v>1576</v>
      </c>
      <c r="B1577" s="2" t="s">
        <v>4245</v>
      </c>
      <c r="C1577" s="3">
        <v>45244</v>
      </c>
      <c r="D1577" s="3">
        <v>45248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</v>
      </c>
      <c r="T1577" s="1">
        <v>0</v>
      </c>
      <c r="U1577" s="1">
        <v>5.6448</v>
      </c>
      <c r="V1577">
        <f>YEAR(Table1[[#This Row],[Order Date]])</f>
        <v>2023</v>
      </c>
      <c r="W1577" t="str">
        <f>TEXT(Table1[[#This Row],[Order Date]],"mmm")</f>
        <v>Nov</v>
      </c>
      <c r="X1577">
        <f t="shared" si="72"/>
        <v>1.4112</v>
      </c>
      <c r="Y1577" t="str">
        <f t="shared" si="73"/>
        <v>Profit</v>
      </c>
      <c r="Z1577" t="str">
        <f t="shared" si="74"/>
        <v>No Discount</v>
      </c>
    </row>
    <row r="1578" spans="1:26" x14ac:dyDescent="0.35">
      <c r="A1578" s="1">
        <v>1577</v>
      </c>
      <c r="B1578" s="2" t="s">
        <v>4245</v>
      </c>
      <c r="C1578" s="3">
        <v>45244</v>
      </c>
      <c r="D1578" s="3">
        <v>45248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</v>
      </c>
      <c r="T1578" s="1">
        <v>0</v>
      </c>
      <c r="U1578" s="1">
        <v>6.36</v>
      </c>
      <c r="V1578">
        <f>YEAR(Table1[[#This Row],[Order Date]])</f>
        <v>2023</v>
      </c>
      <c r="W1578" t="str">
        <f>TEXT(Table1[[#This Row],[Order Date]],"mmm")</f>
        <v>Nov</v>
      </c>
      <c r="X1578">
        <f t="shared" si="72"/>
        <v>2.12</v>
      </c>
      <c r="Y1578" t="str">
        <f t="shared" si="73"/>
        <v>Profit</v>
      </c>
      <c r="Z1578" t="str">
        <f t="shared" si="74"/>
        <v>No Discount</v>
      </c>
    </row>
    <row r="1579" spans="1:26" x14ac:dyDescent="0.35">
      <c r="A1579" s="1">
        <v>1578</v>
      </c>
      <c r="B1579" s="2" t="s">
        <v>4248</v>
      </c>
      <c r="C1579" s="3">
        <v>45244</v>
      </c>
      <c r="D1579" s="3">
        <v>45246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</v>
      </c>
      <c r="T1579" s="1">
        <v>0</v>
      </c>
      <c r="U1579" s="1">
        <v>21.023999999999997</v>
      </c>
      <c r="V1579">
        <f>YEAR(Table1[[#This Row],[Order Date]])</f>
        <v>2023</v>
      </c>
      <c r="W1579" t="str">
        <f>TEXT(Table1[[#This Row],[Order Date]],"mmm")</f>
        <v>Nov</v>
      </c>
      <c r="X1579">
        <f t="shared" si="72"/>
        <v>2.1023999999999998</v>
      </c>
      <c r="Y1579" t="str">
        <f t="shared" si="73"/>
        <v>Profit</v>
      </c>
      <c r="Z1579" t="str">
        <f t="shared" si="74"/>
        <v>No Discount</v>
      </c>
    </row>
    <row r="1580" spans="1:26" x14ac:dyDescent="0.35">
      <c r="A1580" s="1">
        <v>1579</v>
      </c>
      <c r="B1580" s="2" t="s">
        <v>4251</v>
      </c>
      <c r="C1580" s="3">
        <v>45244</v>
      </c>
      <c r="D1580" s="3">
        <v>45250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32.400000000000006</v>
      </c>
      <c r="S1580" s="1">
        <v>5</v>
      </c>
      <c r="T1580" s="1">
        <v>0</v>
      </c>
      <c r="U1580" s="1">
        <v>15.552000000000001</v>
      </c>
      <c r="V1580">
        <f>YEAR(Table1[[#This Row],[Order Date]])</f>
        <v>2023</v>
      </c>
      <c r="W1580" t="str">
        <f>TEXT(Table1[[#This Row],[Order Date]],"mmm")</f>
        <v>Nov</v>
      </c>
      <c r="X1580">
        <f t="shared" si="72"/>
        <v>3.1104000000000003</v>
      </c>
      <c r="Y1580" t="str">
        <f t="shared" si="73"/>
        <v>Profit</v>
      </c>
      <c r="Z1580" t="str">
        <f t="shared" si="74"/>
        <v>No Discount</v>
      </c>
    </row>
    <row r="1581" spans="1:26" x14ac:dyDescent="0.35">
      <c r="A1581" s="1">
        <v>1580</v>
      </c>
      <c r="B1581" s="2" t="s">
        <v>4242</v>
      </c>
      <c r="C1581" s="3">
        <v>45244</v>
      </c>
      <c r="D1581" s="3">
        <v>45248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</v>
      </c>
      <c r="T1581" s="1">
        <v>0</v>
      </c>
      <c r="U1581" s="1">
        <v>5.2255999999999991</v>
      </c>
      <c r="V1581">
        <f>YEAR(Table1[[#This Row],[Order Date]])</f>
        <v>2023</v>
      </c>
      <c r="W1581" t="str">
        <f>TEXT(Table1[[#This Row],[Order Date]],"mmm")</f>
        <v>Nov</v>
      </c>
      <c r="X1581">
        <f t="shared" si="72"/>
        <v>2.6127999999999996</v>
      </c>
      <c r="Y1581" t="str">
        <f t="shared" si="73"/>
        <v>Profit</v>
      </c>
      <c r="Z1581" t="str">
        <f t="shared" si="74"/>
        <v>No Discount</v>
      </c>
    </row>
    <row r="1582" spans="1:26" x14ac:dyDescent="0.35">
      <c r="A1582" s="1">
        <v>1581</v>
      </c>
      <c r="B1582" s="2" t="s">
        <v>4256</v>
      </c>
      <c r="C1582" s="3">
        <v>45244</v>
      </c>
      <c r="D1582" s="3">
        <v>45245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V1582">
        <f>YEAR(Table1[[#This Row],[Order Date]])</f>
        <v>2023</v>
      </c>
      <c r="W1582" t="str">
        <f>TEXT(Table1[[#This Row],[Order Date]],"mmm")</f>
        <v>Nov</v>
      </c>
      <c r="X1582">
        <f t="shared" si="72"/>
        <v>1.8144</v>
      </c>
      <c r="Y1582" t="str">
        <f t="shared" si="73"/>
        <v>Profit</v>
      </c>
      <c r="Z1582" t="str">
        <f t="shared" si="74"/>
        <v>Low</v>
      </c>
    </row>
    <row r="1583" spans="1:26" x14ac:dyDescent="0.35">
      <c r="A1583" s="1">
        <v>1582</v>
      </c>
      <c r="B1583" s="2" t="s">
        <v>4248</v>
      </c>
      <c r="C1583" s="3">
        <v>45244</v>
      </c>
      <c r="D1583" s="3">
        <v>45246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</v>
      </c>
      <c r="T1583" s="1">
        <v>0</v>
      </c>
      <c r="U1583" s="1">
        <v>233.22039999999998</v>
      </c>
      <c r="V1583">
        <f>YEAR(Table1[[#This Row],[Order Date]])</f>
        <v>2023</v>
      </c>
      <c r="W1583" t="str">
        <f>TEXT(Table1[[#This Row],[Order Date]],"mmm")</f>
        <v>Nov</v>
      </c>
      <c r="X1583">
        <f t="shared" si="72"/>
        <v>33.3172</v>
      </c>
      <c r="Y1583" t="str">
        <f t="shared" si="73"/>
        <v>Profit</v>
      </c>
      <c r="Z1583" t="str">
        <f t="shared" si="74"/>
        <v>No Discount</v>
      </c>
    </row>
    <row r="1584" spans="1:26" x14ac:dyDescent="0.35">
      <c r="A1584" s="1">
        <v>1583</v>
      </c>
      <c r="B1584" s="2" t="s">
        <v>4261</v>
      </c>
      <c r="C1584" s="3">
        <v>45245</v>
      </c>
      <c r="D1584" s="3">
        <v>45248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</v>
      </c>
      <c r="T1584" s="1">
        <v>0</v>
      </c>
      <c r="U1584" s="1">
        <v>3.2351999999999994</v>
      </c>
      <c r="V1584">
        <f>YEAR(Table1[[#This Row],[Order Date]])</f>
        <v>2023</v>
      </c>
      <c r="W1584" t="str">
        <f>TEXT(Table1[[#This Row],[Order Date]],"mmm")</f>
        <v>Nov</v>
      </c>
      <c r="X1584">
        <f t="shared" si="72"/>
        <v>1.0783999999999998</v>
      </c>
      <c r="Y1584" t="str">
        <f t="shared" si="73"/>
        <v>Profit</v>
      </c>
      <c r="Z1584" t="str">
        <f t="shared" si="74"/>
        <v>No Discount</v>
      </c>
    </row>
    <row r="1585" spans="1:26" x14ac:dyDescent="0.35">
      <c r="A1585" s="1">
        <v>1584</v>
      </c>
      <c r="B1585" s="2" t="s">
        <v>4264</v>
      </c>
      <c r="C1585" s="3">
        <v>45245</v>
      </c>
      <c r="D1585" s="3">
        <v>45251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V1585">
        <f>YEAR(Table1[[#This Row],[Order Date]])</f>
        <v>2023</v>
      </c>
      <c r="W1585" t="str">
        <f>TEXT(Table1[[#This Row],[Order Date]],"mmm")</f>
        <v>Nov</v>
      </c>
      <c r="X1585">
        <f t="shared" si="72"/>
        <v>14.571200000000005</v>
      </c>
      <c r="Y1585" t="str">
        <f t="shared" si="73"/>
        <v>Profit</v>
      </c>
      <c r="Z1585" t="str">
        <f t="shared" si="74"/>
        <v>Low</v>
      </c>
    </row>
    <row r="1586" spans="1:26" x14ac:dyDescent="0.35">
      <c r="A1586" s="1">
        <v>1585</v>
      </c>
      <c r="B1586" s="2" t="s">
        <v>4264</v>
      </c>
      <c r="C1586" s="3">
        <v>45245</v>
      </c>
      <c r="D1586" s="3">
        <v>45251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V1586">
        <f>YEAR(Table1[[#This Row],[Order Date]])</f>
        <v>2023</v>
      </c>
      <c r="W1586" t="str">
        <f>TEXT(Table1[[#This Row],[Order Date]],"mmm")</f>
        <v>Nov</v>
      </c>
      <c r="X1586">
        <f t="shared" si="72"/>
        <v>0.15839999999999996</v>
      </c>
      <c r="Y1586" t="str">
        <f t="shared" si="73"/>
        <v>Profit</v>
      </c>
      <c r="Z1586" t="str">
        <f t="shared" si="74"/>
        <v>Low</v>
      </c>
    </row>
    <row r="1587" spans="1:26" x14ac:dyDescent="0.35">
      <c r="A1587" s="1">
        <v>1586</v>
      </c>
      <c r="B1587" s="2" t="s">
        <v>4270</v>
      </c>
      <c r="C1587" s="3">
        <v>45245</v>
      </c>
      <c r="D1587" s="3">
        <v>45252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V1587">
        <f>YEAR(Table1[[#This Row],[Order Date]])</f>
        <v>2023</v>
      </c>
      <c r="W1587" t="str">
        <f>TEXT(Table1[[#This Row],[Order Date]],"mmm")</f>
        <v>Nov</v>
      </c>
      <c r="X1587">
        <f t="shared" si="72"/>
        <v>22.674599999999995</v>
      </c>
      <c r="Y1587" t="str">
        <f t="shared" si="73"/>
        <v>Profit</v>
      </c>
      <c r="Z1587" t="str">
        <f t="shared" si="74"/>
        <v>Low</v>
      </c>
    </row>
    <row r="1588" spans="1:26" x14ac:dyDescent="0.35">
      <c r="A1588" s="1">
        <v>1587</v>
      </c>
      <c r="B1588" s="2" t="s">
        <v>4264</v>
      </c>
      <c r="C1588" s="3">
        <v>45245</v>
      </c>
      <c r="D1588" s="3">
        <v>45251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V1588">
        <f>YEAR(Table1[[#This Row],[Order Date]])</f>
        <v>2023</v>
      </c>
      <c r="W1588" t="str">
        <f>TEXT(Table1[[#This Row],[Order Date]],"mmm")</f>
        <v>Nov</v>
      </c>
      <c r="X1588">
        <f t="shared" si="72"/>
        <v>1.9449999999999994</v>
      </c>
      <c r="Y1588" t="str">
        <f t="shared" si="73"/>
        <v>Profit</v>
      </c>
      <c r="Z1588" t="str">
        <f t="shared" si="74"/>
        <v>Low</v>
      </c>
    </row>
    <row r="1589" spans="1:26" x14ac:dyDescent="0.35">
      <c r="A1589" s="1">
        <v>1588</v>
      </c>
      <c r="B1589" s="2" t="s">
        <v>4275</v>
      </c>
      <c r="C1589" s="3">
        <v>45245</v>
      </c>
      <c r="D1589" s="3">
        <v>45247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</v>
      </c>
      <c r="T1589" s="1">
        <v>0</v>
      </c>
      <c r="U1589" s="1">
        <v>3.2849999999999993</v>
      </c>
      <c r="V1589">
        <f>YEAR(Table1[[#This Row],[Order Date]])</f>
        <v>2023</v>
      </c>
      <c r="W1589" t="str">
        <f>TEXT(Table1[[#This Row],[Order Date]],"mmm")</f>
        <v>Nov</v>
      </c>
      <c r="X1589">
        <f t="shared" si="72"/>
        <v>1.0949999999999998</v>
      </c>
      <c r="Y1589" t="str">
        <f t="shared" si="73"/>
        <v>Profit</v>
      </c>
      <c r="Z1589" t="str">
        <f t="shared" si="74"/>
        <v>No Discount</v>
      </c>
    </row>
    <row r="1590" spans="1:26" x14ac:dyDescent="0.35">
      <c r="A1590" s="1">
        <v>1589</v>
      </c>
      <c r="B1590" s="2" t="s">
        <v>4261</v>
      </c>
      <c r="C1590" s="3">
        <v>45245</v>
      </c>
      <c r="D1590" s="3">
        <v>45248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</v>
      </c>
      <c r="T1590" s="1">
        <v>0</v>
      </c>
      <c r="U1590" s="1">
        <v>5.3196000000000012</v>
      </c>
      <c r="V1590">
        <f>YEAR(Table1[[#This Row],[Order Date]])</f>
        <v>2023</v>
      </c>
      <c r="W1590" t="str">
        <f>TEXT(Table1[[#This Row],[Order Date]],"mmm")</f>
        <v>Nov</v>
      </c>
      <c r="X1590">
        <f t="shared" si="72"/>
        <v>2.6598000000000006</v>
      </c>
      <c r="Y1590" t="str">
        <f t="shared" si="73"/>
        <v>Profit</v>
      </c>
      <c r="Z1590" t="str">
        <f t="shared" si="74"/>
        <v>No Discount</v>
      </c>
    </row>
    <row r="1591" spans="1:26" x14ac:dyDescent="0.35">
      <c r="A1591" s="1">
        <v>1590</v>
      </c>
      <c r="B1591" s="2" t="s">
        <v>4261</v>
      </c>
      <c r="C1591" s="3">
        <v>45245</v>
      </c>
      <c r="D1591" s="3">
        <v>45248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</v>
      </c>
      <c r="T1591" s="1">
        <v>0</v>
      </c>
      <c r="U1591" s="1">
        <v>146.76929999999993</v>
      </c>
      <c r="V1591">
        <f>YEAR(Table1[[#This Row],[Order Date]])</f>
        <v>2023</v>
      </c>
      <c r="W1591" t="str">
        <f>TEXT(Table1[[#This Row],[Order Date]],"mmm")</f>
        <v>Nov</v>
      </c>
      <c r="X1591">
        <f t="shared" si="72"/>
        <v>48.923099999999977</v>
      </c>
      <c r="Y1591" t="str">
        <f t="shared" si="73"/>
        <v>Profit</v>
      </c>
      <c r="Z1591" t="str">
        <f t="shared" si="74"/>
        <v>No Discount</v>
      </c>
    </row>
    <row r="1592" spans="1:26" x14ac:dyDescent="0.35">
      <c r="A1592" s="1">
        <v>1591</v>
      </c>
      <c r="B1592" s="2" t="s">
        <v>4277</v>
      </c>
      <c r="C1592" s="3">
        <v>45246</v>
      </c>
      <c r="D1592" s="3">
        <v>45248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V1592">
        <f>YEAR(Table1[[#This Row],[Order Date]])</f>
        <v>2023</v>
      </c>
      <c r="W1592" t="str">
        <f>TEXT(Table1[[#This Row],[Order Date]],"mmm")</f>
        <v>Nov</v>
      </c>
      <c r="X1592">
        <f t="shared" si="72"/>
        <v>8.3992999999999896</v>
      </c>
      <c r="Y1592" t="str">
        <f t="shared" si="73"/>
        <v>Profit</v>
      </c>
      <c r="Z1592" t="str">
        <f t="shared" si="74"/>
        <v>Low</v>
      </c>
    </row>
    <row r="1593" spans="1:26" x14ac:dyDescent="0.35">
      <c r="A1593" s="1">
        <v>1592</v>
      </c>
      <c r="B1593" s="2" t="s">
        <v>4282</v>
      </c>
      <c r="C1593" s="3">
        <v>45246</v>
      </c>
      <c r="D1593" s="3">
        <v>45250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V1593">
        <f>YEAR(Table1[[#This Row],[Order Date]])</f>
        <v>2023</v>
      </c>
      <c r="W1593" t="str">
        <f>TEXT(Table1[[#This Row],[Order Date]],"mmm")</f>
        <v>Nov</v>
      </c>
      <c r="X1593">
        <f t="shared" si="72"/>
        <v>-0.53280000000000083</v>
      </c>
      <c r="Y1593" t="str">
        <f t="shared" si="73"/>
        <v>Loss</v>
      </c>
      <c r="Z1593" t="str">
        <f t="shared" si="74"/>
        <v>Medium</v>
      </c>
    </row>
    <row r="1594" spans="1:26" x14ac:dyDescent="0.35">
      <c r="A1594" s="1">
        <v>1593</v>
      </c>
      <c r="B1594" s="2" t="s">
        <v>4287</v>
      </c>
      <c r="C1594" s="3">
        <v>45246</v>
      </c>
      <c r="D1594" s="3">
        <v>45251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  <c r="V1594">
        <f>YEAR(Table1[[#This Row],[Order Date]])</f>
        <v>2023</v>
      </c>
      <c r="W1594" t="str">
        <f>TEXT(Table1[[#This Row],[Order Date]],"mmm")</f>
        <v>Nov</v>
      </c>
      <c r="X1594">
        <f t="shared" si="72"/>
        <v>3.5672000000000001</v>
      </c>
      <c r="Y1594" t="str">
        <f t="shared" si="73"/>
        <v>Profit</v>
      </c>
      <c r="Z1594" t="str">
        <f t="shared" si="74"/>
        <v>No Discount</v>
      </c>
    </row>
    <row r="1595" spans="1:26" x14ac:dyDescent="0.35">
      <c r="A1595" s="1">
        <v>1594</v>
      </c>
      <c r="B1595" s="2" t="s">
        <v>4287</v>
      </c>
      <c r="C1595" s="3">
        <v>45246</v>
      </c>
      <c r="D1595" s="3">
        <v>45251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78.349999999999994</v>
      </c>
      <c r="S1595" s="1">
        <v>5</v>
      </c>
      <c r="T1595" s="1">
        <v>0</v>
      </c>
      <c r="U1595" s="1">
        <v>36.824499999999993</v>
      </c>
      <c r="V1595">
        <f>YEAR(Table1[[#This Row],[Order Date]])</f>
        <v>2023</v>
      </c>
      <c r="W1595" t="str">
        <f>TEXT(Table1[[#This Row],[Order Date]],"mmm")</f>
        <v>Nov</v>
      </c>
      <c r="X1595">
        <f t="shared" si="72"/>
        <v>7.3648999999999987</v>
      </c>
      <c r="Y1595" t="str">
        <f t="shared" si="73"/>
        <v>Profit</v>
      </c>
      <c r="Z1595" t="str">
        <f t="shared" si="74"/>
        <v>No Discount</v>
      </c>
    </row>
    <row r="1596" spans="1:26" x14ac:dyDescent="0.35">
      <c r="A1596" s="1">
        <v>1595</v>
      </c>
      <c r="B1596" s="2" t="s">
        <v>4290</v>
      </c>
      <c r="C1596" s="3">
        <v>45246</v>
      </c>
      <c r="D1596" s="3">
        <v>45252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  <c r="V1596">
        <f>YEAR(Table1[[#This Row],[Order Date]])</f>
        <v>2023</v>
      </c>
      <c r="W1596" t="str">
        <f>TEXT(Table1[[#This Row],[Order Date]],"mmm")</f>
        <v>Nov</v>
      </c>
      <c r="X1596">
        <f t="shared" si="72"/>
        <v>1.2005999999999999</v>
      </c>
      <c r="Y1596" t="str">
        <f t="shared" si="73"/>
        <v>Profit</v>
      </c>
      <c r="Z1596" t="str">
        <f t="shared" si="74"/>
        <v>No Discount</v>
      </c>
    </row>
    <row r="1597" spans="1:26" x14ac:dyDescent="0.35">
      <c r="A1597" s="1">
        <v>1596</v>
      </c>
      <c r="B1597" s="2" t="s">
        <v>4287</v>
      </c>
      <c r="C1597" s="3">
        <v>45246</v>
      </c>
      <c r="D1597" s="3">
        <v>45251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</v>
      </c>
      <c r="T1597" s="1">
        <v>0</v>
      </c>
      <c r="U1597" s="1">
        <v>14.256</v>
      </c>
      <c r="V1597">
        <f>YEAR(Table1[[#This Row],[Order Date]])</f>
        <v>2023</v>
      </c>
      <c r="W1597" t="str">
        <f>TEXT(Table1[[#This Row],[Order Date]],"mmm")</f>
        <v>Nov</v>
      </c>
      <c r="X1597">
        <f t="shared" si="72"/>
        <v>2.3759999999999999</v>
      </c>
      <c r="Y1597" t="str">
        <f t="shared" si="73"/>
        <v>Profit</v>
      </c>
      <c r="Z1597" t="str">
        <f t="shared" si="74"/>
        <v>No Discount</v>
      </c>
    </row>
    <row r="1598" spans="1:26" x14ac:dyDescent="0.35">
      <c r="A1598" s="1">
        <v>1597</v>
      </c>
      <c r="B1598" s="2" t="s">
        <v>4287</v>
      </c>
      <c r="C1598" s="3">
        <v>45246</v>
      </c>
      <c r="D1598" s="3">
        <v>45251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  <c r="V1598">
        <f>YEAR(Table1[[#This Row],[Order Date]])</f>
        <v>2023</v>
      </c>
      <c r="W1598" t="str">
        <f>TEXT(Table1[[#This Row],[Order Date]],"mmm")</f>
        <v>Nov</v>
      </c>
      <c r="X1598">
        <f t="shared" si="72"/>
        <v>8.4725000000000001</v>
      </c>
      <c r="Y1598" t="str">
        <f t="shared" si="73"/>
        <v>Profit</v>
      </c>
      <c r="Z1598" t="str">
        <f t="shared" si="74"/>
        <v>No Discount</v>
      </c>
    </row>
    <row r="1599" spans="1:26" x14ac:dyDescent="0.35">
      <c r="A1599" s="1">
        <v>1598</v>
      </c>
      <c r="B1599" s="2" t="s">
        <v>4277</v>
      </c>
      <c r="C1599" s="3">
        <v>45246</v>
      </c>
      <c r="D1599" s="3">
        <v>45248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344.90999999999997</v>
      </c>
      <c r="S1599" s="1">
        <v>3</v>
      </c>
      <c r="T1599" s="1">
        <v>0</v>
      </c>
      <c r="U1599" s="1">
        <v>10.347300000000004</v>
      </c>
      <c r="V1599">
        <f>YEAR(Table1[[#This Row],[Order Date]])</f>
        <v>2023</v>
      </c>
      <c r="W1599" t="str">
        <f>TEXT(Table1[[#This Row],[Order Date]],"mmm")</f>
        <v>Nov</v>
      </c>
      <c r="X1599">
        <f t="shared" si="72"/>
        <v>3.4491000000000014</v>
      </c>
      <c r="Y1599" t="str">
        <f t="shared" si="73"/>
        <v>Profit</v>
      </c>
      <c r="Z1599" t="str">
        <f t="shared" si="74"/>
        <v>No Discount</v>
      </c>
    </row>
    <row r="1600" spans="1:26" x14ac:dyDescent="0.35">
      <c r="A1600" s="1">
        <v>1599</v>
      </c>
      <c r="B1600" s="2" t="s">
        <v>4295</v>
      </c>
      <c r="C1600" s="3">
        <v>45246</v>
      </c>
      <c r="D1600" s="3">
        <v>45250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273.95999999999998</v>
      </c>
      <c r="S1600" s="1">
        <v>2</v>
      </c>
      <c r="T1600" s="1">
        <v>0</v>
      </c>
      <c r="U1600" s="1">
        <v>10.958399999999983</v>
      </c>
      <c r="V1600">
        <f>YEAR(Table1[[#This Row],[Order Date]])</f>
        <v>2023</v>
      </c>
      <c r="W1600" t="str">
        <f>TEXT(Table1[[#This Row],[Order Date]],"mmm")</f>
        <v>Nov</v>
      </c>
      <c r="X1600">
        <f t="shared" si="72"/>
        <v>5.4791999999999916</v>
      </c>
      <c r="Y1600" t="str">
        <f t="shared" si="73"/>
        <v>Profit</v>
      </c>
      <c r="Z1600" t="str">
        <f t="shared" si="74"/>
        <v>No Discount</v>
      </c>
    </row>
    <row r="1601" spans="1:26" x14ac:dyDescent="0.35">
      <c r="A1601" s="1">
        <v>1600</v>
      </c>
      <c r="B1601" s="2" t="s">
        <v>4277</v>
      </c>
      <c r="C1601" s="3">
        <v>45246</v>
      </c>
      <c r="D1601" s="3">
        <v>45248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>
        <f>YEAR(Table1[[#This Row],[Order Date]])</f>
        <v>2023</v>
      </c>
      <c r="W1601" t="str">
        <f>TEXT(Table1[[#This Row],[Order Date]],"mmm")</f>
        <v>Nov</v>
      </c>
      <c r="X1601">
        <f t="shared" si="72"/>
        <v>-4.4981999999999998</v>
      </c>
      <c r="Y1601" t="str">
        <f t="shared" si="73"/>
        <v>Loss</v>
      </c>
      <c r="Z1601" t="str">
        <f t="shared" si="74"/>
        <v>Low</v>
      </c>
    </row>
    <row r="1602" spans="1:26" x14ac:dyDescent="0.35">
      <c r="A1602" s="1">
        <v>1601</v>
      </c>
      <c r="B1602" s="2" t="s">
        <v>4301</v>
      </c>
      <c r="C1602" s="3">
        <v>45247</v>
      </c>
      <c r="D1602" s="3">
        <v>45252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V1602">
        <f>YEAR(Table1[[#This Row],[Order Date]])</f>
        <v>2023</v>
      </c>
      <c r="W1602" t="str">
        <f>TEXT(Table1[[#This Row],[Order Date]],"mmm")</f>
        <v>Nov</v>
      </c>
      <c r="X1602">
        <f t="shared" ref="X1602:X1665" si="75">IFERROR(U1602/S1602,0)</f>
        <v>-5.0098000000000296</v>
      </c>
      <c r="Y1602" t="str">
        <f t="shared" ref="Y1602:Y1665" si="76">IF(U1602&gt;0,"Profit",IF(U1602&lt;0,"Loss","Break-even"))</f>
        <v>Loss</v>
      </c>
      <c r="Z1602" t="str">
        <f t="shared" ref="Z1602:Z1665" si="77">IF(T1602=0,"No Discount",IF(T1602&lt;=0.2,"Low",IF(T1602&lt;=0.4,"Medium","High")))</f>
        <v>Low</v>
      </c>
    </row>
    <row r="1603" spans="1:26" x14ac:dyDescent="0.35">
      <c r="A1603" s="1">
        <v>1602</v>
      </c>
      <c r="B1603" s="2" t="s">
        <v>4302</v>
      </c>
      <c r="C1603" s="3">
        <v>45247</v>
      </c>
      <c r="D1603" s="3">
        <v>45251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479.90000000000003</v>
      </c>
      <c r="S1603" s="1">
        <v>5</v>
      </c>
      <c r="T1603" s="1">
        <v>0</v>
      </c>
      <c r="U1603" s="1">
        <v>81.58299999999997</v>
      </c>
      <c r="V1603">
        <f>YEAR(Table1[[#This Row],[Order Date]])</f>
        <v>2023</v>
      </c>
      <c r="W1603" t="str">
        <f>TEXT(Table1[[#This Row],[Order Date]],"mmm")</f>
        <v>Nov</v>
      </c>
      <c r="X1603">
        <f t="shared" si="75"/>
        <v>16.316599999999994</v>
      </c>
      <c r="Y1603" t="str">
        <f t="shared" si="76"/>
        <v>Profit</v>
      </c>
      <c r="Z1603" t="str">
        <f t="shared" si="77"/>
        <v>No Discount</v>
      </c>
    </row>
    <row r="1604" spans="1:26" x14ac:dyDescent="0.35">
      <c r="A1604" s="1">
        <v>1603</v>
      </c>
      <c r="B1604" s="2" t="s">
        <v>4304</v>
      </c>
      <c r="C1604" s="3">
        <v>45247</v>
      </c>
      <c r="D1604" s="3">
        <v>45254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</v>
      </c>
      <c r="T1604" s="1">
        <v>0.3</v>
      </c>
      <c r="U1604" s="1">
        <v>-93.989999999999952</v>
      </c>
      <c r="V1604">
        <f>YEAR(Table1[[#This Row],[Order Date]])</f>
        <v>2023</v>
      </c>
      <c r="W1604" t="str">
        <f>TEXT(Table1[[#This Row],[Order Date]],"mmm")</f>
        <v>Nov</v>
      </c>
      <c r="X1604">
        <f t="shared" si="75"/>
        <v>-18.797999999999991</v>
      </c>
      <c r="Y1604" t="str">
        <f t="shared" si="76"/>
        <v>Loss</v>
      </c>
      <c r="Z1604" t="str">
        <f t="shared" si="77"/>
        <v>Medium</v>
      </c>
    </row>
    <row r="1605" spans="1:26" x14ac:dyDescent="0.35">
      <c r="A1605" s="1">
        <v>1604</v>
      </c>
      <c r="B1605" s="2" t="s">
        <v>4307</v>
      </c>
      <c r="C1605" s="3">
        <v>45247</v>
      </c>
      <c r="D1605" s="3">
        <v>45252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</v>
      </c>
      <c r="T1605" s="1">
        <v>0</v>
      </c>
      <c r="U1605" s="1">
        <v>14.929199999999994</v>
      </c>
      <c r="V1605">
        <f>YEAR(Table1[[#This Row],[Order Date]])</f>
        <v>2023</v>
      </c>
      <c r="W1605" t="str">
        <f>TEXT(Table1[[#This Row],[Order Date]],"mmm")</f>
        <v>Nov</v>
      </c>
      <c r="X1605">
        <f t="shared" si="75"/>
        <v>4.9763999999999982</v>
      </c>
      <c r="Y1605" t="str">
        <f t="shared" si="76"/>
        <v>Profit</v>
      </c>
      <c r="Z1605" t="str">
        <f t="shared" si="77"/>
        <v>No Discount</v>
      </c>
    </row>
    <row r="1606" spans="1:26" x14ac:dyDescent="0.35">
      <c r="A1606" s="1">
        <v>1605</v>
      </c>
      <c r="B1606" s="2" t="s">
        <v>4312</v>
      </c>
      <c r="C1606" s="3">
        <v>45247</v>
      </c>
      <c r="D1606" s="3">
        <v>45249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</v>
      </c>
      <c r="T1606" s="1">
        <v>0</v>
      </c>
      <c r="U1606" s="1">
        <v>72.431999999999988</v>
      </c>
      <c r="V1606">
        <f>YEAR(Table1[[#This Row],[Order Date]])</f>
        <v>2023</v>
      </c>
      <c r="W1606" t="str">
        <f>TEXT(Table1[[#This Row],[Order Date]],"mmm")</f>
        <v>Nov</v>
      </c>
      <c r="X1606">
        <f t="shared" si="75"/>
        <v>24.143999999999995</v>
      </c>
      <c r="Y1606" t="str">
        <f t="shared" si="76"/>
        <v>Profit</v>
      </c>
      <c r="Z1606" t="str">
        <f t="shared" si="77"/>
        <v>No Discount</v>
      </c>
    </row>
    <row r="1607" spans="1:26" x14ac:dyDescent="0.35">
      <c r="A1607" s="1">
        <v>1606</v>
      </c>
      <c r="B1607" s="2" t="s">
        <v>4307</v>
      </c>
      <c r="C1607" s="3">
        <v>45247</v>
      </c>
      <c r="D1607" s="3">
        <v>45252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</v>
      </c>
      <c r="T1607" s="1">
        <v>0</v>
      </c>
      <c r="U1607" s="1">
        <v>26.564999999999998</v>
      </c>
      <c r="V1607">
        <f>YEAR(Table1[[#This Row],[Order Date]])</f>
        <v>2023</v>
      </c>
      <c r="W1607" t="str">
        <f>TEXT(Table1[[#This Row],[Order Date]],"mmm")</f>
        <v>Nov</v>
      </c>
      <c r="X1607">
        <f t="shared" si="75"/>
        <v>5.3129999999999997</v>
      </c>
      <c r="Y1607" t="str">
        <f t="shared" si="76"/>
        <v>Profit</v>
      </c>
      <c r="Z1607" t="str">
        <f t="shared" si="77"/>
        <v>No Discount</v>
      </c>
    </row>
    <row r="1608" spans="1:26" x14ac:dyDescent="0.35">
      <c r="A1608" s="1">
        <v>1607</v>
      </c>
      <c r="B1608" s="2" t="s">
        <v>4301</v>
      </c>
      <c r="C1608" s="3">
        <v>45247</v>
      </c>
      <c r="D1608" s="3">
        <v>45252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V1608">
        <f>YEAR(Table1[[#This Row],[Order Date]])</f>
        <v>2023</v>
      </c>
      <c r="W1608" t="str">
        <f>TEXT(Table1[[#This Row],[Order Date]],"mmm")</f>
        <v>Nov</v>
      </c>
      <c r="X1608">
        <f t="shared" si="75"/>
        <v>242.18729999999994</v>
      </c>
      <c r="Y1608" t="str">
        <f t="shared" si="76"/>
        <v>Profit</v>
      </c>
      <c r="Z1608" t="str">
        <f t="shared" si="77"/>
        <v>Low</v>
      </c>
    </row>
    <row r="1609" spans="1:26" x14ac:dyDescent="0.35">
      <c r="A1609" s="1">
        <v>1608</v>
      </c>
      <c r="B1609" s="2" t="s">
        <v>4315</v>
      </c>
      <c r="C1609" s="3">
        <v>45247</v>
      </c>
      <c r="D1609" s="3">
        <v>45251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7.080000000000001</v>
      </c>
      <c r="S1609" s="1">
        <v>3</v>
      </c>
      <c r="T1609" s="1">
        <v>0.2</v>
      </c>
      <c r="U1609" s="1">
        <v>2.4779999999999989</v>
      </c>
      <c r="V1609">
        <f>YEAR(Table1[[#This Row],[Order Date]])</f>
        <v>2023</v>
      </c>
      <c r="W1609" t="str">
        <f>TEXT(Table1[[#This Row],[Order Date]],"mmm")</f>
        <v>Nov</v>
      </c>
      <c r="X1609">
        <f t="shared" si="75"/>
        <v>0.82599999999999962</v>
      </c>
      <c r="Y1609" t="str">
        <f t="shared" si="76"/>
        <v>Profit</v>
      </c>
      <c r="Z1609" t="str">
        <f t="shared" si="77"/>
        <v>Low</v>
      </c>
    </row>
    <row r="1610" spans="1:26" x14ac:dyDescent="0.35">
      <c r="A1610" s="1">
        <v>1609</v>
      </c>
      <c r="B1610" s="2" t="s">
        <v>4304</v>
      </c>
      <c r="C1610" s="3">
        <v>45247</v>
      </c>
      <c r="D1610" s="3">
        <v>45254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</v>
      </c>
      <c r="T1610" s="1">
        <v>0.2</v>
      </c>
      <c r="U1610" s="1">
        <v>3.8899999999999988</v>
      </c>
      <c r="V1610">
        <f>YEAR(Table1[[#This Row],[Order Date]])</f>
        <v>2023</v>
      </c>
      <c r="W1610" t="str">
        <f>TEXT(Table1[[#This Row],[Order Date]],"mmm")</f>
        <v>Nov</v>
      </c>
      <c r="X1610">
        <f t="shared" si="75"/>
        <v>1.9449999999999994</v>
      </c>
      <c r="Y1610" t="str">
        <f t="shared" si="76"/>
        <v>Profit</v>
      </c>
      <c r="Z1610" t="str">
        <f t="shared" si="77"/>
        <v>Low</v>
      </c>
    </row>
    <row r="1611" spans="1:26" x14ac:dyDescent="0.35">
      <c r="A1611" s="1">
        <v>1610</v>
      </c>
      <c r="B1611" s="2" t="s">
        <v>4312</v>
      </c>
      <c r="C1611" s="3">
        <v>45247</v>
      </c>
      <c r="D1611" s="3">
        <v>45249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733.94999999999993</v>
      </c>
      <c r="S1611" s="1">
        <v>7</v>
      </c>
      <c r="T1611" s="1">
        <v>0</v>
      </c>
      <c r="U1611" s="1">
        <v>352.29599999999999</v>
      </c>
      <c r="V1611">
        <f>YEAR(Table1[[#This Row],[Order Date]])</f>
        <v>2023</v>
      </c>
      <c r="W1611" t="str">
        <f>TEXT(Table1[[#This Row],[Order Date]],"mmm")</f>
        <v>Nov</v>
      </c>
      <c r="X1611">
        <f t="shared" si="75"/>
        <v>50.327999999999996</v>
      </c>
      <c r="Y1611" t="str">
        <f t="shared" si="76"/>
        <v>Profit</v>
      </c>
      <c r="Z1611" t="str">
        <f t="shared" si="77"/>
        <v>No Discount</v>
      </c>
    </row>
    <row r="1612" spans="1:26" x14ac:dyDescent="0.35">
      <c r="A1612" s="1">
        <v>1611</v>
      </c>
      <c r="B1612" s="2" t="s">
        <v>4317</v>
      </c>
      <c r="C1612" s="3">
        <v>45247</v>
      </c>
      <c r="D1612" s="3">
        <v>45252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</v>
      </c>
      <c r="T1612" s="1">
        <v>0</v>
      </c>
      <c r="U1612" s="1">
        <v>17.22</v>
      </c>
      <c r="V1612">
        <f>YEAR(Table1[[#This Row],[Order Date]])</f>
        <v>2023</v>
      </c>
      <c r="W1612" t="str">
        <f>TEXT(Table1[[#This Row],[Order Date]],"mmm")</f>
        <v>Nov</v>
      </c>
      <c r="X1612">
        <f t="shared" si="75"/>
        <v>5.7399999999999993</v>
      </c>
      <c r="Y1612" t="str">
        <f t="shared" si="76"/>
        <v>Profit</v>
      </c>
      <c r="Z1612" t="str">
        <f t="shared" si="77"/>
        <v>No Discount</v>
      </c>
    </row>
    <row r="1613" spans="1:26" x14ac:dyDescent="0.35">
      <c r="A1613" s="1">
        <v>1612</v>
      </c>
      <c r="B1613" s="2" t="s">
        <v>4307</v>
      </c>
      <c r="C1613" s="3">
        <v>45247</v>
      </c>
      <c r="D1613" s="3">
        <v>45252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</v>
      </c>
      <c r="T1613" s="1">
        <v>0</v>
      </c>
      <c r="U1613" s="1">
        <v>792.26910000000021</v>
      </c>
      <c r="V1613">
        <f>YEAR(Table1[[#This Row],[Order Date]])</f>
        <v>2023</v>
      </c>
      <c r="W1613" t="str">
        <f>TEXT(Table1[[#This Row],[Order Date]],"mmm")</f>
        <v>Nov</v>
      </c>
      <c r="X1613">
        <f t="shared" si="75"/>
        <v>113.18130000000004</v>
      </c>
      <c r="Y1613" t="str">
        <f t="shared" si="76"/>
        <v>Profit</v>
      </c>
      <c r="Z1613" t="str">
        <f t="shared" si="77"/>
        <v>No Discount</v>
      </c>
    </row>
    <row r="1614" spans="1:26" x14ac:dyDescent="0.35">
      <c r="A1614" s="1">
        <v>1613</v>
      </c>
      <c r="B1614" s="2" t="s">
        <v>4312</v>
      </c>
      <c r="C1614" s="3">
        <v>45247</v>
      </c>
      <c r="D1614" s="3">
        <v>45249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</v>
      </c>
      <c r="T1614" s="1">
        <v>0</v>
      </c>
      <c r="U1614" s="1">
        <v>7.9983999999999895</v>
      </c>
      <c r="V1614">
        <f>YEAR(Table1[[#This Row],[Order Date]])</f>
        <v>2023</v>
      </c>
      <c r="W1614" t="str">
        <f>TEXT(Table1[[#This Row],[Order Date]],"mmm")</f>
        <v>Nov</v>
      </c>
      <c r="X1614">
        <f t="shared" si="75"/>
        <v>3.9991999999999948</v>
      </c>
      <c r="Y1614" t="str">
        <f t="shared" si="76"/>
        <v>Profit</v>
      </c>
      <c r="Z1614" t="str">
        <f t="shared" si="77"/>
        <v>No Discount</v>
      </c>
    </row>
    <row r="1615" spans="1:26" x14ac:dyDescent="0.35">
      <c r="A1615" s="1">
        <v>1614</v>
      </c>
      <c r="B1615" s="2" t="s">
        <v>4320</v>
      </c>
      <c r="C1615" s="3">
        <v>45248</v>
      </c>
      <c r="D1615" s="3">
        <v>45251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V1615">
        <f>YEAR(Table1[[#This Row],[Order Date]])</f>
        <v>2023</v>
      </c>
      <c r="W1615" t="str">
        <f>TEXT(Table1[[#This Row],[Order Date]],"mmm")</f>
        <v>Nov</v>
      </c>
      <c r="X1615">
        <f t="shared" si="75"/>
        <v>-5.0489999999999968</v>
      </c>
      <c r="Y1615" t="str">
        <f t="shared" si="76"/>
        <v>Loss</v>
      </c>
      <c r="Z1615" t="str">
        <f t="shared" si="77"/>
        <v>Medium</v>
      </c>
    </row>
    <row r="1616" spans="1:26" x14ac:dyDescent="0.35">
      <c r="A1616" s="1">
        <v>1615</v>
      </c>
      <c r="B1616" s="2" t="s">
        <v>4326</v>
      </c>
      <c r="C1616" s="3">
        <v>45248</v>
      </c>
      <c r="D1616" s="3">
        <v>45253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392.93999999999994</v>
      </c>
      <c r="S1616" s="1">
        <v>3</v>
      </c>
      <c r="T1616" s="1">
        <v>0</v>
      </c>
      <c r="U1616" s="1">
        <v>43.223399999999984</v>
      </c>
      <c r="V1616">
        <f>YEAR(Table1[[#This Row],[Order Date]])</f>
        <v>2023</v>
      </c>
      <c r="W1616" t="str">
        <f>TEXT(Table1[[#This Row],[Order Date]],"mmm")</f>
        <v>Nov</v>
      </c>
      <c r="X1616">
        <f t="shared" si="75"/>
        <v>14.407799999999995</v>
      </c>
      <c r="Y1616" t="str">
        <f t="shared" si="76"/>
        <v>Profit</v>
      </c>
      <c r="Z1616" t="str">
        <f t="shared" si="77"/>
        <v>No Discount</v>
      </c>
    </row>
    <row r="1617" spans="1:26" x14ac:dyDescent="0.35">
      <c r="A1617" s="1">
        <v>1616</v>
      </c>
      <c r="B1617" s="2" t="s">
        <v>4329</v>
      </c>
      <c r="C1617" s="3">
        <v>45248</v>
      </c>
      <c r="D1617" s="3">
        <v>45252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>
        <f>YEAR(Table1[[#This Row],[Order Date]])</f>
        <v>2023</v>
      </c>
      <c r="W1617" t="str">
        <f>TEXT(Table1[[#This Row],[Order Date]],"mmm")</f>
        <v>Nov</v>
      </c>
      <c r="X1617">
        <f t="shared" si="75"/>
        <v>1.7591000000000001</v>
      </c>
      <c r="Y1617" t="str">
        <f t="shared" si="76"/>
        <v>Profit</v>
      </c>
      <c r="Z1617" t="str">
        <f t="shared" si="77"/>
        <v>Low</v>
      </c>
    </row>
    <row r="1618" spans="1:26" x14ac:dyDescent="0.35">
      <c r="A1618" s="1">
        <v>1617</v>
      </c>
      <c r="B1618" s="2" t="s">
        <v>4320</v>
      </c>
      <c r="C1618" s="3">
        <v>45248</v>
      </c>
      <c r="D1618" s="3">
        <v>45251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V1618">
        <f>YEAR(Table1[[#This Row],[Order Date]])</f>
        <v>2023</v>
      </c>
      <c r="W1618" t="str">
        <f>TEXT(Table1[[#This Row],[Order Date]],"mmm")</f>
        <v>Nov</v>
      </c>
      <c r="X1618">
        <f t="shared" si="75"/>
        <v>-3.7379999999999995</v>
      </c>
      <c r="Y1618" t="str">
        <f t="shared" si="76"/>
        <v>Loss</v>
      </c>
      <c r="Z1618" t="str">
        <f t="shared" si="77"/>
        <v>High</v>
      </c>
    </row>
    <row r="1619" spans="1:26" x14ac:dyDescent="0.35">
      <c r="A1619" s="1">
        <v>1618</v>
      </c>
      <c r="B1619" s="2" t="s">
        <v>4331</v>
      </c>
      <c r="C1619" s="3">
        <v>45248</v>
      </c>
      <c r="D1619" s="3">
        <v>45255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</v>
      </c>
      <c r="T1619" s="1">
        <v>0</v>
      </c>
      <c r="U1619" s="1">
        <v>55.016000000000005</v>
      </c>
      <c r="V1619">
        <f>YEAR(Table1[[#This Row],[Order Date]])</f>
        <v>2023</v>
      </c>
      <c r="W1619" t="str">
        <f>TEXT(Table1[[#This Row],[Order Date]],"mmm")</f>
        <v>Nov</v>
      </c>
      <c r="X1619">
        <f t="shared" si="75"/>
        <v>27.508000000000003</v>
      </c>
      <c r="Y1619" t="str">
        <f t="shared" si="76"/>
        <v>Profit</v>
      </c>
      <c r="Z1619" t="str">
        <f t="shared" si="77"/>
        <v>No Discount</v>
      </c>
    </row>
    <row r="1620" spans="1:26" x14ac:dyDescent="0.35">
      <c r="A1620" s="1">
        <v>1619</v>
      </c>
      <c r="B1620" s="2" t="s">
        <v>4334</v>
      </c>
      <c r="C1620" s="3">
        <v>45248</v>
      </c>
      <c r="D1620" s="3">
        <v>45250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V1620">
        <f>YEAR(Table1[[#This Row],[Order Date]])</f>
        <v>2023</v>
      </c>
      <c r="W1620" t="str">
        <f>TEXT(Table1[[#This Row],[Order Date]],"mmm")</f>
        <v>Nov</v>
      </c>
      <c r="X1620">
        <f t="shared" si="75"/>
        <v>-49.633199999999988</v>
      </c>
      <c r="Y1620" t="str">
        <f t="shared" si="76"/>
        <v>Loss</v>
      </c>
      <c r="Z1620" t="str">
        <f t="shared" si="77"/>
        <v>High</v>
      </c>
    </row>
    <row r="1621" spans="1:26" x14ac:dyDescent="0.35">
      <c r="A1621" s="1">
        <v>1620</v>
      </c>
      <c r="B1621" s="2" t="s">
        <v>4320</v>
      </c>
      <c r="C1621" s="3">
        <v>45248</v>
      </c>
      <c r="D1621" s="3">
        <v>45251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V1621">
        <f>YEAR(Table1[[#This Row],[Order Date]])</f>
        <v>2023</v>
      </c>
      <c r="W1621" t="str">
        <f>TEXT(Table1[[#This Row],[Order Date]],"mmm")</f>
        <v>Nov</v>
      </c>
      <c r="X1621">
        <f t="shared" si="75"/>
        <v>-43.815000000000012</v>
      </c>
      <c r="Y1621" t="str">
        <f t="shared" si="76"/>
        <v>Loss</v>
      </c>
      <c r="Z1621" t="str">
        <f t="shared" si="77"/>
        <v>High</v>
      </c>
    </row>
    <row r="1622" spans="1:26" x14ac:dyDescent="0.35">
      <c r="A1622" s="1">
        <v>1621</v>
      </c>
      <c r="B1622" s="2" t="s">
        <v>4331</v>
      </c>
      <c r="C1622" s="3">
        <v>45248</v>
      </c>
      <c r="D1622" s="3">
        <v>45255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</v>
      </c>
      <c r="T1622" s="1">
        <v>0</v>
      </c>
      <c r="U1622" s="1">
        <v>94.926000000000045</v>
      </c>
      <c r="V1622">
        <f>YEAR(Table1[[#This Row],[Order Date]])</f>
        <v>2023</v>
      </c>
      <c r="W1622" t="str">
        <f>TEXT(Table1[[#This Row],[Order Date]],"mmm")</f>
        <v>Nov</v>
      </c>
      <c r="X1622">
        <f t="shared" si="75"/>
        <v>23.731500000000011</v>
      </c>
      <c r="Y1622" t="str">
        <f t="shared" si="76"/>
        <v>Profit</v>
      </c>
      <c r="Z1622" t="str">
        <f t="shared" si="77"/>
        <v>No Discount</v>
      </c>
    </row>
    <row r="1623" spans="1:26" x14ac:dyDescent="0.35">
      <c r="A1623" s="1">
        <v>1622</v>
      </c>
      <c r="B1623" s="2" t="s">
        <v>4341</v>
      </c>
      <c r="C1623" s="3">
        <v>45248</v>
      </c>
      <c r="D1623" s="3">
        <v>45255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V1623">
        <f>YEAR(Table1[[#This Row],[Order Date]])</f>
        <v>2023</v>
      </c>
      <c r="W1623" t="str">
        <f>TEXT(Table1[[#This Row],[Order Date]],"mmm")</f>
        <v>Nov</v>
      </c>
      <c r="X1623">
        <f t="shared" si="75"/>
        <v>-4.7784000000000022</v>
      </c>
      <c r="Y1623" t="str">
        <f t="shared" si="76"/>
        <v>Loss</v>
      </c>
      <c r="Z1623" t="str">
        <f t="shared" si="77"/>
        <v>High</v>
      </c>
    </row>
    <row r="1624" spans="1:26" x14ac:dyDescent="0.35">
      <c r="A1624" s="1">
        <v>1623</v>
      </c>
      <c r="B1624" s="2" t="s">
        <v>4346</v>
      </c>
      <c r="C1624" s="3">
        <v>45248</v>
      </c>
      <c r="D1624" s="3">
        <v>45253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V1624">
        <f>YEAR(Table1[[#This Row],[Order Date]])</f>
        <v>2023</v>
      </c>
      <c r="W1624" t="str">
        <f>TEXT(Table1[[#This Row],[Order Date]],"mmm")</f>
        <v>Nov</v>
      </c>
      <c r="X1624">
        <f t="shared" si="75"/>
        <v>-1.0824000000000003</v>
      </c>
      <c r="Y1624" t="str">
        <f t="shared" si="76"/>
        <v>Loss</v>
      </c>
      <c r="Z1624" t="str">
        <f t="shared" si="77"/>
        <v>High</v>
      </c>
    </row>
    <row r="1625" spans="1:26" x14ac:dyDescent="0.35">
      <c r="A1625" s="1">
        <v>1624</v>
      </c>
      <c r="B1625" s="2" t="s">
        <v>4329</v>
      </c>
      <c r="C1625" s="3">
        <v>45248</v>
      </c>
      <c r="D1625" s="3">
        <v>45252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V1625">
        <f>YEAR(Table1[[#This Row],[Order Date]])</f>
        <v>2023</v>
      </c>
      <c r="W1625" t="str">
        <f>TEXT(Table1[[#This Row],[Order Date]],"mmm")</f>
        <v>Nov</v>
      </c>
      <c r="X1625">
        <f t="shared" si="75"/>
        <v>-40.797600000000003</v>
      </c>
      <c r="Y1625" t="str">
        <f t="shared" si="76"/>
        <v>Loss</v>
      </c>
      <c r="Z1625" t="str">
        <f t="shared" si="77"/>
        <v>High</v>
      </c>
    </row>
    <row r="1626" spans="1:26" x14ac:dyDescent="0.35">
      <c r="A1626" s="1">
        <v>1625</v>
      </c>
      <c r="B1626" s="2" t="s">
        <v>4329</v>
      </c>
      <c r="C1626" s="3">
        <v>45248</v>
      </c>
      <c r="D1626" s="3">
        <v>45252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V1626">
        <f>YEAR(Table1[[#This Row],[Order Date]])</f>
        <v>2023</v>
      </c>
      <c r="W1626" t="str">
        <f>TEXT(Table1[[#This Row],[Order Date]],"mmm")</f>
        <v>Nov</v>
      </c>
      <c r="X1626">
        <f t="shared" si="75"/>
        <v>-0.4751999999999999</v>
      </c>
      <c r="Y1626" t="str">
        <f t="shared" si="76"/>
        <v>Loss</v>
      </c>
      <c r="Z1626" t="str">
        <f t="shared" si="77"/>
        <v>High</v>
      </c>
    </row>
    <row r="1627" spans="1:26" x14ac:dyDescent="0.35">
      <c r="A1627" s="1">
        <v>1626</v>
      </c>
      <c r="B1627" s="2" t="s">
        <v>4320</v>
      </c>
      <c r="C1627" s="3">
        <v>45248</v>
      </c>
      <c r="D1627" s="3">
        <v>45251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V1627">
        <f>YEAR(Table1[[#This Row],[Order Date]])</f>
        <v>2023</v>
      </c>
      <c r="W1627" t="str">
        <f>TEXT(Table1[[#This Row],[Order Date]],"mmm")</f>
        <v>Nov</v>
      </c>
      <c r="X1627">
        <f t="shared" si="75"/>
        <v>-1.6388000000000005</v>
      </c>
      <c r="Y1627" t="str">
        <f t="shared" si="76"/>
        <v>Loss</v>
      </c>
      <c r="Z1627" t="str">
        <f t="shared" si="77"/>
        <v>High</v>
      </c>
    </row>
    <row r="1628" spans="1:26" x14ac:dyDescent="0.35">
      <c r="A1628" s="1">
        <v>1627</v>
      </c>
      <c r="B1628" s="2" t="s">
        <v>4334</v>
      </c>
      <c r="C1628" s="3">
        <v>45248</v>
      </c>
      <c r="D1628" s="3">
        <v>45250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</v>
      </c>
      <c r="T1628" s="1">
        <v>0.2</v>
      </c>
      <c r="U1628" s="1">
        <v>12.5328</v>
      </c>
      <c r="V1628">
        <f>YEAR(Table1[[#This Row],[Order Date]])</f>
        <v>2023</v>
      </c>
      <c r="W1628" t="str">
        <f>TEXT(Table1[[#This Row],[Order Date]],"mmm")</f>
        <v>Nov</v>
      </c>
      <c r="X1628">
        <f t="shared" si="75"/>
        <v>3.1332</v>
      </c>
      <c r="Y1628" t="str">
        <f t="shared" si="76"/>
        <v>Profit</v>
      </c>
      <c r="Z1628" t="str">
        <f t="shared" si="77"/>
        <v>Low</v>
      </c>
    </row>
    <row r="1629" spans="1:26" x14ac:dyDescent="0.35">
      <c r="A1629" s="1">
        <v>1628</v>
      </c>
      <c r="B1629" s="2" t="s">
        <v>4351</v>
      </c>
      <c r="C1629" s="3">
        <v>45248</v>
      </c>
      <c r="D1629" s="3">
        <v>45251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</v>
      </c>
      <c r="T1629" s="1">
        <v>0</v>
      </c>
      <c r="U1629" s="1">
        <v>9.8909999999999982</v>
      </c>
      <c r="V1629">
        <f>YEAR(Table1[[#This Row],[Order Date]])</f>
        <v>2023</v>
      </c>
      <c r="W1629" t="str">
        <f>TEXT(Table1[[#This Row],[Order Date]],"mmm")</f>
        <v>Nov</v>
      </c>
      <c r="X1629">
        <f t="shared" si="75"/>
        <v>1.4129999999999998</v>
      </c>
      <c r="Y1629" t="str">
        <f t="shared" si="76"/>
        <v>Profit</v>
      </c>
      <c r="Z1629" t="str">
        <f t="shared" si="77"/>
        <v>No Discount</v>
      </c>
    </row>
    <row r="1630" spans="1:26" x14ac:dyDescent="0.35">
      <c r="A1630" s="1">
        <v>1629</v>
      </c>
      <c r="B1630" s="2" t="s">
        <v>4320</v>
      </c>
      <c r="C1630" s="3">
        <v>45248</v>
      </c>
      <c r="D1630" s="3">
        <v>45251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</v>
      </c>
      <c r="T1630" s="1">
        <v>0.2</v>
      </c>
      <c r="U1630" s="1">
        <v>-66.801000000000045</v>
      </c>
      <c r="V1630">
        <f>YEAR(Table1[[#This Row],[Order Date]])</f>
        <v>2023</v>
      </c>
      <c r="W1630" t="str">
        <f>TEXT(Table1[[#This Row],[Order Date]],"mmm")</f>
        <v>Nov</v>
      </c>
      <c r="X1630">
        <f t="shared" si="75"/>
        <v>-13.36020000000001</v>
      </c>
      <c r="Y1630" t="str">
        <f t="shared" si="76"/>
        <v>Loss</v>
      </c>
      <c r="Z1630" t="str">
        <f t="shared" si="77"/>
        <v>Low</v>
      </c>
    </row>
    <row r="1631" spans="1:26" x14ac:dyDescent="0.35">
      <c r="A1631" s="1">
        <v>1630</v>
      </c>
      <c r="B1631" s="2" t="s">
        <v>4353</v>
      </c>
      <c r="C1631" s="3">
        <v>45248</v>
      </c>
      <c r="D1631" s="3">
        <v>45250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>
        <f>YEAR(Table1[[#This Row],[Order Date]])</f>
        <v>2023</v>
      </c>
      <c r="W1631" t="str">
        <f>TEXT(Table1[[#This Row],[Order Date]],"mmm")</f>
        <v>Nov</v>
      </c>
      <c r="X1631">
        <f t="shared" si="75"/>
        <v>3.3575000000000004</v>
      </c>
      <c r="Y1631" t="str">
        <f t="shared" si="76"/>
        <v>Profit</v>
      </c>
      <c r="Z1631" t="str">
        <f t="shared" si="77"/>
        <v>No Discount</v>
      </c>
    </row>
    <row r="1632" spans="1:26" x14ac:dyDescent="0.35">
      <c r="A1632" s="1">
        <v>1631</v>
      </c>
      <c r="B1632" s="2" t="s">
        <v>4329</v>
      </c>
      <c r="C1632" s="3">
        <v>45248</v>
      </c>
      <c r="D1632" s="3">
        <v>45252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>
        <f>YEAR(Table1[[#This Row],[Order Date]])</f>
        <v>2023</v>
      </c>
      <c r="W1632" t="str">
        <f>TEXT(Table1[[#This Row],[Order Date]],"mmm")</f>
        <v>Nov</v>
      </c>
      <c r="X1632">
        <f t="shared" si="75"/>
        <v>-16.318300000000001</v>
      </c>
      <c r="Y1632" t="str">
        <f t="shared" si="76"/>
        <v>Loss</v>
      </c>
      <c r="Z1632" t="str">
        <f t="shared" si="77"/>
        <v>Low</v>
      </c>
    </row>
    <row r="1633" spans="1:26" x14ac:dyDescent="0.35">
      <c r="A1633" s="1">
        <v>1632</v>
      </c>
      <c r="B1633" s="2" t="s">
        <v>4329</v>
      </c>
      <c r="C1633" s="3">
        <v>45248</v>
      </c>
      <c r="D1633" s="3">
        <v>45252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V1633">
        <f>YEAR(Table1[[#This Row],[Order Date]])</f>
        <v>2023</v>
      </c>
      <c r="W1633" t="str">
        <f>TEXT(Table1[[#This Row],[Order Date]],"mmm")</f>
        <v>Nov</v>
      </c>
      <c r="X1633">
        <f t="shared" si="75"/>
        <v>-17.998800000000003</v>
      </c>
      <c r="Y1633" t="str">
        <f t="shared" si="76"/>
        <v>Loss</v>
      </c>
      <c r="Z1633" t="str">
        <f t="shared" si="77"/>
        <v>Medium</v>
      </c>
    </row>
    <row r="1634" spans="1:26" x14ac:dyDescent="0.35">
      <c r="A1634" s="1">
        <v>1633</v>
      </c>
      <c r="B1634" s="2" t="s">
        <v>4346</v>
      </c>
      <c r="C1634" s="3">
        <v>45248</v>
      </c>
      <c r="D1634" s="3">
        <v>45253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>
        <f>YEAR(Table1[[#This Row],[Order Date]])</f>
        <v>2023</v>
      </c>
      <c r="W1634" t="str">
        <f>TEXT(Table1[[#This Row],[Order Date]],"mmm")</f>
        <v>Nov</v>
      </c>
      <c r="X1634">
        <f t="shared" si="75"/>
        <v>-1.0387</v>
      </c>
      <c r="Y1634" t="str">
        <f t="shared" si="76"/>
        <v>Loss</v>
      </c>
      <c r="Z1634" t="str">
        <f t="shared" si="77"/>
        <v>Medium</v>
      </c>
    </row>
    <row r="1635" spans="1:26" x14ac:dyDescent="0.35">
      <c r="A1635" s="1">
        <v>1634</v>
      </c>
      <c r="B1635" s="2" t="s">
        <v>4362</v>
      </c>
      <c r="C1635" s="3">
        <v>45249</v>
      </c>
      <c r="D1635" s="3">
        <v>45255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1025.8799999999999</v>
      </c>
      <c r="S1635" s="1">
        <v>6</v>
      </c>
      <c r="T1635" s="1">
        <v>0</v>
      </c>
      <c r="U1635" s="1">
        <v>235.95240000000001</v>
      </c>
      <c r="V1635">
        <f>YEAR(Table1[[#This Row],[Order Date]])</f>
        <v>2023</v>
      </c>
      <c r="W1635" t="str">
        <f>TEXT(Table1[[#This Row],[Order Date]],"mmm")</f>
        <v>Nov</v>
      </c>
      <c r="X1635">
        <f t="shared" si="75"/>
        <v>39.325400000000002</v>
      </c>
      <c r="Y1635" t="str">
        <f t="shared" si="76"/>
        <v>Profit</v>
      </c>
      <c r="Z1635" t="str">
        <f t="shared" si="77"/>
        <v>No Discount</v>
      </c>
    </row>
    <row r="1636" spans="1:26" x14ac:dyDescent="0.35">
      <c r="A1636" s="1">
        <v>1635</v>
      </c>
      <c r="B1636" s="2" t="s">
        <v>4362</v>
      </c>
      <c r="C1636" s="3">
        <v>45249</v>
      </c>
      <c r="D1636" s="3">
        <v>45255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</v>
      </c>
      <c r="T1636" s="1">
        <v>0</v>
      </c>
      <c r="U1636" s="1">
        <v>102.2784</v>
      </c>
      <c r="V1636">
        <f>YEAR(Table1[[#This Row],[Order Date]])</f>
        <v>2023</v>
      </c>
      <c r="W1636" t="str">
        <f>TEXT(Table1[[#This Row],[Order Date]],"mmm")</f>
        <v>Nov</v>
      </c>
      <c r="X1636">
        <f t="shared" si="75"/>
        <v>14.6112</v>
      </c>
      <c r="Y1636" t="str">
        <f t="shared" si="76"/>
        <v>Profit</v>
      </c>
      <c r="Z1636" t="str">
        <f t="shared" si="77"/>
        <v>No Discount</v>
      </c>
    </row>
    <row r="1637" spans="1:26" x14ac:dyDescent="0.35">
      <c r="A1637" s="1">
        <v>1636</v>
      </c>
      <c r="B1637" s="2" t="s">
        <v>4362</v>
      </c>
      <c r="C1637" s="3">
        <v>45249</v>
      </c>
      <c r="D1637" s="3">
        <v>45255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>
        <f>YEAR(Table1[[#This Row],[Order Date]])</f>
        <v>2023</v>
      </c>
      <c r="W1637" t="str">
        <f>TEXT(Table1[[#This Row],[Order Date]],"mmm")</f>
        <v>Nov</v>
      </c>
      <c r="X1637">
        <f t="shared" si="75"/>
        <v>2.2907999999999999</v>
      </c>
      <c r="Y1637" t="str">
        <f t="shared" si="76"/>
        <v>Profit</v>
      </c>
      <c r="Z1637" t="str">
        <f t="shared" si="77"/>
        <v>No Discount</v>
      </c>
    </row>
    <row r="1638" spans="1:26" x14ac:dyDescent="0.35">
      <c r="A1638" s="1">
        <v>1637</v>
      </c>
      <c r="B1638" s="2" t="s">
        <v>4362</v>
      </c>
      <c r="C1638" s="3">
        <v>45249</v>
      </c>
      <c r="D1638" s="3">
        <v>45255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</v>
      </c>
      <c r="T1638" s="1">
        <v>0</v>
      </c>
      <c r="U1638" s="1">
        <v>10.799999999999999</v>
      </c>
      <c r="V1638">
        <f>YEAR(Table1[[#This Row],[Order Date]])</f>
        <v>2023</v>
      </c>
      <c r="W1638" t="str">
        <f>TEXT(Table1[[#This Row],[Order Date]],"mmm")</f>
        <v>Nov</v>
      </c>
      <c r="X1638">
        <f t="shared" si="75"/>
        <v>1.7999999999999998</v>
      </c>
      <c r="Y1638" t="str">
        <f t="shared" si="76"/>
        <v>Profit</v>
      </c>
      <c r="Z1638" t="str">
        <f t="shared" si="77"/>
        <v>No Discount</v>
      </c>
    </row>
    <row r="1639" spans="1:26" x14ac:dyDescent="0.35">
      <c r="A1639" s="1">
        <v>1638</v>
      </c>
      <c r="B1639" s="2" t="s">
        <v>4365</v>
      </c>
      <c r="C1639" s="3">
        <v>45249</v>
      </c>
      <c r="D1639" s="3">
        <v>45254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  <c r="V1639">
        <f>YEAR(Table1[[#This Row],[Order Date]])</f>
        <v>2023</v>
      </c>
      <c r="W1639" t="str">
        <f>TEXT(Table1[[#This Row],[Order Date]],"mmm")</f>
        <v>Nov</v>
      </c>
      <c r="X1639">
        <f t="shared" si="75"/>
        <v>26.630399999999998</v>
      </c>
      <c r="Y1639" t="str">
        <f t="shared" si="76"/>
        <v>Profit</v>
      </c>
      <c r="Z1639" t="str">
        <f t="shared" si="77"/>
        <v>No Discount</v>
      </c>
    </row>
    <row r="1640" spans="1:26" x14ac:dyDescent="0.35">
      <c r="A1640" s="1">
        <v>1639</v>
      </c>
      <c r="B1640" s="2" t="s">
        <v>4371</v>
      </c>
      <c r="C1640" s="3">
        <v>45249</v>
      </c>
      <c r="D1640" s="3">
        <v>45252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</v>
      </c>
      <c r="T1640" s="1">
        <v>0.2</v>
      </c>
      <c r="U1640" s="1">
        <v>1.9844999999999995</v>
      </c>
      <c r="V1640">
        <f>YEAR(Table1[[#This Row],[Order Date]])</f>
        <v>2023</v>
      </c>
      <c r="W1640" t="str">
        <f>TEXT(Table1[[#This Row],[Order Date]],"mmm")</f>
        <v>Nov</v>
      </c>
      <c r="X1640">
        <f t="shared" si="75"/>
        <v>1.9844999999999995</v>
      </c>
      <c r="Y1640" t="str">
        <f t="shared" si="76"/>
        <v>Profit</v>
      </c>
      <c r="Z1640" t="str">
        <f t="shared" si="77"/>
        <v>Low</v>
      </c>
    </row>
    <row r="1641" spans="1:26" x14ac:dyDescent="0.35">
      <c r="A1641" s="1">
        <v>1640</v>
      </c>
      <c r="B1641" s="2" t="s">
        <v>4376</v>
      </c>
      <c r="C1641" s="3">
        <v>45249</v>
      </c>
      <c r="D1641" s="3">
        <v>45254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</v>
      </c>
      <c r="T1641" s="1">
        <v>0</v>
      </c>
      <c r="U1641" s="1">
        <v>57.501599999999996</v>
      </c>
      <c r="V1641">
        <f>YEAR(Table1[[#This Row],[Order Date]])</f>
        <v>2023</v>
      </c>
      <c r="W1641" t="str">
        <f>TEXT(Table1[[#This Row],[Order Date]],"mmm")</f>
        <v>Nov</v>
      </c>
      <c r="X1641">
        <f t="shared" si="75"/>
        <v>14.375399999999999</v>
      </c>
      <c r="Y1641" t="str">
        <f t="shared" si="76"/>
        <v>Profit</v>
      </c>
      <c r="Z1641" t="str">
        <f t="shared" si="77"/>
        <v>No Discount</v>
      </c>
    </row>
    <row r="1642" spans="1:26" x14ac:dyDescent="0.35">
      <c r="A1642" s="1">
        <v>1641</v>
      </c>
      <c r="B1642" s="2" t="s">
        <v>4378</v>
      </c>
      <c r="C1642" s="3">
        <v>45249</v>
      </c>
      <c r="D1642" s="3">
        <v>45254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</v>
      </c>
      <c r="S1642" s="1">
        <v>2</v>
      </c>
      <c r="T1642" s="1">
        <v>0</v>
      </c>
      <c r="U1642" s="1">
        <v>7.25</v>
      </c>
      <c r="V1642">
        <f>YEAR(Table1[[#This Row],[Order Date]])</f>
        <v>2023</v>
      </c>
      <c r="W1642" t="str">
        <f>TEXT(Table1[[#This Row],[Order Date]],"mmm")</f>
        <v>Nov</v>
      </c>
      <c r="X1642">
        <f t="shared" si="75"/>
        <v>3.625</v>
      </c>
      <c r="Y1642" t="str">
        <f t="shared" si="76"/>
        <v>Profit</v>
      </c>
      <c r="Z1642" t="str">
        <f t="shared" si="77"/>
        <v>No Discount</v>
      </c>
    </row>
    <row r="1643" spans="1:26" x14ac:dyDescent="0.35">
      <c r="A1643" s="1">
        <v>1642</v>
      </c>
      <c r="B1643" s="2" t="s">
        <v>4382</v>
      </c>
      <c r="C1643" s="3">
        <v>45249</v>
      </c>
      <c r="D1643" s="3">
        <v>45251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V1643">
        <f>YEAR(Table1[[#This Row],[Order Date]])</f>
        <v>2023</v>
      </c>
      <c r="W1643" t="str">
        <f>TEXT(Table1[[#This Row],[Order Date]],"mmm")</f>
        <v>Nov</v>
      </c>
      <c r="X1643">
        <f t="shared" si="75"/>
        <v>-1.187400000000002</v>
      </c>
      <c r="Y1643" t="str">
        <f t="shared" si="76"/>
        <v>Loss</v>
      </c>
      <c r="Z1643" t="str">
        <f t="shared" si="77"/>
        <v>Low</v>
      </c>
    </row>
    <row r="1644" spans="1:26" x14ac:dyDescent="0.35">
      <c r="A1644" s="1">
        <v>1643</v>
      </c>
      <c r="B1644" s="2" t="s">
        <v>4376</v>
      </c>
      <c r="C1644" s="3">
        <v>45249</v>
      </c>
      <c r="D1644" s="3">
        <v>45254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281.96999999999997</v>
      </c>
      <c r="S1644" s="1">
        <v>3</v>
      </c>
      <c r="T1644" s="1">
        <v>0</v>
      </c>
      <c r="U1644" s="1">
        <v>78.951599999999999</v>
      </c>
      <c r="V1644">
        <f>YEAR(Table1[[#This Row],[Order Date]])</f>
        <v>2023</v>
      </c>
      <c r="W1644" t="str">
        <f>TEXT(Table1[[#This Row],[Order Date]],"mmm")</f>
        <v>Nov</v>
      </c>
      <c r="X1644">
        <f t="shared" si="75"/>
        <v>26.3172</v>
      </c>
      <c r="Y1644" t="str">
        <f t="shared" si="76"/>
        <v>Profit</v>
      </c>
      <c r="Z1644" t="str">
        <f t="shared" si="77"/>
        <v>No Discount</v>
      </c>
    </row>
    <row r="1645" spans="1:26" x14ac:dyDescent="0.35">
      <c r="A1645" s="1">
        <v>1644</v>
      </c>
      <c r="B1645" s="2" t="s">
        <v>4383</v>
      </c>
      <c r="C1645" s="3">
        <v>45249</v>
      </c>
      <c r="D1645" s="3">
        <v>45253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4548.8100000000004</v>
      </c>
      <c r="S1645" s="1">
        <v>7</v>
      </c>
      <c r="T1645" s="1">
        <v>0</v>
      </c>
      <c r="U1645" s="1">
        <v>1228.1787000000004</v>
      </c>
      <c r="V1645">
        <f>YEAR(Table1[[#This Row],[Order Date]])</f>
        <v>2023</v>
      </c>
      <c r="W1645" t="str">
        <f>TEXT(Table1[[#This Row],[Order Date]],"mmm")</f>
        <v>Nov</v>
      </c>
      <c r="X1645">
        <f t="shared" si="75"/>
        <v>175.45410000000007</v>
      </c>
      <c r="Y1645" t="str">
        <f t="shared" si="76"/>
        <v>Profit</v>
      </c>
      <c r="Z1645" t="str">
        <f t="shared" si="77"/>
        <v>No Discount</v>
      </c>
    </row>
    <row r="1646" spans="1:26" x14ac:dyDescent="0.35">
      <c r="A1646" s="1">
        <v>1645</v>
      </c>
      <c r="B1646" s="2" t="s">
        <v>4378</v>
      </c>
      <c r="C1646" s="3">
        <v>45249</v>
      </c>
      <c r="D1646" s="3">
        <v>45254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</v>
      </c>
      <c r="T1646" s="1">
        <v>0</v>
      </c>
      <c r="U1646" s="1">
        <v>131.02960000000002</v>
      </c>
      <c r="V1646">
        <f>YEAR(Table1[[#This Row],[Order Date]])</f>
        <v>2023</v>
      </c>
      <c r="W1646" t="str">
        <f>TEXT(Table1[[#This Row],[Order Date]],"mmm")</f>
        <v>Nov</v>
      </c>
      <c r="X1646">
        <f t="shared" si="75"/>
        <v>32.757400000000004</v>
      </c>
      <c r="Y1646" t="str">
        <f t="shared" si="76"/>
        <v>Profit</v>
      </c>
      <c r="Z1646" t="str">
        <f t="shared" si="77"/>
        <v>No Discount</v>
      </c>
    </row>
    <row r="1647" spans="1:26" x14ac:dyDescent="0.35">
      <c r="A1647" s="1">
        <v>1646</v>
      </c>
      <c r="B1647" s="2" t="s">
        <v>4378</v>
      </c>
      <c r="C1647" s="3">
        <v>45249</v>
      </c>
      <c r="D1647" s="3">
        <v>45254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149.94999999999999</v>
      </c>
      <c r="S1647" s="1">
        <v>5</v>
      </c>
      <c r="T1647" s="1">
        <v>0</v>
      </c>
      <c r="U1647" s="1">
        <v>41.986000000000004</v>
      </c>
      <c r="V1647">
        <f>YEAR(Table1[[#This Row],[Order Date]])</f>
        <v>2023</v>
      </c>
      <c r="W1647" t="str">
        <f>TEXT(Table1[[#This Row],[Order Date]],"mmm")</f>
        <v>Nov</v>
      </c>
      <c r="X1647">
        <f t="shared" si="75"/>
        <v>8.3972000000000016</v>
      </c>
      <c r="Y1647" t="str">
        <f t="shared" si="76"/>
        <v>Profit</v>
      </c>
      <c r="Z1647" t="str">
        <f t="shared" si="77"/>
        <v>No Discount</v>
      </c>
    </row>
    <row r="1648" spans="1:26" x14ac:dyDescent="0.35">
      <c r="A1648" s="1">
        <v>1647</v>
      </c>
      <c r="B1648" s="2" t="s">
        <v>4388</v>
      </c>
      <c r="C1648" s="3">
        <v>45250</v>
      </c>
      <c r="D1648" s="3">
        <v>45255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  <c r="V1648">
        <f>YEAR(Table1[[#This Row],[Order Date]])</f>
        <v>2023</v>
      </c>
      <c r="W1648" t="str">
        <f>TEXT(Table1[[#This Row],[Order Date]],"mmm")</f>
        <v>Nov</v>
      </c>
      <c r="X1648">
        <f t="shared" si="75"/>
        <v>1.5119999999999998</v>
      </c>
      <c r="Y1648" t="str">
        <f t="shared" si="76"/>
        <v>Profit</v>
      </c>
      <c r="Z1648" t="str">
        <f t="shared" si="77"/>
        <v>Low</v>
      </c>
    </row>
    <row r="1649" spans="1:26" x14ac:dyDescent="0.35">
      <c r="A1649" s="1">
        <v>1648</v>
      </c>
      <c r="B1649" s="2" t="s">
        <v>4388</v>
      </c>
      <c r="C1649" s="3">
        <v>45250</v>
      </c>
      <c r="D1649" s="3">
        <v>45255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</v>
      </c>
      <c r="T1649" s="1">
        <v>0</v>
      </c>
      <c r="U1649" s="1">
        <v>17.37</v>
      </c>
      <c r="V1649">
        <f>YEAR(Table1[[#This Row],[Order Date]])</f>
        <v>2023</v>
      </c>
      <c r="W1649" t="str">
        <f>TEXT(Table1[[#This Row],[Order Date]],"mmm")</f>
        <v>Nov</v>
      </c>
      <c r="X1649">
        <f t="shared" si="75"/>
        <v>5.79</v>
      </c>
      <c r="Y1649" t="str">
        <f t="shared" si="76"/>
        <v>Profit</v>
      </c>
      <c r="Z1649" t="str">
        <f t="shared" si="77"/>
        <v>No Discount</v>
      </c>
    </row>
    <row r="1650" spans="1:26" x14ac:dyDescent="0.35">
      <c r="A1650" s="1">
        <v>1649</v>
      </c>
      <c r="B1650" s="2" t="s">
        <v>4388</v>
      </c>
      <c r="C1650" s="3">
        <v>45250</v>
      </c>
      <c r="D1650" s="3">
        <v>45255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</v>
      </c>
      <c r="T1650" s="1">
        <v>0</v>
      </c>
      <c r="U1650" s="1">
        <v>12.441600000000001</v>
      </c>
      <c r="V1650">
        <f>YEAR(Table1[[#This Row],[Order Date]])</f>
        <v>2023</v>
      </c>
      <c r="W1650" t="str">
        <f>TEXT(Table1[[#This Row],[Order Date]],"mmm")</f>
        <v>Nov</v>
      </c>
      <c r="X1650">
        <f t="shared" si="75"/>
        <v>3.1104000000000003</v>
      </c>
      <c r="Y1650" t="str">
        <f t="shared" si="76"/>
        <v>Profit</v>
      </c>
      <c r="Z1650" t="str">
        <f t="shared" si="77"/>
        <v>No Discount</v>
      </c>
    </row>
    <row r="1651" spans="1:26" x14ac:dyDescent="0.35">
      <c r="A1651" s="1">
        <v>1650</v>
      </c>
      <c r="B1651" s="2" t="s">
        <v>4388</v>
      </c>
      <c r="C1651" s="3">
        <v>45250</v>
      </c>
      <c r="D1651" s="3">
        <v>45255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</v>
      </c>
      <c r="T1651" s="1">
        <v>0</v>
      </c>
      <c r="U1651" s="1">
        <v>216.8244</v>
      </c>
      <c r="V1651">
        <f>YEAR(Table1[[#This Row],[Order Date]])</f>
        <v>2023</v>
      </c>
      <c r="W1651" t="str">
        <f>TEXT(Table1[[#This Row],[Order Date]],"mmm")</f>
        <v>Nov</v>
      </c>
      <c r="X1651">
        <f t="shared" si="75"/>
        <v>36.1374</v>
      </c>
      <c r="Y1651" t="str">
        <f t="shared" si="76"/>
        <v>Profit</v>
      </c>
      <c r="Z1651" t="str">
        <f t="shared" si="77"/>
        <v>No Discount</v>
      </c>
    </row>
    <row r="1652" spans="1:26" x14ac:dyDescent="0.35">
      <c r="A1652" s="1">
        <v>1651</v>
      </c>
      <c r="B1652" s="2" t="s">
        <v>4393</v>
      </c>
      <c r="C1652" s="3">
        <v>45251</v>
      </c>
      <c r="D1652" s="3">
        <v>45256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</v>
      </c>
      <c r="T1652" s="1">
        <v>0</v>
      </c>
      <c r="U1652" s="1">
        <v>1.4742000000000002</v>
      </c>
      <c r="V1652">
        <f>YEAR(Table1[[#This Row],[Order Date]])</f>
        <v>2023</v>
      </c>
      <c r="W1652" t="str">
        <f>TEXT(Table1[[#This Row],[Order Date]],"mmm")</f>
        <v>Nov</v>
      </c>
      <c r="X1652">
        <f t="shared" si="75"/>
        <v>0.49140000000000006</v>
      </c>
      <c r="Y1652" t="str">
        <f t="shared" si="76"/>
        <v>Profit</v>
      </c>
      <c r="Z1652" t="str">
        <f t="shared" si="77"/>
        <v>No Discount</v>
      </c>
    </row>
    <row r="1653" spans="1:26" x14ac:dyDescent="0.35">
      <c r="A1653" s="1">
        <v>1652</v>
      </c>
      <c r="B1653" s="2" t="s">
        <v>4396</v>
      </c>
      <c r="C1653" s="3">
        <v>45251</v>
      </c>
      <c r="D1653" s="3">
        <v>45257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V1653">
        <f>YEAR(Table1[[#This Row],[Order Date]])</f>
        <v>2023</v>
      </c>
      <c r="W1653" t="str">
        <f>TEXT(Table1[[#This Row],[Order Date]],"mmm")</f>
        <v>Nov</v>
      </c>
      <c r="X1653">
        <f t="shared" si="75"/>
        <v>0.55079999999999985</v>
      </c>
      <c r="Y1653" t="str">
        <f t="shared" si="76"/>
        <v>Profit</v>
      </c>
      <c r="Z1653" t="str">
        <f t="shared" si="77"/>
        <v>Low</v>
      </c>
    </row>
    <row r="1654" spans="1:26" x14ac:dyDescent="0.35">
      <c r="A1654" s="1">
        <v>1653</v>
      </c>
      <c r="B1654" s="2" t="s">
        <v>4399</v>
      </c>
      <c r="C1654" s="3">
        <v>45251</v>
      </c>
      <c r="D1654" s="3">
        <v>45256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</v>
      </c>
      <c r="T1654" s="1">
        <v>0</v>
      </c>
      <c r="U1654" s="1">
        <v>3.0267999999999997</v>
      </c>
      <c r="V1654">
        <f>YEAR(Table1[[#This Row],[Order Date]])</f>
        <v>2023</v>
      </c>
      <c r="W1654" t="str">
        <f>TEXT(Table1[[#This Row],[Order Date]],"mmm")</f>
        <v>Nov</v>
      </c>
      <c r="X1654">
        <f t="shared" si="75"/>
        <v>1.5133999999999999</v>
      </c>
      <c r="Y1654" t="str">
        <f t="shared" si="76"/>
        <v>Profit</v>
      </c>
      <c r="Z1654" t="str">
        <f t="shared" si="77"/>
        <v>No Discount</v>
      </c>
    </row>
    <row r="1655" spans="1:26" x14ac:dyDescent="0.35">
      <c r="A1655" s="1">
        <v>1654</v>
      </c>
      <c r="B1655" s="2" t="s">
        <v>4404</v>
      </c>
      <c r="C1655" s="3">
        <v>45251</v>
      </c>
      <c r="D1655" s="3">
        <v>45256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</v>
      </c>
      <c r="T1655" s="1">
        <v>0</v>
      </c>
      <c r="U1655" s="1">
        <v>6.2208000000000006</v>
      </c>
      <c r="V1655">
        <f>YEAR(Table1[[#This Row],[Order Date]])</f>
        <v>2023</v>
      </c>
      <c r="W1655" t="str">
        <f>TEXT(Table1[[#This Row],[Order Date]],"mmm")</f>
        <v>Nov</v>
      </c>
      <c r="X1655">
        <f t="shared" si="75"/>
        <v>3.1104000000000003</v>
      </c>
      <c r="Y1655" t="str">
        <f t="shared" si="76"/>
        <v>Profit</v>
      </c>
      <c r="Z1655" t="str">
        <f t="shared" si="77"/>
        <v>No Discount</v>
      </c>
    </row>
    <row r="1656" spans="1:26" x14ac:dyDescent="0.35">
      <c r="A1656" s="1">
        <v>1655</v>
      </c>
      <c r="B1656" s="2" t="s">
        <v>4393</v>
      </c>
      <c r="C1656" s="3">
        <v>45251</v>
      </c>
      <c r="D1656" s="3">
        <v>45256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629.09999999999991</v>
      </c>
      <c r="S1656" s="1">
        <v>6</v>
      </c>
      <c r="T1656" s="1">
        <v>0</v>
      </c>
      <c r="U1656" s="1">
        <v>301.96799999999996</v>
      </c>
      <c r="V1656">
        <f>YEAR(Table1[[#This Row],[Order Date]])</f>
        <v>2023</v>
      </c>
      <c r="W1656" t="str">
        <f>TEXT(Table1[[#This Row],[Order Date]],"mmm")</f>
        <v>Nov</v>
      </c>
      <c r="X1656">
        <f t="shared" si="75"/>
        <v>50.327999999999996</v>
      </c>
      <c r="Y1656" t="str">
        <f t="shared" si="76"/>
        <v>Profit</v>
      </c>
      <c r="Z1656" t="str">
        <f t="shared" si="77"/>
        <v>No Discount</v>
      </c>
    </row>
    <row r="1657" spans="1:26" x14ac:dyDescent="0.35">
      <c r="A1657" s="1">
        <v>1656</v>
      </c>
      <c r="B1657" s="2" t="s">
        <v>4393</v>
      </c>
      <c r="C1657" s="3">
        <v>45251</v>
      </c>
      <c r="D1657" s="3">
        <v>45256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193.95000000000002</v>
      </c>
      <c r="S1657" s="1">
        <v>3</v>
      </c>
      <c r="T1657" s="1">
        <v>0</v>
      </c>
      <c r="U1657" s="1">
        <v>9.6974999999999838</v>
      </c>
      <c r="V1657">
        <f>YEAR(Table1[[#This Row],[Order Date]])</f>
        <v>2023</v>
      </c>
      <c r="W1657" t="str">
        <f>TEXT(Table1[[#This Row],[Order Date]],"mmm")</f>
        <v>Nov</v>
      </c>
      <c r="X1657">
        <f t="shared" si="75"/>
        <v>3.2324999999999946</v>
      </c>
      <c r="Y1657" t="str">
        <f t="shared" si="76"/>
        <v>Profit</v>
      </c>
      <c r="Z1657" t="str">
        <f t="shared" si="77"/>
        <v>No Discount</v>
      </c>
    </row>
    <row r="1658" spans="1:26" x14ac:dyDescent="0.35">
      <c r="A1658" s="1">
        <v>1657</v>
      </c>
      <c r="B1658" s="2" t="s">
        <v>4399</v>
      </c>
      <c r="C1658" s="3">
        <v>45251</v>
      </c>
      <c r="D1658" s="3">
        <v>45256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</v>
      </c>
      <c r="T1658" s="1">
        <v>0</v>
      </c>
      <c r="U1658" s="1">
        <v>28.496999999999986</v>
      </c>
      <c r="V1658">
        <f>YEAR(Table1[[#This Row],[Order Date]])</f>
        <v>2023</v>
      </c>
      <c r="W1658" t="str">
        <f>TEXT(Table1[[#This Row],[Order Date]],"mmm")</f>
        <v>Nov</v>
      </c>
      <c r="X1658">
        <f t="shared" si="75"/>
        <v>28.496999999999986</v>
      </c>
      <c r="Y1658" t="str">
        <f t="shared" si="76"/>
        <v>Profit</v>
      </c>
      <c r="Z1658" t="str">
        <f t="shared" si="77"/>
        <v>No Discount</v>
      </c>
    </row>
    <row r="1659" spans="1:26" x14ac:dyDescent="0.35">
      <c r="A1659" s="1">
        <v>1658</v>
      </c>
      <c r="B1659" s="2" t="s">
        <v>4393</v>
      </c>
      <c r="C1659" s="3">
        <v>45251</v>
      </c>
      <c r="D1659" s="3">
        <v>45256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</v>
      </c>
      <c r="T1659" s="1">
        <v>0</v>
      </c>
      <c r="U1659" s="1">
        <v>9.9873000000000012</v>
      </c>
      <c r="V1659">
        <f>YEAR(Table1[[#This Row],[Order Date]])</f>
        <v>2023</v>
      </c>
      <c r="W1659" t="str">
        <f>TEXT(Table1[[#This Row],[Order Date]],"mmm")</f>
        <v>Nov</v>
      </c>
      <c r="X1659">
        <f t="shared" si="75"/>
        <v>9.9873000000000012</v>
      </c>
      <c r="Y1659" t="str">
        <f t="shared" si="76"/>
        <v>Profit</v>
      </c>
      <c r="Z1659" t="str">
        <f t="shared" si="77"/>
        <v>No Discount</v>
      </c>
    </row>
    <row r="1660" spans="1:26" x14ac:dyDescent="0.35">
      <c r="A1660" s="1">
        <v>1659</v>
      </c>
      <c r="B1660" s="2" t="s">
        <v>4396</v>
      </c>
      <c r="C1660" s="3">
        <v>45251</v>
      </c>
      <c r="D1660" s="3">
        <v>45257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V1660">
        <f>YEAR(Table1[[#This Row],[Order Date]])</f>
        <v>2023</v>
      </c>
      <c r="W1660" t="str">
        <f>TEXT(Table1[[#This Row],[Order Date]],"mmm")</f>
        <v>Nov</v>
      </c>
      <c r="X1660">
        <f t="shared" si="75"/>
        <v>3.3495000000000035</v>
      </c>
      <c r="Y1660" t="str">
        <f t="shared" si="76"/>
        <v>Profit</v>
      </c>
      <c r="Z1660" t="str">
        <f t="shared" si="77"/>
        <v>Low</v>
      </c>
    </row>
    <row r="1661" spans="1:26" x14ac:dyDescent="0.35">
      <c r="A1661" s="1">
        <v>1660</v>
      </c>
      <c r="B1661" s="2" t="s">
        <v>4407</v>
      </c>
      <c r="C1661" s="3">
        <v>45252</v>
      </c>
      <c r="D1661" s="3">
        <v>45257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  <c r="V1661">
        <f>YEAR(Table1[[#This Row],[Order Date]])</f>
        <v>2023</v>
      </c>
      <c r="W1661" t="str">
        <f>TEXT(Table1[[#This Row],[Order Date]],"mmm")</f>
        <v>Nov</v>
      </c>
      <c r="X1661">
        <f t="shared" si="75"/>
        <v>96.767200000000003</v>
      </c>
      <c r="Y1661" t="str">
        <f t="shared" si="76"/>
        <v>Profit</v>
      </c>
      <c r="Z1661" t="str">
        <f t="shared" si="77"/>
        <v>No Discount</v>
      </c>
    </row>
    <row r="1662" spans="1:26" x14ac:dyDescent="0.35">
      <c r="A1662" s="1">
        <v>1661</v>
      </c>
      <c r="B1662" s="2" t="s">
        <v>4407</v>
      </c>
      <c r="C1662" s="3">
        <v>45252</v>
      </c>
      <c r="D1662" s="3">
        <v>45257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  <c r="V1662">
        <f>YEAR(Table1[[#This Row],[Order Date]])</f>
        <v>2023</v>
      </c>
      <c r="W1662" t="str">
        <f>TEXT(Table1[[#This Row],[Order Date]],"mmm")</f>
        <v>Nov</v>
      </c>
      <c r="X1662">
        <f t="shared" si="75"/>
        <v>31.350200000000001</v>
      </c>
      <c r="Y1662" t="str">
        <f t="shared" si="76"/>
        <v>Profit</v>
      </c>
      <c r="Z1662" t="str">
        <f t="shared" si="77"/>
        <v>No Discount</v>
      </c>
    </row>
    <row r="1663" spans="1:26" x14ac:dyDescent="0.35">
      <c r="A1663" s="1">
        <v>1662</v>
      </c>
      <c r="B1663" s="2" t="s">
        <v>4410</v>
      </c>
      <c r="C1663" s="3">
        <v>45252</v>
      </c>
      <c r="D1663" s="3">
        <v>45255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V1663">
        <f>YEAR(Table1[[#This Row],[Order Date]])</f>
        <v>2023</v>
      </c>
      <c r="W1663" t="str">
        <f>TEXT(Table1[[#This Row],[Order Date]],"mmm")</f>
        <v>Nov</v>
      </c>
      <c r="X1663">
        <f t="shared" si="75"/>
        <v>-11.084800000000005</v>
      </c>
      <c r="Y1663" t="str">
        <f t="shared" si="76"/>
        <v>Loss</v>
      </c>
      <c r="Z1663" t="str">
        <f t="shared" si="77"/>
        <v>High</v>
      </c>
    </row>
    <row r="1664" spans="1:26" x14ac:dyDescent="0.35">
      <c r="A1664" s="1">
        <v>1663</v>
      </c>
      <c r="B1664" s="2" t="s">
        <v>4411</v>
      </c>
      <c r="C1664" s="3">
        <v>45252</v>
      </c>
      <c r="D1664" s="3">
        <v>45258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V1664">
        <f>YEAR(Table1[[#This Row],[Order Date]])</f>
        <v>2023</v>
      </c>
      <c r="W1664" t="str">
        <f>TEXT(Table1[[#This Row],[Order Date]],"mmm")</f>
        <v>Nov</v>
      </c>
      <c r="X1664">
        <f t="shared" si="75"/>
        <v>-3.2934000000000005</v>
      </c>
      <c r="Y1664" t="str">
        <f t="shared" si="76"/>
        <v>Loss</v>
      </c>
      <c r="Z1664" t="str">
        <f t="shared" si="77"/>
        <v>High</v>
      </c>
    </row>
    <row r="1665" spans="1:26" x14ac:dyDescent="0.35">
      <c r="A1665" s="1">
        <v>1664</v>
      </c>
      <c r="B1665" s="2" t="s">
        <v>4407</v>
      </c>
      <c r="C1665" s="3">
        <v>45252</v>
      </c>
      <c r="D1665" s="3">
        <v>45257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</v>
      </c>
      <c r="T1665" s="1">
        <v>0</v>
      </c>
      <c r="U1665" s="1">
        <v>5.3391999999999991</v>
      </c>
      <c r="V1665">
        <f>YEAR(Table1[[#This Row],[Order Date]])</f>
        <v>2023</v>
      </c>
      <c r="W1665" t="str">
        <f>TEXT(Table1[[#This Row],[Order Date]],"mmm")</f>
        <v>Nov</v>
      </c>
      <c r="X1665">
        <f t="shared" si="75"/>
        <v>2.6695999999999995</v>
      </c>
      <c r="Y1665" t="str">
        <f t="shared" si="76"/>
        <v>Profit</v>
      </c>
      <c r="Z1665" t="str">
        <f t="shared" si="77"/>
        <v>No Discount</v>
      </c>
    </row>
    <row r="1666" spans="1:26" x14ac:dyDescent="0.35">
      <c r="A1666" s="1">
        <v>1665</v>
      </c>
      <c r="B1666" s="2" t="s">
        <v>4407</v>
      </c>
      <c r="C1666" s="3">
        <v>45252</v>
      </c>
      <c r="D1666" s="3">
        <v>45257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  <c r="V1666">
        <f>YEAR(Table1[[#This Row],[Order Date]])</f>
        <v>2023</v>
      </c>
      <c r="W1666" t="str">
        <f>TEXT(Table1[[#This Row],[Order Date]],"mmm")</f>
        <v>Nov</v>
      </c>
      <c r="X1666">
        <f t="shared" ref="X1666:X1729" si="78">IFERROR(U1666/S1666,0)</f>
        <v>2.6509</v>
      </c>
      <c r="Y1666" t="str">
        <f t="shared" ref="Y1666:Y1729" si="79">IF(U1666&gt;0,"Profit",IF(U1666&lt;0,"Loss","Break-even"))</f>
        <v>Profit</v>
      </c>
      <c r="Z1666" t="str">
        <f t="shared" ref="Z1666:Z1729" si="80">IF(T1666=0,"No Discount",IF(T1666&lt;=0.2,"Low",IF(T1666&lt;=0.4,"Medium","High")))</f>
        <v>No Discount</v>
      </c>
    </row>
    <row r="1667" spans="1:26" x14ac:dyDescent="0.35">
      <c r="A1667" s="1">
        <v>1666</v>
      </c>
      <c r="B1667" s="2" t="s">
        <v>4417</v>
      </c>
      <c r="C1667" s="3">
        <v>45252</v>
      </c>
      <c r="D1667" s="3">
        <v>45255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9.9600000000000009</v>
      </c>
      <c r="S1667" s="1">
        <v>2</v>
      </c>
      <c r="T1667" s="1">
        <v>0</v>
      </c>
      <c r="U1667" s="1">
        <v>4.8804000000000007</v>
      </c>
      <c r="V1667">
        <f>YEAR(Table1[[#This Row],[Order Date]])</f>
        <v>2023</v>
      </c>
      <c r="W1667" t="str">
        <f>TEXT(Table1[[#This Row],[Order Date]],"mmm")</f>
        <v>Nov</v>
      </c>
      <c r="X1667">
        <f t="shared" si="78"/>
        <v>2.4402000000000004</v>
      </c>
      <c r="Y1667" t="str">
        <f t="shared" si="79"/>
        <v>Profit</v>
      </c>
      <c r="Z1667" t="str">
        <f t="shared" si="80"/>
        <v>No Discount</v>
      </c>
    </row>
    <row r="1668" spans="1:26" x14ac:dyDescent="0.35">
      <c r="A1668" s="1">
        <v>1667</v>
      </c>
      <c r="B1668" s="2" t="s">
        <v>4420</v>
      </c>
      <c r="C1668" s="3">
        <v>45252</v>
      </c>
      <c r="D1668" s="3">
        <v>45256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53.820000000000007</v>
      </c>
      <c r="S1668" s="1">
        <v>9</v>
      </c>
      <c r="T1668" s="1">
        <v>0</v>
      </c>
      <c r="U1668" s="1">
        <v>24.218999999999998</v>
      </c>
      <c r="V1668">
        <f>YEAR(Table1[[#This Row],[Order Date]])</f>
        <v>2023</v>
      </c>
      <c r="W1668" t="str">
        <f>TEXT(Table1[[#This Row],[Order Date]],"mmm")</f>
        <v>Nov</v>
      </c>
      <c r="X1668">
        <f t="shared" si="78"/>
        <v>2.6909999999999998</v>
      </c>
      <c r="Y1668" t="str">
        <f t="shared" si="79"/>
        <v>Profit</v>
      </c>
      <c r="Z1668" t="str">
        <f t="shared" si="80"/>
        <v>No Discount</v>
      </c>
    </row>
    <row r="1669" spans="1:26" x14ac:dyDescent="0.35">
      <c r="A1669" s="1">
        <v>1668</v>
      </c>
      <c r="B1669" s="2" t="s">
        <v>4423</v>
      </c>
      <c r="C1669" s="3">
        <v>45253</v>
      </c>
      <c r="D1669" s="3">
        <v>45255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V1669">
        <f>YEAR(Table1[[#This Row],[Order Date]])</f>
        <v>2023</v>
      </c>
      <c r="W1669" t="str">
        <f>TEXT(Table1[[#This Row],[Order Date]],"mmm")</f>
        <v>Nov</v>
      </c>
      <c r="X1669">
        <f t="shared" si="78"/>
        <v>11.919999999999987</v>
      </c>
      <c r="Y1669" t="str">
        <f t="shared" si="79"/>
        <v>Profit</v>
      </c>
      <c r="Z1669" t="str">
        <f t="shared" si="80"/>
        <v>Low</v>
      </c>
    </row>
    <row r="1670" spans="1:26" x14ac:dyDescent="0.35">
      <c r="A1670" s="1">
        <v>1669</v>
      </c>
      <c r="B1670" s="2" t="s">
        <v>4423</v>
      </c>
      <c r="C1670" s="3">
        <v>45253</v>
      </c>
      <c r="D1670" s="3">
        <v>45255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>
        <f>YEAR(Table1[[#This Row],[Order Date]])</f>
        <v>2023</v>
      </c>
      <c r="W1670" t="str">
        <f>TEXT(Table1[[#This Row],[Order Date]],"mmm")</f>
        <v>Nov</v>
      </c>
      <c r="X1670">
        <f t="shared" si="78"/>
        <v>-13.588200000000001</v>
      </c>
      <c r="Y1670" t="str">
        <f t="shared" si="79"/>
        <v>Loss</v>
      </c>
      <c r="Z1670" t="str">
        <f t="shared" si="80"/>
        <v>Low</v>
      </c>
    </row>
    <row r="1671" spans="1:26" x14ac:dyDescent="0.35">
      <c r="A1671" s="1">
        <v>1670</v>
      </c>
      <c r="B1671" s="2" t="s">
        <v>4426</v>
      </c>
      <c r="C1671" s="3">
        <v>45253</v>
      </c>
      <c r="D1671" s="3">
        <v>45256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V1671">
        <f>YEAR(Table1[[#This Row],[Order Date]])</f>
        <v>2023</v>
      </c>
      <c r="W1671" t="str">
        <f>TEXT(Table1[[#This Row],[Order Date]],"mmm")</f>
        <v>Nov</v>
      </c>
      <c r="X1671">
        <f t="shared" si="78"/>
        <v>-17.756799999999998</v>
      </c>
      <c r="Y1671" t="str">
        <f t="shared" si="79"/>
        <v>Loss</v>
      </c>
      <c r="Z1671" t="str">
        <f t="shared" si="80"/>
        <v>Medium</v>
      </c>
    </row>
    <row r="1672" spans="1:26" x14ac:dyDescent="0.35">
      <c r="A1672" s="1">
        <v>1671</v>
      </c>
      <c r="B1672" s="2" t="s">
        <v>4429</v>
      </c>
      <c r="C1672" s="3">
        <v>45253</v>
      </c>
      <c r="D1672" s="3">
        <v>45257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V1672">
        <f>YEAR(Table1[[#This Row],[Order Date]])</f>
        <v>2023</v>
      </c>
      <c r="W1672" t="str">
        <f>TEXT(Table1[[#This Row],[Order Date]],"mmm")</f>
        <v>Nov</v>
      </c>
      <c r="X1672">
        <f t="shared" si="78"/>
        <v>-1.2735999999999992</v>
      </c>
      <c r="Y1672" t="str">
        <f t="shared" si="79"/>
        <v>Loss</v>
      </c>
      <c r="Z1672" t="str">
        <f t="shared" si="80"/>
        <v>High</v>
      </c>
    </row>
    <row r="1673" spans="1:26" x14ac:dyDescent="0.35">
      <c r="A1673" s="1">
        <v>1672</v>
      </c>
      <c r="B1673" s="2" t="s">
        <v>4429</v>
      </c>
      <c r="C1673" s="3">
        <v>45253</v>
      </c>
      <c r="D1673" s="3">
        <v>45257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V1673">
        <f>YEAR(Table1[[#This Row],[Order Date]])</f>
        <v>2023</v>
      </c>
      <c r="W1673" t="str">
        <f>TEXT(Table1[[#This Row],[Order Date]],"mmm")</f>
        <v>Nov</v>
      </c>
      <c r="X1673">
        <f t="shared" si="78"/>
        <v>-29.049600000000009</v>
      </c>
      <c r="Y1673" t="str">
        <f t="shared" si="79"/>
        <v>Loss</v>
      </c>
      <c r="Z1673" t="str">
        <f t="shared" si="80"/>
        <v>High</v>
      </c>
    </row>
    <row r="1674" spans="1:26" x14ac:dyDescent="0.35">
      <c r="A1674" s="1">
        <v>1673</v>
      </c>
      <c r="B1674" s="2" t="s">
        <v>4433</v>
      </c>
      <c r="C1674" s="3">
        <v>45253</v>
      </c>
      <c r="D1674" s="3">
        <v>45257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14.669999999999998</v>
      </c>
      <c r="S1674" s="1">
        <v>3</v>
      </c>
      <c r="T1674" s="1">
        <v>0</v>
      </c>
      <c r="U1674" s="1">
        <v>6.7481999999999989</v>
      </c>
      <c r="V1674">
        <f>YEAR(Table1[[#This Row],[Order Date]])</f>
        <v>2023</v>
      </c>
      <c r="W1674" t="str">
        <f>TEXT(Table1[[#This Row],[Order Date]],"mmm")</f>
        <v>Nov</v>
      </c>
      <c r="X1674">
        <f t="shared" si="78"/>
        <v>2.2493999999999996</v>
      </c>
      <c r="Y1674" t="str">
        <f t="shared" si="79"/>
        <v>Profit</v>
      </c>
      <c r="Z1674" t="str">
        <f t="shared" si="80"/>
        <v>No Discount</v>
      </c>
    </row>
    <row r="1675" spans="1:26" x14ac:dyDescent="0.35">
      <c r="A1675" s="1">
        <v>1674</v>
      </c>
      <c r="B1675" s="2" t="s">
        <v>4436</v>
      </c>
      <c r="C1675" s="3">
        <v>45253</v>
      </c>
      <c r="D1675" s="3">
        <v>45258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V1675">
        <f>YEAR(Table1[[#This Row],[Order Date]])</f>
        <v>2023</v>
      </c>
      <c r="W1675" t="str">
        <f>TEXT(Table1[[#This Row],[Order Date]],"mmm")</f>
        <v>Nov</v>
      </c>
      <c r="X1675">
        <f t="shared" si="78"/>
        <v>2.9339999999999993</v>
      </c>
      <c r="Y1675" t="str">
        <f t="shared" si="79"/>
        <v>Profit</v>
      </c>
      <c r="Z1675" t="str">
        <f t="shared" si="80"/>
        <v>Low</v>
      </c>
    </row>
    <row r="1676" spans="1:26" x14ac:dyDescent="0.35">
      <c r="A1676" s="1">
        <v>1675</v>
      </c>
      <c r="B1676" s="2" t="s">
        <v>4440</v>
      </c>
      <c r="C1676" s="3">
        <v>45253</v>
      </c>
      <c r="D1676" s="3">
        <v>45258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V1676">
        <f>YEAR(Table1[[#This Row],[Order Date]])</f>
        <v>2023</v>
      </c>
      <c r="W1676" t="str">
        <f>TEXT(Table1[[#This Row],[Order Date]],"mmm")</f>
        <v>Nov</v>
      </c>
      <c r="X1676">
        <f t="shared" si="78"/>
        <v>7.0659000000000001</v>
      </c>
      <c r="Y1676" t="str">
        <f t="shared" si="79"/>
        <v>Profit</v>
      </c>
      <c r="Z1676" t="str">
        <f t="shared" si="80"/>
        <v>Low</v>
      </c>
    </row>
    <row r="1677" spans="1:26" x14ac:dyDescent="0.35">
      <c r="A1677" s="1">
        <v>1676</v>
      </c>
      <c r="B1677" s="2" t="s">
        <v>4423</v>
      </c>
      <c r="C1677" s="3">
        <v>45253</v>
      </c>
      <c r="D1677" s="3">
        <v>45255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</v>
      </c>
      <c r="T1677" s="1">
        <v>0</v>
      </c>
      <c r="U1677" s="1">
        <v>10.4832</v>
      </c>
      <c r="V1677">
        <f>YEAR(Table1[[#This Row],[Order Date]])</f>
        <v>2023</v>
      </c>
      <c r="W1677" t="str">
        <f>TEXT(Table1[[#This Row],[Order Date]],"mmm")</f>
        <v>Nov</v>
      </c>
      <c r="X1677">
        <f t="shared" si="78"/>
        <v>3.4944000000000002</v>
      </c>
      <c r="Y1677" t="str">
        <f t="shared" si="79"/>
        <v>Profit</v>
      </c>
      <c r="Z1677" t="str">
        <f t="shared" si="80"/>
        <v>No Discount</v>
      </c>
    </row>
    <row r="1678" spans="1:26" x14ac:dyDescent="0.35">
      <c r="A1678" s="1">
        <v>1677</v>
      </c>
      <c r="B1678" s="2" t="s">
        <v>4445</v>
      </c>
      <c r="C1678" s="3">
        <v>45253</v>
      </c>
      <c r="D1678" s="3">
        <v>45259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23.680000000000003</v>
      </c>
      <c r="S1678" s="1">
        <v>2</v>
      </c>
      <c r="T1678" s="1">
        <v>0.2</v>
      </c>
      <c r="U1678" s="1">
        <v>8.879999999999999</v>
      </c>
      <c r="V1678">
        <f>YEAR(Table1[[#This Row],[Order Date]])</f>
        <v>2023</v>
      </c>
      <c r="W1678" t="str">
        <f>TEXT(Table1[[#This Row],[Order Date]],"mmm")</f>
        <v>Nov</v>
      </c>
      <c r="X1678">
        <f t="shared" si="78"/>
        <v>4.4399999999999995</v>
      </c>
      <c r="Y1678" t="str">
        <f t="shared" si="79"/>
        <v>Profit</v>
      </c>
      <c r="Z1678" t="str">
        <f t="shared" si="80"/>
        <v>Low</v>
      </c>
    </row>
    <row r="1679" spans="1:26" x14ac:dyDescent="0.35">
      <c r="A1679" s="1">
        <v>1678</v>
      </c>
      <c r="B1679" s="2" t="s">
        <v>4423</v>
      </c>
      <c r="C1679" s="3">
        <v>45253</v>
      </c>
      <c r="D1679" s="3">
        <v>45255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</v>
      </c>
      <c r="T1679" s="1">
        <v>0</v>
      </c>
      <c r="U1679" s="1">
        <v>6.2978999999999985</v>
      </c>
      <c r="V1679">
        <f>YEAR(Table1[[#This Row],[Order Date]])</f>
        <v>2023</v>
      </c>
      <c r="W1679" t="str">
        <f>TEXT(Table1[[#This Row],[Order Date]],"mmm")</f>
        <v>Nov</v>
      </c>
      <c r="X1679">
        <f t="shared" si="78"/>
        <v>6.2978999999999985</v>
      </c>
      <c r="Y1679" t="str">
        <f t="shared" si="79"/>
        <v>Profit</v>
      </c>
      <c r="Z1679" t="str">
        <f t="shared" si="80"/>
        <v>No Discount</v>
      </c>
    </row>
    <row r="1680" spans="1:26" x14ac:dyDescent="0.35">
      <c r="A1680" s="1">
        <v>1679</v>
      </c>
      <c r="B1680" s="2" t="s">
        <v>4429</v>
      </c>
      <c r="C1680" s="3">
        <v>45253</v>
      </c>
      <c r="D1680" s="3">
        <v>45257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V1680">
        <f>YEAR(Table1[[#This Row],[Order Date]])</f>
        <v>2023</v>
      </c>
      <c r="W1680" t="str">
        <f>TEXT(Table1[[#This Row],[Order Date]],"mmm")</f>
        <v>Nov</v>
      </c>
      <c r="X1680">
        <f t="shared" si="78"/>
        <v>0.23760000000000009</v>
      </c>
      <c r="Y1680" t="str">
        <f t="shared" si="79"/>
        <v>Profit</v>
      </c>
      <c r="Z1680" t="str">
        <f t="shared" si="80"/>
        <v>Low</v>
      </c>
    </row>
    <row r="1681" spans="1:26" x14ac:dyDescent="0.35">
      <c r="A1681" s="1">
        <v>1680</v>
      </c>
      <c r="B1681" s="2" t="s">
        <v>4446</v>
      </c>
      <c r="C1681" s="3">
        <v>45254</v>
      </c>
      <c r="D1681" s="3">
        <v>45254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V1681">
        <f>YEAR(Table1[[#This Row],[Order Date]])</f>
        <v>2023</v>
      </c>
      <c r="W1681" t="str">
        <f>TEXT(Table1[[#This Row],[Order Date]],"mmm")</f>
        <v>Nov</v>
      </c>
      <c r="X1681">
        <f t="shared" si="78"/>
        <v>-11.639200000000008</v>
      </c>
      <c r="Y1681" t="str">
        <f t="shared" si="79"/>
        <v>Loss</v>
      </c>
      <c r="Z1681" t="str">
        <f t="shared" si="80"/>
        <v>Medium</v>
      </c>
    </row>
    <row r="1682" spans="1:26" x14ac:dyDescent="0.35">
      <c r="A1682" s="1">
        <v>1681</v>
      </c>
      <c r="B1682" s="2" t="s">
        <v>4449</v>
      </c>
      <c r="C1682" s="3">
        <v>45254</v>
      </c>
      <c r="D1682" s="3">
        <v>45256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V1682">
        <f>YEAR(Table1[[#This Row],[Order Date]])</f>
        <v>2023</v>
      </c>
      <c r="W1682" t="str">
        <f>TEXT(Table1[[#This Row],[Order Date]],"mmm")</f>
        <v>Nov</v>
      </c>
      <c r="X1682">
        <f t="shared" si="78"/>
        <v>-18.106799999999993</v>
      </c>
      <c r="Y1682" t="str">
        <f t="shared" si="79"/>
        <v>Loss</v>
      </c>
      <c r="Z1682" t="str">
        <f t="shared" si="80"/>
        <v>Low</v>
      </c>
    </row>
    <row r="1683" spans="1:26" x14ac:dyDescent="0.35">
      <c r="A1683" s="1">
        <v>1682</v>
      </c>
      <c r="B1683" s="2" t="s">
        <v>4453</v>
      </c>
      <c r="C1683" s="3">
        <v>45254</v>
      </c>
      <c r="D1683" s="3">
        <v>45256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</v>
      </c>
      <c r="T1683" s="1">
        <v>0</v>
      </c>
      <c r="U1683" s="1">
        <v>27.309599999999989</v>
      </c>
      <c r="V1683">
        <f>YEAR(Table1[[#This Row],[Order Date]])</f>
        <v>2023</v>
      </c>
      <c r="W1683" t="str">
        <f>TEXT(Table1[[#This Row],[Order Date]],"mmm")</f>
        <v>Nov</v>
      </c>
      <c r="X1683">
        <f t="shared" si="78"/>
        <v>6.8273999999999972</v>
      </c>
      <c r="Y1683" t="str">
        <f t="shared" si="79"/>
        <v>Profit</v>
      </c>
      <c r="Z1683" t="str">
        <f t="shared" si="80"/>
        <v>No Discount</v>
      </c>
    </row>
    <row r="1684" spans="1:26" x14ac:dyDescent="0.35">
      <c r="A1684" s="1">
        <v>1683</v>
      </c>
      <c r="B1684" s="2" t="s">
        <v>4454</v>
      </c>
      <c r="C1684" s="3">
        <v>45254</v>
      </c>
      <c r="D1684" s="3">
        <v>45259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</v>
      </c>
      <c r="T1684" s="1">
        <v>0</v>
      </c>
      <c r="U1684" s="1">
        <v>48.906000000000006</v>
      </c>
      <c r="V1684">
        <f>YEAR(Table1[[#This Row],[Order Date]])</f>
        <v>2023</v>
      </c>
      <c r="W1684" t="str">
        <f>TEXT(Table1[[#This Row],[Order Date]],"mmm")</f>
        <v>Nov</v>
      </c>
      <c r="X1684">
        <f t="shared" si="78"/>
        <v>9.7812000000000019</v>
      </c>
      <c r="Y1684" t="str">
        <f t="shared" si="79"/>
        <v>Profit</v>
      </c>
      <c r="Z1684" t="str">
        <f t="shared" si="80"/>
        <v>No Discount</v>
      </c>
    </row>
    <row r="1685" spans="1:26" x14ac:dyDescent="0.35">
      <c r="A1685" s="1">
        <v>1684</v>
      </c>
      <c r="B1685" s="2" t="s">
        <v>4457</v>
      </c>
      <c r="C1685" s="3">
        <v>45254</v>
      </c>
      <c r="D1685" s="3">
        <v>45259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V1685">
        <f>YEAR(Table1[[#This Row],[Order Date]])</f>
        <v>2023</v>
      </c>
      <c r="W1685" t="str">
        <f>TEXT(Table1[[#This Row],[Order Date]],"mmm")</f>
        <v>Nov</v>
      </c>
      <c r="X1685">
        <f t="shared" si="78"/>
        <v>1.3816000000000004</v>
      </c>
      <c r="Y1685" t="str">
        <f t="shared" si="79"/>
        <v>Profit</v>
      </c>
      <c r="Z1685" t="str">
        <f t="shared" si="80"/>
        <v>Low</v>
      </c>
    </row>
    <row r="1686" spans="1:26" x14ac:dyDescent="0.35">
      <c r="A1686" s="1">
        <v>1685</v>
      </c>
      <c r="B1686" s="2" t="s">
        <v>4458</v>
      </c>
      <c r="C1686" s="3">
        <v>45254</v>
      </c>
      <c r="D1686" s="3">
        <v>45259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151.91999999999999</v>
      </c>
      <c r="S1686" s="1">
        <v>4</v>
      </c>
      <c r="T1686" s="1">
        <v>0</v>
      </c>
      <c r="U1686" s="1">
        <v>45.575999999999979</v>
      </c>
      <c r="V1686">
        <f>YEAR(Table1[[#This Row],[Order Date]])</f>
        <v>2023</v>
      </c>
      <c r="W1686" t="str">
        <f>TEXT(Table1[[#This Row],[Order Date]],"mmm")</f>
        <v>Nov</v>
      </c>
      <c r="X1686">
        <f t="shared" si="78"/>
        <v>11.393999999999995</v>
      </c>
      <c r="Y1686" t="str">
        <f t="shared" si="79"/>
        <v>Profit</v>
      </c>
      <c r="Z1686" t="str">
        <f t="shared" si="80"/>
        <v>No Discount</v>
      </c>
    </row>
    <row r="1687" spans="1:26" x14ac:dyDescent="0.35">
      <c r="A1687" s="1">
        <v>1686</v>
      </c>
      <c r="B1687" s="2" t="s">
        <v>4461</v>
      </c>
      <c r="C1687" s="3">
        <v>45254</v>
      </c>
      <c r="D1687" s="3">
        <v>45256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V1687">
        <f>YEAR(Table1[[#This Row],[Order Date]])</f>
        <v>2023</v>
      </c>
      <c r="W1687" t="str">
        <f>TEXT(Table1[[#This Row],[Order Date]],"mmm")</f>
        <v>Nov</v>
      </c>
      <c r="X1687">
        <f t="shared" si="78"/>
        <v>0.42639999999999978</v>
      </c>
      <c r="Y1687" t="str">
        <f t="shared" si="79"/>
        <v>Profit</v>
      </c>
      <c r="Z1687" t="str">
        <f t="shared" si="80"/>
        <v>Low</v>
      </c>
    </row>
    <row r="1688" spans="1:26" x14ac:dyDescent="0.35">
      <c r="A1688" s="1">
        <v>1687</v>
      </c>
      <c r="B1688" s="2" t="s">
        <v>4464</v>
      </c>
      <c r="C1688" s="3">
        <v>45254</v>
      </c>
      <c r="D1688" s="3">
        <v>45260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V1688">
        <f>YEAR(Table1[[#This Row],[Order Date]])</f>
        <v>2023</v>
      </c>
      <c r="W1688" t="str">
        <f>TEXT(Table1[[#This Row],[Order Date]],"mmm")</f>
        <v>Nov</v>
      </c>
      <c r="X1688">
        <f t="shared" si="78"/>
        <v>-1.5311999999999995</v>
      </c>
      <c r="Y1688" t="str">
        <f t="shared" si="79"/>
        <v>Loss</v>
      </c>
      <c r="Z1688" t="str">
        <f t="shared" si="80"/>
        <v>High</v>
      </c>
    </row>
    <row r="1689" spans="1:26" x14ac:dyDescent="0.35">
      <c r="A1689" s="1">
        <v>1688</v>
      </c>
      <c r="B1689" s="2" t="s">
        <v>4469</v>
      </c>
      <c r="C1689" s="3">
        <v>45254</v>
      </c>
      <c r="D1689" s="3">
        <v>45260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V1689">
        <f>YEAR(Table1[[#This Row],[Order Date]])</f>
        <v>2023</v>
      </c>
      <c r="W1689" t="str">
        <f>TEXT(Table1[[#This Row],[Order Date]],"mmm")</f>
        <v>Nov</v>
      </c>
      <c r="X1689">
        <f t="shared" si="78"/>
        <v>0.60479999999999989</v>
      </c>
      <c r="Y1689" t="str">
        <f t="shared" si="79"/>
        <v>Profit</v>
      </c>
      <c r="Z1689" t="str">
        <f t="shared" si="80"/>
        <v>Low</v>
      </c>
    </row>
    <row r="1690" spans="1:26" x14ac:dyDescent="0.35">
      <c r="A1690" s="1">
        <v>1689</v>
      </c>
      <c r="B1690" s="2" t="s">
        <v>4458</v>
      </c>
      <c r="C1690" s="3">
        <v>45254</v>
      </c>
      <c r="D1690" s="3">
        <v>45259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  <c r="V1690">
        <f>YEAR(Table1[[#This Row],[Order Date]])</f>
        <v>2023</v>
      </c>
      <c r="W1690" t="str">
        <f>TEXT(Table1[[#This Row],[Order Date]],"mmm")</f>
        <v>Nov</v>
      </c>
      <c r="X1690">
        <f t="shared" si="78"/>
        <v>48.171900000000001</v>
      </c>
      <c r="Y1690" t="str">
        <f t="shared" si="79"/>
        <v>Profit</v>
      </c>
      <c r="Z1690" t="str">
        <f t="shared" si="80"/>
        <v>No Discount</v>
      </c>
    </row>
    <row r="1691" spans="1:26" x14ac:dyDescent="0.35">
      <c r="A1691" s="1">
        <v>1690</v>
      </c>
      <c r="B1691" s="2" t="s">
        <v>4469</v>
      </c>
      <c r="C1691" s="3">
        <v>45254</v>
      </c>
      <c r="D1691" s="3">
        <v>45260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</v>
      </c>
      <c r="T1691" s="1">
        <v>0</v>
      </c>
      <c r="U1691" s="1">
        <v>12.441600000000001</v>
      </c>
      <c r="V1691">
        <f>YEAR(Table1[[#This Row],[Order Date]])</f>
        <v>2023</v>
      </c>
      <c r="W1691" t="str">
        <f>TEXT(Table1[[#This Row],[Order Date]],"mmm")</f>
        <v>Nov</v>
      </c>
      <c r="X1691">
        <f t="shared" si="78"/>
        <v>3.1104000000000003</v>
      </c>
      <c r="Y1691" t="str">
        <f t="shared" si="79"/>
        <v>Profit</v>
      </c>
      <c r="Z1691" t="str">
        <f t="shared" si="80"/>
        <v>No Discount</v>
      </c>
    </row>
    <row r="1692" spans="1:26" x14ac:dyDescent="0.35">
      <c r="A1692" s="1">
        <v>1691</v>
      </c>
      <c r="B1692" s="2" t="s">
        <v>4458</v>
      </c>
      <c r="C1692" s="3">
        <v>45254</v>
      </c>
      <c r="D1692" s="3">
        <v>45259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</v>
      </c>
      <c r="T1692" s="1">
        <v>0</v>
      </c>
      <c r="U1692" s="1">
        <v>69.177599999999984</v>
      </c>
      <c r="V1692">
        <f>YEAR(Table1[[#This Row],[Order Date]])</f>
        <v>2023</v>
      </c>
      <c r="W1692" t="str">
        <f>TEXT(Table1[[#This Row],[Order Date]],"mmm")</f>
        <v>Nov</v>
      </c>
      <c r="X1692">
        <f t="shared" si="78"/>
        <v>23.059199999999993</v>
      </c>
      <c r="Y1692" t="str">
        <f t="shared" si="79"/>
        <v>Profit</v>
      </c>
      <c r="Z1692" t="str">
        <f t="shared" si="80"/>
        <v>No Discount</v>
      </c>
    </row>
    <row r="1693" spans="1:26" x14ac:dyDescent="0.35">
      <c r="A1693" s="1">
        <v>1692</v>
      </c>
      <c r="B1693" s="2" t="s">
        <v>4458</v>
      </c>
      <c r="C1693" s="3">
        <v>45254</v>
      </c>
      <c r="D1693" s="3">
        <v>45259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</v>
      </c>
      <c r="T1693" s="1">
        <v>0</v>
      </c>
      <c r="U1693" s="1">
        <v>7.98</v>
      </c>
      <c r="V1693">
        <f>YEAR(Table1[[#This Row],[Order Date]])</f>
        <v>2023</v>
      </c>
      <c r="W1693" t="str">
        <f>TEXT(Table1[[#This Row],[Order Date]],"mmm")</f>
        <v>Nov</v>
      </c>
      <c r="X1693">
        <f t="shared" si="78"/>
        <v>3.99</v>
      </c>
      <c r="Y1693" t="str">
        <f t="shared" si="79"/>
        <v>Profit</v>
      </c>
      <c r="Z1693" t="str">
        <f t="shared" si="80"/>
        <v>No Discount</v>
      </c>
    </row>
    <row r="1694" spans="1:26" x14ac:dyDescent="0.35">
      <c r="A1694" s="1">
        <v>1693</v>
      </c>
      <c r="B1694" s="2" t="s">
        <v>4469</v>
      </c>
      <c r="C1694" s="3">
        <v>45254</v>
      </c>
      <c r="D1694" s="3">
        <v>45260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</v>
      </c>
      <c r="T1694" s="1">
        <v>0</v>
      </c>
      <c r="U1694" s="1">
        <v>53.346599999999995</v>
      </c>
      <c r="V1694">
        <f>YEAR(Table1[[#This Row],[Order Date]])</f>
        <v>2023</v>
      </c>
      <c r="W1694" t="str">
        <f>TEXT(Table1[[#This Row],[Order Date]],"mmm")</f>
        <v>Nov</v>
      </c>
      <c r="X1694">
        <f t="shared" si="78"/>
        <v>26.673299999999998</v>
      </c>
      <c r="Y1694" t="str">
        <f t="shared" si="79"/>
        <v>Profit</v>
      </c>
      <c r="Z1694" t="str">
        <f t="shared" si="80"/>
        <v>No Discount</v>
      </c>
    </row>
    <row r="1695" spans="1:26" x14ac:dyDescent="0.35">
      <c r="A1695" s="1">
        <v>1694</v>
      </c>
      <c r="B1695" s="2" t="s">
        <v>4476</v>
      </c>
      <c r="C1695" s="3">
        <v>45254</v>
      </c>
      <c r="D1695" s="3">
        <v>45258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V1695">
        <f>YEAR(Table1[[#This Row],[Order Date]])</f>
        <v>2023</v>
      </c>
      <c r="W1695" t="str">
        <f>TEXT(Table1[[#This Row],[Order Date]],"mmm")</f>
        <v>Nov</v>
      </c>
      <c r="X1695">
        <f t="shared" si="78"/>
        <v>-1.6154999999999973</v>
      </c>
      <c r="Y1695" t="str">
        <f t="shared" si="79"/>
        <v>Loss</v>
      </c>
      <c r="Z1695" t="str">
        <f t="shared" si="80"/>
        <v>Low</v>
      </c>
    </row>
    <row r="1696" spans="1:26" x14ac:dyDescent="0.35">
      <c r="A1696" s="1">
        <v>1695</v>
      </c>
      <c r="B1696" s="2" t="s">
        <v>4469</v>
      </c>
      <c r="C1696" s="3">
        <v>45254</v>
      </c>
      <c r="D1696" s="3">
        <v>45260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</v>
      </c>
      <c r="T1696" s="1">
        <v>0</v>
      </c>
      <c r="U1696" s="1">
        <v>9.7176000000000329</v>
      </c>
      <c r="V1696">
        <f>YEAR(Table1[[#This Row],[Order Date]])</f>
        <v>2023</v>
      </c>
      <c r="W1696" t="str">
        <f>TEXT(Table1[[#This Row],[Order Date]],"mmm")</f>
        <v>Nov</v>
      </c>
      <c r="X1696">
        <f t="shared" si="78"/>
        <v>1.6196000000000055</v>
      </c>
      <c r="Y1696" t="str">
        <f t="shared" si="79"/>
        <v>Profit</v>
      </c>
      <c r="Z1696" t="str">
        <f t="shared" si="80"/>
        <v>No Discount</v>
      </c>
    </row>
    <row r="1697" spans="1:26" x14ac:dyDescent="0.35">
      <c r="A1697" s="1">
        <v>1696</v>
      </c>
      <c r="B1697" s="2" t="s">
        <v>4479</v>
      </c>
      <c r="C1697" s="3">
        <v>45254</v>
      </c>
      <c r="D1697" s="3">
        <v>45259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  <c r="V1697">
        <f>YEAR(Table1[[#This Row],[Order Date]])</f>
        <v>2023</v>
      </c>
      <c r="W1697" t="str">
        <f>TEXT(Table1[[#This Row],[Order Date]],"mmm")</f>
        <v>Nov</v>
      </c>
      <c r="X1697">
        <f t="shared" si="78"/>
        <v>6.2282999999999999</v>
      </c>
      <c r="Y1697" t="str">
        <f t="shared" si="79"/>
        <v>Profit</v>
      </c>
      <c r="Z1697" t="str">
        <f t="shared" si="80"/>
        <v>No Discount</v>
      </c>
    </row>
    <row r="1698" spans="1:26" x14ac:dyDescent="0.35">
      <c r="A1698" s="1">
        <v>1697</v>
      </c>
      <c r="B1698" s="2" t="s">
        <v>4446</v>
      </c>
      <c r="C1698" s="3">
        <v>45254</v>
      </c>
      <c r="D1698" s="3">
        <v>45254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</v>
      </c>
      <c r="T1698" s="1">
        <v>0.4</v>
      </c>
      <c r="U1698" s="1">
        <v>-209.99399999999991</v>
      </c>
      <c r="V1698">
        <f>YEAR(Table1[[#This Row],[Order Date]])</f>
        <v>2023</v>
      </c>
      <c r="W1698" t="str">
        <f>TEXT(Table1[[#This Row],[Order Date]],"mmm")</f>
        <v>Nov</v>
      </c>
      <c r="X1698">
        <f t="shared" si="78"/>
        <v>-41.998799999999981</v>
      </c>
      <c r="Y1698" t="str">
        <f t="shared" si="79"/>
        <v>Loss</v>
      </c>
      <c r="Z1698" t="str">
        <f t="shared" si="80"/>
        <v>Medium</v>
      </c>
    </row>
    <row r="1699" spans="1:26" x14ac:dyDescent="0.35">
      <c r="A1699" s="1">
        <v>1698</v>
      </c>
      <c r="B1699" s="2" t="s">
        <v>4457</v>
      </c>
      <c r="C1699" s="3">
        <v>45254</v>
      </c>
      <c r="D1699" s="3">
        <v>45259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</v>
      </c>
      <c r="T1699" s="1">
        <v>0.4</v>
      </c>
      <c r="U1699" s="1">
        <v>-250.39600000000019</v>
      </c>
      <c r="V1699">
        <f>YEAR(Table1[[#This Row],[Order Date]])</f>
        <v>2023</v>
      </c>
      <c r="W1699" t="str">
        <f>TEXT(Table1[[#This Row],[Order Date]],"mmm")</f>
        <v>Nov</v>
      </c>
      <c r="X1699">
        <f t="shared" si="78"/>
        <v>-62.599000000000046</v>
      </c>
      <c r="Y1699" t="str">
        <f t="shared" si="79"/>
        <v>Loss</v>
      </c>
      <c r="Z1699" t="str">
        <f t="shared" si="80"/>
        <v>Medium</v>
      </c>
    </row>
    <row r="1700" spans="1:26" x14ac:dyDescent="0.35">
      <c r="A1700" s="1">
        <v>1699</v>
      </c>
      <c r="B1700" s="2" t="s">
        <v>4485</v>
      </c>
      <c r="C1700" s="3">
        <v>45254</v>
      </c>
      <c r="D1700" s="3">
        <v>45265</v>
      </c>
      <c r="E1700" s="6" t="s">
        <v>22</v>
      </c>
      <c r="F1700" s="6" t="s">
        <v>4486</v>
      </c>
      <c r="G1700" s="6" t="s">
        <v>4487</v>
      </c>
      <c r="H1700" s="6" t="s">
        <v>74</v>
      </c>
      <c r="I1700" s="6" t="s">
        <v>279</v>
      </c>
      <c r="J1700" s="6" t="s">
        <v>4488</v>
      </c>
      <c r="K1700" s="6" t="s">
        <v>4489</v>
      </c>
      <c r="L1700" s="6" t="s">
        <v>4490</v>
      </c>
      <c r="M1700" s="6" t="s">
        <v>54</v>
      </c>
      <c r="N1700" s="6" t="s">
        <v>3232</v>
      </c>
      <c r="O1700" s="6" t="s">
        <v>65</v>
      </c>
      <c r="P1700" s="6" t="s">
        <v>106</v>
      </c>
      <c r="Q1700" s="6" t="s">
        <v>3233</v>
      </c>
      <c r="R1700" s="6">
        <v>99.12</v>
      </c>
      <c r="S1700" s="6">
        <v>8</v>
      </c>
      <c r="T1700" s="6">
        <v>0</v>
      </c>
      <c r="U1700" s="6">
        <v>35.414400000000001</v>
      </c>
      <c r="V1700">
        <f>YEAR(Table1[[#This Row],[Order Date]])</f>
        <v>2023</v>
      </c>
      <c r="W1700" t="str">
        <f>TEXT(Table1[[#This Row],[Order Date]],"mmm")</f>
        <v>Nov</v>
      </c>
      <c r="X1700">
        <f t="shared" si="78"/>
        <v>4.4268000000000001</v>
      </c>
      <c r="Y1700" t="str">
        <f t="shared" si="79"/>
        <v>Profit</v>
      </c>
      <c r="Z1700" t="str">
        <f t="shared" si="80"/>
        <v>No Discount</v>
      </c>
    </row>
    <row r="1701" spans="1:26" x14ac:dyDescent="0.35">
      <c r="A1701" s="1">
        <v>1700</v>
      </c>
      <c r="B1701" s="2" t="s">
        <v>4485</v>
      </c>
      <c r="C1701" s="3">
        <v>45254</v>
      </c>
      <c r="D1701" s="3">
        <v>45265</v>
      </c>
      <c r="E1701" s="6" t="s">
        <v>22</v>
      </c>
      <c r="F1701" s="6" t="s">
        <v>4486</v>
      </c>
      <c r="G1701" s="6" t="s">
        <v>4487</v>
      </c>
      <c r="H1701" s="6" t="s">
        <v>74</v>
      </c>
      <c r="I1701" s="6" t="s">
        <v>279</v>
      </c>
      <c r="J1701" s="6" t="s">
        <v>4488</v>
      </c>
      <c r="K1701" s="6" t="s">
        <v>4489</v>
      </c>
      <c r="L1701" s="6" t="s">
        <v>4490</v>
      </c>
      <c r="M1701" s="6" t="s">
        <v>54</v>
      </c>
      <c r="N1701" s="6" t="s">
        <v>3232</v>
      </c>
      <c r="O1701" s="6" t="s">
        <v>65</v>
      </c>
      <c r="P1701" s="6" t="s">
        <v>106</v>
      </c>
      <c r="Q1701" s="6" t="s">
        <v>3233</v>
      </c>
      <c r="R1701" s="6">
        <v>99.12</v>
      </c>
      <c r="S1701" s="6">
        <v>8</v>
      </c>
      <c r="T1701" s="6">
        <v>0</v>
      </c>
      <c r="U1701" s="6">
        <v>35.414400000000001</v>
      </c>
      <c r="V1701">
        <f>YEAR(Table1[[#This Row],[Order Date]])</f>
        <v>2023</v>
      </c>
      <c r="W1701" t="str">
        <f>TEXT(Table1[[#This Row],[Order Date]],"mmm")</f>
        <v>Nov</v>
      </c>
      <c r="X1701">
        <f t="shared" si="78"/>
        <v>4.4268000000000001</v>
      </c>
      <c r="Y1701" t="str">
        <f t="shared" si="79"/>
        <v>Profit</v>
      </c>
      <c r="Z1701" t="str">
        <f t="shared" si="80"/>
        <v>No Discount</v>
      </c>
    </row>
    <row r="1702" spans="1:26" x14ac:dyDescent="0.35">
      <c r="A1702" s="1">
        <v>1701</v>
      </c>
      <c r="B1702" s="2" t="s">
        <v>4491</v>
      </c>
      <c r="C1702" s="3">
        <v>45255</v>
      </c>
      <c r="D1702" s="3">
        <v>45259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</v>
      </c>
      <c r="T1702" s="1">
        <v>0.2</v>
      </c>
      <c r="U1702" s="1">
        <v>-37.943400000000025</v>
      </c>
      <c r="V1702">
        <f>YEAR(Table1[[#This Row],[Order Date]])</f>
        <v>2023</v>
      </c>
      <c r="W1702" t="str">
        <f>TEXT(Table1[[#This Row],[Order Date]],"mmm")</f>
        <v>Nov</v>
      </c>
      <c r="X1702">
        <f t="shared" si="78"/>
        <v>-12.647800000000009</v>
      </c>
      <c r="Y1702" t="str">
        <f t="shared" si="79"/>
        <v>Loss</v>
      </c>
      <c r="Z1702" t="str">
        <f t="shared" si="80"/>
        <v>Low</v>
      </c>
    </row>
    <row r="1703" spans="1:26" x14ac:dyDescent="0.35">
      <c r="A1703" s="1">
        <v>1702</v>
      </c>
      <c r="B1703" s="2" t="s">
        <v>4494</v>
      </c>
      <c r="C1703" s="3">
        <v>45255</v>
      </c>
      <c r="D1703" s="3">
        <v>45259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V1703">
        <f>YEAR(Table1[[#This Row],[Order Date]])</f>
        <v>2023</v>
      </c>
      <c r="W1703" t="str">
        <f>TEXT(Table1[[#This Row],[Order Date]],"mmm")</f>
        <v>Nov</v>
      </c>
      <c r="X1703">
        <f t="shared" si="78"/>
        <v>13.600200000000001</v>
      </c>
      <c r="Y1703" t="str">
        <f t="shared" si="79"/>
        <v>Profit</v>
      </c>
      <c r="Z1703" t="str">
        <f t="shared" si="80"/>
        <v>Low</v>
      </c>
    </row>
    <row r="1704" spans="1:26" x14ac:dyDescent="0.35">
      <c r="A1704" s="1">
        <v>1703</v>
      </c>
      <c r="B1704" s="2" t="s">
        <v>4495</v>
      </c>
      <c r="C1704" s="3">
        <v>45255</v>
      </c>
      <c r="D1704" s="3">
        <v>45260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V1704">
        <f>YEAR(Table1[[#This Row],[Order Date]])</f>
        <v>2023</v>
      </c>
      <c r="W1704" t="str">
        <f>TEXT(Table1[[#This Row],[Order Date]],"mmm")</f>
        <v>Nov</v>
      </c>
      <c r="X1704">
        <f t="shared" si="78"/>
        <v>-1.3208000000000002</v>
      </c>
      <c r="Y1704" t="str">
        <f t="shared" si="79"/>
        <v>Loss</v>
      </c>
      <c r="Z1704" t="str">
        <f t="shared" si="80"/>
        <v>High</v>
      </c>
    </row>
    <row r="1705" spans="1:26" x14ac:dyDescent="0.35">
      <c r="A1705" s="1">
        <v>1704</v>
      </c>
      <c r="B1705" s="2" t="s">
        <v>4496</v>
      </c>
      <c r="C1705" s="3">
        <v>45255</v>
      </c>
      <c r="D1705" s="3">
        <v>45257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</v>
      </c>
      <c r="T1705" s="1">
        <v>0</v>
      </c>
      <c r="U1705" s="1">
        <v>20.1248</v>
      </c>
      <c r="V1705">
        <f>YEAR(Table1[[#This Row],[Order Date]])</f>
        <v>2023</v>
      </c>
      <c r="W1705" t="str">
        <f>TEXT(Table1[[#This Row],[Order Date]],"mmm")</f>
        <v>Nov</v>
      </c>
      <c r="X1705">
        <f t="shared" si="78"/>
        <v>10.0624</v>
      </c>
      <c r="Y1705" t="str">
        <f t="shared" si="79"/>
        <v>Profit</v>
      </c>
      <c r="Z1705" t="str">
        <f t="shared" si="80"/>
        <v>No Discount</v>
      </c>
    </row>
    <row r="1706" spans="1:26" x14ac:dyDescent="0.35">
      <c r="A1706" s="1">
        <v>1705</v>
      </c>
      <c r="B1706" s="2" t="s">
        <v>4500</v>
      </c>
      <c r="C1706" s="3">
        <v>45255</v>
      </c>
      <c r="D1706" s="3">
        <v>45257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</v>
      </c>
      <c r="T1706" s="1">
        <v>0</v>
      </c>
      <c r="U1706" s="1">
        <v>10.507200000000001</v>
      </c>
      <c r="V1706">
        <f>YEAR(Table1[[#This Row],[Order Date]])</f>
        <v>2023</v>
      </c>
      <c r="W1706" t="str">
        <f>TEXT(Table1[[#This Row],[Order Date]],"mmm")</f>
        <v>Nov</v>
      </c>
      <c r="X1706">
        <f t="shared" si="78"/>
        <v>3.5024000000000002</v>
      </c>
      <c r="Y1706" t="str">
        <f t="shared" si="79"/>
        <v>Profit</v>
      </c>
      <c r="Z1706" t="str">
        <f t="shared" si="80"/>
        <v>No Discount</v>
      </c>
    </row>
    <row r="1707" spans="1:26" x14ac:dyDescent="0.35">
      <c r="A1707" s="1">
        <v>1706</v>
      </c>
      <c r="B1707" s="2" t="s">
        <v>4495</v>
      </c>
      <c r="C1707" s="3">
        <v>45255</v>
      </c>
      <c r="D1707" s="3">
        <v>45260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V1707">
        <f>YEAR(Table1[[#This Row],[Order Date]])</f>
        <v>2023</v>
      </c>
      <c r="W1707" t="str">
        <f>TEXT(Table1[[#This Row],[Order Date]],"mmm")</f>
        <v>Nov</v>
      </c>
      <c r="X1707">
        <f t="shared" si="78"/>
        <v>-24.374699999999983</v>
      </c>
      <c r="Y1707" t="str">
        <f t="shared" si="79"/>
        <v>Loss</v>
      </c>
      <c r="Z1707" t="str">
        <f t="shared" si="80"/>
        <v>Medium</v>
      </c>
    </row>
    <row r="1708" spans="1:26" x14ac:dyDescent="0.35">
      <c r="A1708" s="1">
        <v>1707</v>
      </c>
      <c r="B1708" s="2" t="s">
        <v>4500</v>
      </c>
      <c r="C1708" s="3">
        <v>45255</v>
      </c>
      <c r="D1708" s="3">
        <v>45257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</v>
      </c>
      <c r="T1708" s="1">
        <v>0</v>
      </c>
      <c r="U1708" s="1">
        <v>93.055199999999957</v>
      </c>
      <c r="V1708">
        <f>YEAR(Table1[[#This Row],[Order Date]])</f>
        <v>2023</v>
      </c>
      <c r="W1708" t="str">
        <f>TEXT(Table1[[#This Row],[Order Date]],"mmm")</f>
        <v>Nov</v>
      </c>
      <c r="X1708">
        <f t="shared" si="78"/>
        <v>15.509199999999993</v>
      </c>
      <c r="Y1708" t="str">
        <f t="shared" si="79"/>
        <v>Profit</v>
      </c>
      <c r="Z1708" t="str">
        <f t="shared" si="80"/>
        <v>No Discount</v>
      </c>
    </row>
    <row r="1709" spans="1:26" x14ac:dyDescent="0.35">
      <c r="A1709" s="1">
        <v>1708</v>
      </c>
      <c r="B1709" s="2" t="s">
        <v>4504</v>
      </c>
      <c r="C1709" s="3">
        <v>45255</v>
      </c>
      <c r="D1709" s="3">
        <v>45260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V1709">
        <f>YEAR(Table1[[#This Row],[Order Date]])</f>
        <v>2023</v>
      </c>
      <c r="W1709" t="str">
        <f>TEXT(Table1[[#This Row],[Order Date]],"mmm")</f>
        <v>Nov</v>
      </c>
      <c r="X1709">
        <f t="shared" si="78"/>
        <v>1.1842999999999992</v>
      </c>
      <c r="Y1709" t="str">
        <f t="shared" si="79"/>
        <v>Profit</v>
      </c>
      <c r="Z1709" t="str">
        <f t="shared" si="80"/>
        <v>Low</v>
      </c>
    </row>
    <row r="1710" spans="1:26" x14ac:dyDescent="0.35">
      <c r="A1710" s="1">
        <v>1709</v>
      </c>
      <c r="B1710" s="2" t="s">
        <v>4494</v>
      </c>
      <c r="C1710" s="3">
        <v>45255</v>
      </c>
      <c r="D1710" s="3">
        <v>45259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7.4399999999999995</v>
      </c>
      <c r="S1710" s="1">
        <v>3</v>
      </c>
      <c r="T1710" s="1">
        <v>0</v>
      </c>
      <c r="U1710" s="1">
        <v>2.6039999999999996</v>
      </c>
      <c r="V1710">
        <f>YEAR(Table1[[#This Row],[Order Date]])</f>
        <v>2023</v>
      </c>
      <c r="W1710" t="str">
        <f>TEXT(Table1[[#This Row],[Order Date]],"mmm")</f>
        <v>Nov</v>
      </c>
      <c r="X1710">
        <f t="shared" si="78"/>
        <v>0.86799999999999988</v>
      </c>
      <c r="Y1710" t="str">
        <f t="shared" si="79"/>
        <v>Profit</v>
      </c>
      <c r="Z1710" t="str">
        <f t="shared" si="80"/>
        <v>No Discount</v>
      </c>
    </row>
    <row r="1711" spans="1:26" x14ac:dyDescent="0.35">
      <c r="A1711" s="1">
        <v>1710</v>
      </c>
      <c r="B1711" s="2" t="s">
        <v>4495</v>
      </c>
      <c r="C1711" s="3">
        <v>45255</v>
      </c>
      <c r="D1711" s="3">
        <v>45260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>
        <f>YEAR(Table1[[#This Row],[Order Date]])</f>
        <v>2023</v>
      </c>
      <c r="W1711" t="str">
        <f>TEXT(Table1[[#This Row],[Order Date]],"mmm")</f>
        <v>Nov</v>
      </c>
      <c r="X1711">
        <f t="shared" si="78"/>
        <v>0.99629999999999996</v>
      </c>
      <c r="Y1711" t="str">
        <f t="shared" si="79"/>
        <v>Profit</v>
      </c>
      <c r="Z1711" t="str">
        <f t="shared" si="80"/>
        <v>Low</v>
      </c>
    </row>
    <row r="1712" spans="1:26" x14ac:dyDescent="0.35">
      <c r="A1712" s="1">
        <v>1711</v>
      </c>
      <c r="B1712" s="2" t="s">
        <v>4495</v>
      </c>
      <c r="C1712" s="3">
        <v>45255</v>
      </c>
      <c r="D1712" s="3">
        <v>45260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  <c r="V1712">
        <f>YEAR(Table1[[#This Row],[Order Date]])</f>
        <v>2023</v>
      </c>
      <c r="W1712" t="str">
        <f>TEXT(Table1[[#This Row],[Order Date]],"mmm")</f>
        <v>Nov</v>
      </c>
      <c r="X1712">
        <f t="shared" si="78"/>
        <v>0.88200000000000001</v>
      </c>
      <c r="Y1712" t="str">
        <f t="shared" si="79"/>
        <v>Profit</v>
      </c>
      <c r="Z1712" t="str">
        <f t="shared" si="80"/>
        <v>Low</v>
      </c>
    </row>
    <row r="1713" spans="1:26" x14ac:dyDescent="0.35">
      <c r="A1713" s="1">
        <v>1712</v>
      </c>
      <c r="B1713" s="2" t="s">
        <v>4500</v>
      </c>
      <c r="C1713" s="3">
        <v>45255</v>
      </c>
      <c r="D1713" s="3">
        <v>45257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</v>
      </c>
      <c r="T1713" s="1">
        <v>0</v>
      </c>
      <c r="U1713" s="1">
        <v>12.3096</v>
      </c>
      <c r="V1713">
        <f>YEAR(Table1[[#This Row],[Order Date]])</f>
        <v>2023</v>
      </c>
      <c r="W1713" t="str">
        <f>TEXT(Table1[[#This Row],[Order Date]],"mmm")</f>
        <v>Nov</v>
      </c>
      <c r="X1713">
        <f t="shared" si="78"/>
        <v>3.0773999999999999</v>
      </c>
      <c r="Y1713" t="str">
        <f t="shared" si="79"/>
        <v>Profit</v>
      </c>
      <c r="Z1713" t="str">
        <f t="shared" si="80"/>
        <v>No Discount</v>
      </c>
    </row>
    <row r="1714" spans="1:26" x14ac:dyDescent="0.35">
      <c r="A1714" s="1">
        <v>1713</v>
      </c>
      <c r="B1714" s="2" t="s">
        <v>4495</v>
      </c>
      <c r="C1714" s="3">
        <v>45255</v>
      </c>
      <c r="D1714" s="3">
        <v>45260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V1714">
        <f>YEAR(Table1[[#This Row],[Order Date]])</f>
        <v>2023</v>
      </c>
      <c r="W1714" t="str">
        <f>TEXT(Table1[[#This Row],[Order Date]],"mmm")</f>
        <v>Nov</v>
      </c>
      <c r="X1714">
        <f t="shared" si="78"/>
        <v>1.7003999999999999</v>
      </c>
      <c r="Y1714" t="str">
        <f t="shared" si="79"/>
        <v>Profit</v>
      </c>
      <c r="Z1714" t="str">
        <f t="shared" si="80"/>
        <v>Low</v>
      </c>
    </row>
    <row r="1715" spans="1:26" x14ac:dyDescent="0.35">
      <c r="A1715" s="1">
        <v>1714</v>
      </c>
      <c r="B1715" s="2" t="s">
        <v>4491</v>
      </c>
      <c r="C1715" s="3">
        <v>45255</v>
      </c>
      <c r="D1715" s="3">
        <v>45259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</v>
      </c>
      <c r="T1715" s="1">
        <v>0</v>
      </c>
      <c r="U1715" s="1">
        <v>55.895999999999958</v>
      </c>
      <c r="V1715">
        <f>YEAR(Table1[[#This Row],[Order Date]])</f>
        <v>2023</v>
      </c>
      <c r="W1715" t="str">
        <f>TEXT(Table1[[#This Row],[Order Date]],"mmm")</f>
        <v>Nov</v>
      </c>
      <c r="X1715">
        <f t="shared" si="78"/>
        <v>13.97399999999999</v>
      </c>
      <c r="Y1715" t="str">
        <f t="shared" si="79"/>
        <v>Profit</v>
      </c>
      <c r="Z1715" t="str">
        <f t="shared" si="80"/>
        <v>No Discount</v>
      </c>
    </row>
    <row r="1716" spans="1:26" x14ac:dyDescent="0.35">
      <c r="A1716" s="1">
        <v>1715</v>
      </c>
      <c r="B1716" s="2" t="s">
        <v>4495</v>
      </c>
      <c r="C1716" s="3">
        <v>45255</v>
      </c>
      <c r="D1716" s="3">
        <v>45260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24.672000000000001</v>
      </c>
      <c r="S1716" s="1">
        <v>3</v>
      </c>
      <c r="T1716" s="1">
        <v>0.2</v>
      </c>
      <c r="U1716" s="1">
        <v>0</v>
      </c>
      <c r="V1716">
        <f>YEAR(Table1[[#This Row],[Order Date]])</f>
        <v>2023</v>
      </c>
      <c r="W1716" t="str">
        <f>TEXT(Table1[[#This Row],[Order Date]],"mmm")</f>
        <v>Nov</v>
      </c>
      <c r="X1716">
        <f t="shared" si="78"/>
        <v>0</v>
      </c>
      <c r="Y1716" t="str">
        <f t="shared" si="79"/>
        <v>Break-even</v>
      </c>
      <c r="Z1716" t="str">
        <f t="shared" si="80"/>
        <v>Low</v>
      </c>
    </row>
    <row r="1717" spans="1:26" x14ac:dyDescent="0.35">
      <c r="A1717" s="1">
        <v>1716</v>
      </c>
      <c r="B1717" s="2" t="s">
        <v>4494</v>
      </c>
      <c r="C1717" s="3">
        <v>45255</v>
      </c>
      <c r="D1717" s="3">
        <v>45259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V1717">
        <f>YEAR(Table1[[#This Row],[Order Date]])</f>
        <v>2023</v>
      </c>
      <c r="W1717" t="str">
        <f>TEXT(Table1[[#This Row],[Order Date]],"mmm")</f>
        <v>Nov</v>
      </c>
      <c r="X1717">
        <f t="shared" si="78"/>
        <v>9.4485999999999937</v>
      </c>
      <c r="Y1717" t="str">
        <f t="shared" si="79"/>
        <v>Profit</v>
      </c>
      <c r="Z1717" t="str">
        <f t="shared" si="80"/>
        <v>Low</v>
      </c>
    </row>
    <row r="1718" spans="1:26" x14ac:dyDescent="0.35">
      <c r="A1718" s="1">
        <v>1717</v>
      </c>
      <c r="B1718" s="2" t="s">
        <v>4514</v>
      </c>
      <c r="C1718" s="3">
        <v>45256</v>
      </c>
      <c r="D1718" s="3">
        <v>45261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</v>
      </c>
      <c r="T1718" s="1">
        <v>0.6</v>
      </c>
      <c r="U1718" s="1">
        <v>-14.475000000000001</v>
      </c>
      <c r="V1718">
        <f>YEAR(Table1[[#This Row],[Order Date]])</f>
        <v>2023</v>
      </c>
      <c r="W1718" t="str">
        <f>TEXT(Table1[[#This Row],[Order Date]],"mmm")</f>
        <v>Nov</v>
      </c>
      <c r="X1718">
        <f t="shared" si="78"/>
        <v>-2.8950000000000005</v>
      </c>
      <c r="Y1718" t="str">
        <f t="shared" si="79"/>
        <v>Loss</v>
      </c>
      <c r="Z1718" t="str">
        <f t="shared" si="80"/>
        <v>High</v>
      </c>
    </row>
    <row r="1719" spans="1:26" x14ac:dyDescent="0.35">
      <c r="A1719" s="1">
        <v>1718</v>
      </c>
      <c r="B1719" s="2" t="s">
        <v>4515</v>
      </c>
      <c r="C1719" s="3">
        <v>45256</v>
      </c>
      <c r="D1719" s="3">
        <v>45261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</v>
      </c>
      <c r="T1719" s="1">
        <v>0</v>
      </c>
      <c r="U1719" s="1">
        <v>11.351200000000002</v>
      </c>
      <c r="V1719">
        <f>YEAR(Table1[[#This Row],[Order Date]])</f>
        <v>2023</v>
      </c>
      <c r="W1719" t="str">
        <f>TEXT(Table1[[#This Row],[Order Date]],"mmm")</f>
        <v>Nov</v>
      </c>
      <c r="X1719">
        <f t="shared" si="78"/>
        <v>5.6756000000000011</v>
      </c>
      <c r="Y1719" t="str">
        <f t="shared" si="79"/>
        <v>Profit</v>
      </c>
      <c r="Z1719" t="str">
        <f t="shared" si="80"/>
        <v>No Discount</v>
      </c>
    </row>
    <row r="1720" spans="1:26" x14ac:dyDescent="0.35">
      <c r="A1720" s="1">
        <v>1719</v>
      </c>
      <c r="B1720" s="2" t="s">
        <v>4516</v>
      </c>
      <c r="C1720" s="3">
        <v>45256</v>
      </c>
      <c r="D1720" s="3">
        <v>45256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17.088000000000001</v>
      </c>
      <c r="S1720" s="1">
        <v>4</v>
      </c>
      <c r="T1720" s="1">
        <v>0.2</v>
      </c>
      <c r="U1720" s="1">
        <v>5.767199999999999</v>
      </c>
      <c r="V1720">
        <f>YEAR(Table1[[#This Row],[Order Date]])</f>
        <v>2023</v>
      </c>
      <c r="W1720" t="str">
        <f>TEXT(Table1[[#This Row],[Order Date]],"mmm")</f>
        <v>Nov</v>
      </c>
      <c r="X1720">
        <f t="shared" si="78"/>
        <v>1.4417999999999997</v>
      </c>
      <c r="Y1720" t="str">
        <f t="shared" si="79"/>
        <v>Profit</v>
      </c>
      <c r="Z1720" t="str">
        <f t="shared" si="80"/>
        <v>Low</v>
      </c>
    </row>
    <row r="1721" spans="1:26" x14ac:dyDescent="0.35">
      <c r="A1721" s="1">
        <v>1720</v>
      </c>
      <c r="B1721" s="2" t="s">
        <v>4516</v>
      </c>
      <c r="C1721" s="3">
        <v>45256</v>
      </c>
      <c r="D1721" s="3">
        <v>45256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>
        <f>YEAR(Table1[[#This Row],[Order Date]])</f>
        <v>2023</v>
      </c>
      <c r="W1721" t="str">
        <f>TEXT(Table1[[#This Row],[Order Date]],"mmm")</f>
        <v>Nov</v>
      </c>
      <c r="X1721">
        <f t="shared" si="78"/>
        <v>1.5602</v>
      </c>
      <c r="Y1721" t="str">
        <f t="shared" si="79"/>
        <v>Profit</v>
      </c>
      <c r="Z1721" t="str">
        <f t="shared" si="80"/>
        <v>Low</v>
      </c>
    </row>
    <row r="1722" spans="1:26" x14ac:dyDescent="0.35">
      <c r="A1722" s="1">
        <v>1721</v>
      </c>
      <c r="B1722" s="2" t="s">
        <v>4515</v>
      </c>
      <c r="C1722" s="3">
        <v>45256</v>
      </c>
      <c r="D1722" s="3">
        <v>45261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V1722">
        <f>YEAR(Table1[[#This Row],[Order Date]])</f>
        <v>2023</v>
      </c>
      <c r="W1722" t="str">
        <f>TEXT(Table1[[#This Row],[Order Date]],"mmm")</f>
        <v>Nov</v>
      </c>
      <c r="X1722">
        <f t="shared" si="78"/>
        <v>2.5591999999999997</v>
      </c>
      <c r="Y1722" t="str">
        <f t="shared" si="79"/>
        <v>Profit</v>
      </c>
      <c r="Z1722" t="str">
        <f t="shared" si="80"/>
        <v>Low</v>
      </c>
    </row>
    <row r="1723" spans="1:26" x14ac:dyDescent="0.35">
      <c r="A1723" s="1">
        <v>1722</v>
      </c>
      <c r="B1723" s="2" t="s">
        <v>4515</v>
      </c>
      <c r="C1723" s="3">
        <v>45256</v>
      </c>
      <c r="D1723" s="3">
        <v>45261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</v>
      </c>
      <c r="T1723" s="1">
        <v>0.2</v>
      </c>
      <c r="U1723" s="1">
        <v>1.512</v>
      </c>
      <c r="V1723">
        <f>YEAR(Table1[[#This Row],[Order Date]])</f>
        <v>2023</v>
      </c>
      <c r="W1723" t="str">
        <f>TEXT(Table1[[#This Row],[Order Date]],"mmm")</f>
        <v>Nov</v>
      </c>
      <c r="X1723">
        <f t="shared" si="78"/>
        <v>0.504</v>
      </c>
      <c r="Y1723" t="str">
        <f t="shared" si="79"/>
        <v>Profit</v>
      </c>
      <c r="Z1723" t="str">
        <f t="shared" si="80"/>
        <v>Low</v>
      </c>
    </row>
    <row r="1724" spans="1:26" x14ac:dyDescent="0.35">
      <c r="A1724" s="1">
        <v>1723</v>
      </c>
      <c r="B1724" s="2" t="s">
        <v>4516</v>
      </c>
      <c r="C1724" s="3">
        <v>45256</v>
      </c>
      <c r="D1724" s="3">
        <v>45256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93.149999999999991</v>
      </c>
      <c r="S1724" s="1">
        <v>9</v>
      </c>
      <c r="T1724" s="1">
        <v>0</v>
      </c>
      <c r="U1724" s="1">
        <v>44.712000000000003</v>
      </c>
      <c r="V1724">
        <f>YEAR(Table1[[#This Row],[Order Date]])</f>
        <v>2023</v>
      </c>
      <c r="W1724" t="str">
        <f>TEXT(Table1[[#This Row],[Order Date]],"mmm")</f>
        <v>Nov</v>
      </c>
      <c r="X1724">
        <f t="shared" si="78"/>
        <v>4.968</v>
      </c>
      <c r="Y1724" t="str">
        <f t="shared" si="79"/>
        <v>Profit</v>
      </c>
      <c r="Z1724" t="str">
        <f t="shared" si="80"/>
        <v>No Discount</v>
      </c>
    </row>
    <row r="1725" spans="1:26" x14ac:dyDescent="0.35">
      <c r="A1725" s="1">
        <v>1724</v>
      </c>
      <c r="B1725" s="2" t="s">
        <v>4516</v>
      </c>
      <c r="C1725" s="3">
        <v>45256</v>
      </c>
      <c r="D1725" s="3">
        <v>45256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</v>
      </c>
      <c r="T1725" s="1">
        <v>0</v>
      </c>
      <c r="U1725" s="1">
        <v>5.6448</v>
      </c>
      <c r="V1725">
        <f>YEAR(Table1[[#This Row],[Order Date]])</f>
        <v>2023</v>
      </c>
      <c r="W1725" t="str">
        <f>TEXT(Table1[[#This Row],[Order Date]],"mmm")</f>
        <v>Nov</v>
      </c>
      <c r="X1725">
        <f t="shared" si="78"/>
        <v>1.4112</v>
      </c>
      <c r="Y1725" t="str">
        <f t="shared" si="79"/>
        <v>Profit</v>
      </c>
      <c r="Z1725" t="str">
        <f t="shared" si="80"/>
        <v>No Discount</v>
      </c>
    </row>
    <row r="1726" spans="1:26" x14ac:dyDescent="0.35">
      <c r="A1726" s="1">
        <v>1725</v>
      </c>
      <c r="B1726" s="2" t="s">
        <v>4520</v>
      </c>
      <c r="C1726" s="3">
        <v>45256</v>
      </c>
      <c r="D1726" s="3">
        <v>45261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  <c r="V1726">
        <f>YEAR(Table1[[#This Row],[Order Date]])</f>
        <v>2023</v>
      </c>
      <c r="W1726" t="str">
        <f>TEXT(Table1[[#This Row],[Order Date]],"mmm")</f>
        <v>Nov</v>
      </c>
      <c r="X1726">
        <f t="shared" si="78"/>
        <v>20.085100000000001</v>
      </c>
      <c r="Y1726" t="str">
        <f t="shared" si="79"/>
        <v>Profit</v>
      </c>
      <c r="Z1726" t="str">
        <f t="shared" si="80"/>
        <v>No Discount</v>
      </c>
    </row>
    <row r="1727" spans="1:26" x14ac:dyDescent="0.35">
      <c r="A1727" s="1">
        <v>1726</v>
      </c>
      <c r="B1727" s="2" t="s">
        <v>4521</v>
      </c>
      <c r="C1727" s="3">
        <v>45256</v>
      </c>
      <c r="D1727" s="3">
        <v>45262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15.552000000000003</v>
      </c>
      <c r="S1727" s="1">
        <v>3</v>
      </c>
      <c r="T1727" s="1">
        <v>0.2</v>
      </c>
      <c r="U1727" s="1">
        <v>5.4432</v>
      </c>
      <c r="V1727">
        <f>YEAR(Table1[[#This Row],[Order Date]])</f>
        <v>2023</v>
      </c>
      <c r="W1727" t="str">
        <f>TEXT(Table1[[#This Row],[Order Date]],"mmm")</f>
        <v>Nov</v>
      </c>
      <c r="X1727">
        <f t="shared" si="78"/>
        <v>1.8144</v>
      </c>
      <c r="Y1727" t="str">
        <f t="shared" si="79"/>
        <v>Profit</v>
      </c>
      <c r="Z1727" t="str">
        <f t="shared" si="80"/>
        <v>Low</v>
      </c>
    </row>
    <row r="1728" spans="1:26" x14ac:dyDescent="0.35">
      <c r="A1728" s="1">
        <v>1727</v>
      </c>
      <c r="B1728" s="2" t="s">
        <v>4515</v>
      </c>
      <c r="C1728" s="3">
        <v>45256</v>
      </c>
      <c r="D1728" s="3">
        <v>45261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14.940000000000001</v>
      </c>
      <c r="S1728" s="1">
        <v>3</v>
      </c>
      <c r="T1728" s="1">
        <v>0</v>
      </c>
      <c r="U1728" s="1">
        <v>7.0218000000000007</v>
      </c>
      <c r="V1728">
        <f>YEAR(Table1[[#This Row],[Order Date]])</f>
        <v>2023</v>
      </c>
      <c r="W1728" t="str">
        <f>TEXT(Table1[[#This Row],[Order Date]],"mmm")</f>
        <v>Nov</v>
      </c>
      <c r="X1728">
        <f t="shared" si="78"/>
        <v>2.3406000000000002</v>
      </c>
      <c r="Y1728" t="str">
        <f t="shared" si="79"/>
        <v>Profit</v>
      </c>
      <c r="Z1728" t="str">
        <f t="shared" si="80"/>
        <v>No Discount</v>
      </c>
    </row>
    <row r="1729" spans="1:26" x14ac:dyDescent="0.35">
      <c r="A1729" s="1">
        <v>1728</v>
      </c>
      <c r="B1729" s="2" t="s">
        <v>4521</v>
      </c>
      <c r="C1729" s="3">
        <v>45256</v>
      </c>
      <c r="D1729" s="3">
        <v>45262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</v>
      </c>
      <c r="T1729" s="1">
        <v>0.2</v>
      </c>
      <c r="U1729" s="1">
        <v>-167.27</v>
      </c>
      <c r="V1729">
        <f>YEAR(Table1[[#This Row],[Order Date]])</f>
        <v>2023</v>
      </c>
      <c r="W1729" t="str">
        <f>TEXT(Table1[[#This Row],[Order Date]],"mmm")</f>
        <v>Nov</v>
      </c>
      <c r="X1729">
        <f t="shared" si="78"/>
        <v>-33.454000000000001</v>
      </c>
      <c r="Y1729" t="str">
        <f t="shared" si="79"/>
        <v>Loss</v>
      </c>
      <c r="Z1729" t="str">
        <f t="shared" si="80"/>
        <v>Low</v>
      </c>
    </row>
    <row r="1730" spans="1:26" x14ac:dyDescent="0.35">
      <c r="A1730" s="1">
        <v>1729</v>
      </c>
      <c r="B1730" s="2" t="s">
        <v>4521</v>
      </c>
      <c r="C1730" s="3">
        <v>45256</v>
      </c>
      <c r="D1730" s="3">
        <v>45262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V1730">
        <f>YEAR(Table1[[#This Row],[Order Date]])</f>
        <v>2023</v>
      </c>
      <c r="W1730" t="str">
        <f>TEXT(Table1[[#This Row],[Order Date]],"mmm")</f>
        <v>Nov</v>
      </c>
      <c r="X1730">
        <f t="shared" ref="X1730:X1793" si="81">IFERROR(U1730/S1730,0)</f>
        <v>-21.916800000000009</v>
      </c>
      <c r="Y1730" t="str">
        <f t="shared" ref="Y1730:Y1793" si="82">IF(U1730&gt;0,"Profit",IF(U1730&lt;0,"Loss","Break-even"))</f>
        <v>Loss</v>
      </c>
      <c r="Z1730" t="str">
        <f t="shared" ref="Z1730:Z1793" si="83">IF(T1730=0,"No Discount",IF(T1730&lt;=0.2,"Low",IF(T1730&lt;=0.4,"Medium","High")))</f>
        <v>Low</v>
      </c>
    </row>
    <row r="1731" spans="1:26" x14ac:dyDescent="0.35">
      <c r="A1731" s="1">
        <v>1730</v>
      </c>
      <c r="B1731" s="2" t="s">
        <v>4516</v>
      </c>
      <c r="C1731" s="3">
        <v>45256</v>
      </c>
      <c r="D1731" s="3">
        <v>45256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>
        <f>YEAR(Table1[[#This Row],[Order Date]])</f>
        <v>2023</v>
      </c>
      <c r="W1731" t="str">
        <f>TEXT(Table1[[#This Row],[Order Date]],"mmm")</f>
        <v>Nov</v>
      </c>
      <c r="X1731">
        <f t="shared" si="81"/>
        <v>19.597200000000001</v>
      </c>
      <c r="Y1731" t="str">
        <f t="shared" si="82"/>
        <v>Profit</v>
      </c>
      <c r="Z1731" t="str">
        <f t="shared" si="83"/>
        <v>No Discount</v>
      </c>
    </row>
    <row r="1732" spans="1:26" x14ac:dyDescent="0.35">
      <c r="A1732" s="1">
        <v>1731</v>
      </c>
      <c r="B1732" s="2" t="s">
        <v>4527</v>
      </c>
      <c r="C1732" s="3">
        <v>45257</v>
      </c>
      <c r="D1732" s="3">
        <v>45261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199.89999999999998</v>
      </c>
      <c r="S1732" s="1">
        <v>5</v>
      </c>
      <c r="T1732" s="1">
        <v>0</v>
      </c>
      <c r="U1732" s="1">
        <v>39.97999999999999</v>
      </c>
      <c r="V1732">
        <f>YEAR(Table1[[#This Row],[Order Date]])</f>
        <v>2023</v>
      </c>
      <c r="W1732" t="str">
        <f>TEXT(Table1[[#This Row],[Order Date]],"mmm")</f>
        <v>Nov</v>
      </c>
      <c r="X1732">
        <f t="shared" si="81"/>
        <v>7.9959999999999978</v>
      </c>
      <c r="Y1732" t="str">
        <f t="shared" si="82"/>
        <v>Profit</v>
      </c>
      <c r="Z1732" t="str">
        <f t="shared" si="83"/>
        <v>No Discount</v>
      </c>
    </row>
    <row r="1733" spans="1:26" x14ac:dyDescent="0.35">
      <c r="A1733" s="1">
        <v>1732</v>
      </c>
      <c r="B1733" s="2" t="s">
        <v>4530</v>
      </c>
      <c r="C1733" s="3">
        <v>45257</v>
      </c>
      <c r="D1733" s="3">
        <v>45263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</v>
      </c>
      <c r="T1733" s="1">
        <v>0</v>
      </c>
      <c r="U1733" s="1">
        <v>1.3159999999999998</v>
      </c>
      <c r="V1733">
        <f>YEAR(Table1[[#This Row],[Order Date]])</f>
        <v>2023</v>
      </c>
      <c r="W1733" t="str">
        <f>TEXT(Table1[[#This Row],[Order Date]],"mmm")</f>
        <v>Nov</v>
      </c>
      <c r="X1733">
        <f t="shared" si="81"/>
        <v>0.65799999999999992</v>
      </c>
      <c r="Y1733" t="str">
        <f t="shared" si="82"/>
        <v>Profit</v>
      </c>
      <c r="Z1733" t="str">
        <f t="shared" si="83"/>
        <v>No Discount</v>
      </c>
    </row>
    <row r="1734" spans="1:26" x14ac:dyDescent="0.35">
      <c r="A1734" s="1">
        <v>1733</v>
      </c>
      <c r="B1734" s="2" t="s">
        <v>4531</v>
      </c>
      <c r="C1734" s="3">
        <v>45258</v>
      </c>
      <c r="D1734" s="3">
        <v>45258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V1734">
        <f>YEAR(Table1[[#This Row],[Order Date]])</f>
        <v>2023</v>
      </c>
      <c r="W1734" t="str">
        <f>TEXT(Table1[[#This Row],[Order Date]],"mmm")</f>
        <v>Nov</v>
      </c>
      <c r="X1734">
        <f t="shared" si="81"/>
        <v>-1.2097999999999942</v>
      </c>
      <c r="Y1734" t="str">
        <f t="shared" si="82"/>
        <v>Loss</v>
      </c>
      <c r="Z1734" t="str">
        <f t="shared" si="83"/>
        <v>Low</v>
      </c>
    </row>
    <row r="1735" spans="1:26" x14ac:dyDescent="0.35">
      <c r="A1735" s="1">
        <v>1734</v>
      </c>
      <c r="B1735" s="2" t="s">
        <v>4534</v>
      </c>
      <c r="C1735" s="3">
        <v>45258</v>
      </c>
      <c r="D1735" s="3">
        <v>45261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397.59999999999997</v>
      </c>
      <c r="S1735" s="1">
        <v>5</v>
      </c>
      <c r="T1735" s="1">
        <v>0</v>
      </c>
      <c r="U1735" s="1">
        <v>43.735999999999962</v>
      </c>
      <c r="V1735">
        <f>YEAR(Table1[[#This Row],[Order Date]])</f>
        <v>2023</v>
      </c>
      <c r="W1735" t="str">
        <f>TEXT(Table1[[#This Row],[Order Date]],"mmm")</f>
        <v>Nov</v>
      </c>
      <c r="X1735">
        <f t="shared" si="81"/>
        <v>8.7471999999999923</v>
      </c>
      <c r="Y1735" t="str">
        <f t="shared" si="82"/>
        <v>Profit</v>
      </c>
      <c r="Z1735" t="str">
        <f t="shared" si="83"/>
        <v>No Discount</v>
      </c>
    </row>
    <row r="1736" spans="1:26" x14ac:dyDescent="0.35">
      <c r="A1736" s="1">
        <v>1735</v>
      </c>
      <c r="B1736" s="2" t="s">
        <v>4537</v>
      </c>
      <c r="C1736" s="3">
        <v>45258</v>
      </c>
      <c r="D1736" s="3">
        <v>45261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</v>
      </c>
      <c r="T1736" s="1">
        <v>0</v>
      </c>
      <c r="U1736" s="1">
        <v>11.793600000000001</v>
      </c>
      <c r="V1736">
        <f>YEAR(Table1[[#This Row],[Order Date]])</f>
        <v>2023</v>
      </c>
      <c r="W1736" t="str">
        <f>TEXT(Table1[[#This Row],[Order Date]],"mmm")</f>
        <v>Nov</v>
      </c>
      <c r="X1736">
        <f t="shared" si="81"/>
        <v>3.9312000000000005</v>
      </c>
      <c r="Y1736" t="str">
        <f t="shared" si="82"/>
        <v>Profit</v>
      </c>
      <c r="Z1736" t="str">
        <f t="shared" si="83"/>
        <v>No Discount</v>
      </c>
    </row>
    <row r="1737" spans="1:26" x14ac:dyDescent="0.35">
      <c r="A1737" s="1">
        <v>1736</v>
      </c>
      <c r="B1737" s="2" t="s">
        <v>4538</v>
      </c>
      <c r="C1737" s="3">
        <v>45258</v>
      </c>
      <c r="D1737" s="3">
        <v>45264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14.669999999999998</v>
      </c>
      <c r="S1737" s="1">
        <v>3</v>
      </c>
      <c r="T1737" s="1">
        <v>0</v>
      </c>
      <c r="U1737" s="1">
        <v>3.9609000000000001</v>
      </c>
      <c r="V1737">
        <f>YEAR(Table1[[#This Row],[Order Date]])</f>
        <v>2023</v>
      </c>
      <c r="W1737" t="str">
        <f>TEXT(Table1[[#This Row],[Order Date]],"mmm")</f>
        <v>Nov</v>
      </c>
      <c r="X1737">
        <f t="shared" si="81"/>
        <v>1.3203</v>
      </c>
      <c r="Y1737" t="str">
        <f t="shared" si="82"/>
        <v>Profit</v>
      </c>
      <c r="Z1737" t="str">
        <f t="shared" si="83"/>
        <v>No Discount</v>
      </c>
    </row>
    <row r="1738" spans="1:26" x14ac:dyDescent="0.35">
      <c r="A1738" s="1">
        <v>1737</v>
      </c>
      <c r="B1738" s="2" t="s">
        <v>4534</v>
      </c>
      <c r="C1738" s="3">
        <v>45258</v>
      </c>
      <c r="D1738" s="3">
        <v>45261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</v>
      </c>
      <c r="T1738" s="1">
        <v>0</v>
      </c>
      <c r="U1738" s="1">
        <v>4.3295999999999992</v>
      </c>
      <c r="V1738">
        <f>YEAR(Table1[[#This Row],[Order Date]])</f>
        <v>2023</v>
      </c>
      <c r="W1738" t="str">
        <f>TEXT(Table1[[#This Row],[Order Date]],"mmm")</f>
        <v>Nov</v>
      </c>
      <c r="X1738">
        <f t="shared" si="81"/>
        <v>1.0823999999999998</v>
      </c>
      <c r="Y1738" t="str">
        <f t="shared" si="82"/>
        <v>Profit</v>
      </c>
      <c r="Z1738" t="str">
        <f t="shared" si="83"/>
        <v>No Discount</v>
      </c>
    </row>
    <row r="1739" spans="1:26" x14ac:dyDescent="0.35">
      <c r="A1739" s="1">
        <v>1738</v>
      </c>
      <c r="B1739" s="2" t="s">
        <v>4534</v>
      </c>
      <c r="C1739" s="3">
        <v>45258</v>
      </c>
      <c r="D1739" s="3">
        <v>45261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45.660000000000004</v>
      </c>
      <c r="S1739" s="1">
        <v>3</v>
      </c>
      <c r="T1739" s="1">
        <v>0</v>
      </c>
      <c r="U1739" s="1">
        <v>22.3734</v>
      </c>
      <c r="V1739">
        <f>YEAR(Table1[[#This Row],[Order Date]])</f>
        <v>2023</v>
      </c>
      <c r="W1739" t="str">
        <f>TEXT(Table1[[#This Row],[Order Date]],"mmm")</f>
        <v>Nov</v>
      </c>
      <c r="X1739">
        <f t="shared" si="81"/>
        <v>7.4577999999999998</v>
      </c>
      <c r="Y1739" t="str">
        <f t="shared" si="82"/>
        <v>Profit</v>
      </c>
      <c r="Z1739" t="str">
        <f t="shared" si="83"/>
        <v>No Discount</v>
      </c>
    </row>
    <row r="1740" spans="1:26" x14ac:dyDescent="0.35">
      <c r="A1740" s="1">
        <v>1739</v>
      </c>
      <c r="B1740" s="2" t="s">
        <v>4543</v>
      </c>
      <c r="C1740" s="3">
        <v>45258</v>
      </c>
      <c r="D1740" s="3">
        <v>45260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V1740">
        <f>YEAR(Table1[[#This Row],[Order Date]])</f>
        <v>2023</v>
      </c>
      <c r="W1740" t="str">
        <f>TEXT(Table1[[#This Row],[Order Date]],"mmm")</f>
        <v>Nov</v>
      </c>
      <c r="X1740">
        <f t="shared" si="81"/>
        <v>3.0183999999999993</v>
      </c>
      <c r="Y1740" t="str">
        <f t="shared" si="82"/>
        <v>Profit</v>
      </c>
      <c r="Z1740" t="str">
        <f t="shared" si="83"/>
        <v>Low</v>
      </c>
    </row>
    <row r="1741" spans="1:26" x14ac:dyDescent="0.35">
      <c r="A1741" s="1">
        <v>1740</v>
      </c>
      <c r="B1741" s="2" t="s">
        <v>4546</v>
      </c>
      <c r="C1741" s="3">
        <v>45258</v>
      </c>
      <c r="D1741" s="3">
        <v>45263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</v>
      </c>
      <c r="T1741" s="1">
        <v>0</v>
      </c>
      <c r="U1741" s="1">
        <v>29.449199999999998</v>
      </c>
      <c r="V1741">
        <f>YEAR(Table1[[#This Row],[Order Date]])</f>
        <v>2023</v>
      </c>
      <c r="W1741" t="str">
        <f>TEXT(Table1[[#This Row],[Order Date]],"mmm")</f>
        <v>Nov</v>
      </c>
      <c r="X1741">
        <f t="shared" si="81"/>
        <v>4.9081999999999999</v>
      </c>
      <c r="Y1741" t="str">
        <f t="shared" si="82"/>
        <v>Profit</v>
      </c>
      <c r="Z1741" t="str">
        <f t="shared" si="83"/>
        <v>No Discount</v>
      </c>
    </row>
    <row r="1742" spans="1:26" x14ac:dyDescent="0.35">
      <c r="A1742" s="1">
        <v>1741</v>
      </c>
      <c r="B1742" s="2" t="s">
        <v>4531</v>
      </c>
      <c r="C1742" s="3">
        <v>45258</v>
      </c>
      <c r="D1742" s="3">
        <v>45258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</v>
      </c>
      <c r="T1742" s="1">
        <v>0</v>
      </c>
      <c r="U1742" s="1">
        <v>19.872</v>
      </c>
      <c r="V1742">
        <f>YEAR(Table1[[#This Row],[Order Date]])</f>
        <v>2023</v>
      </c>
      <c r="W1742" t="str">
        <f>TEXT(Table1[[#This Row],[Order Date]],"mmm")</f>
        <v>Nov</v>
      </c>
      <c r="X1742">
        <f t="shared" si="81"/>
        <v>4.968</v>
      </c>
      <c r="Y1742" t="str">
        <f t="shared" si="82"/>
        <v>Profit</v>
      </c>
      <c r="Z1742" t="str">
        <f t="shared" si="83"/>
        <v>No Discount</v>
      </c>
    </row>
    <row r="1743" spans="1:26" x14ac:dyDescent="0.35">
      <c r="A1743" s="1">
        <v>1742</v>
      </c>
      <c r="B1743" s="2" t="s">
        <v>4534</v>
      </c>
      <c r="C1743" s="3">
        <v>45258</v>
      </c>
      <c r="D1743" s="3">
        <v>45261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</v>
      </c>
      <c r="T1743" s="1">
        <v>0</v>
      </c>
      <c r="U1743" s="1">
        <v>40.401199999999996</v>
      </c>
      <c r="V1743">
        <f>YEAR(Table1[[#This Row],[Order Date]])</f>
        <v>2023</v>
      </c>
      <c r="W1743" t="str">
        <f>TEXT(Table1[[#This Row],[Order Date]],"mmm")</f>
        <v>Nov</v>
      </c>
      <c r="X1743">
        <f t="shared" si="81"/>
        <v>5.7715999999999994</v>
      </c>
      <c r="Y1743" t="str">
        <f t="shared" si="82"/>
        <v>Profit</v>
      </c>
      <c r="Z1743" t="str">
        <f t="shared" si="83"/>
        <v>No Discount</v>
      </c>
    </row>
    <row r="1744" spans="1:26" x14ac:dyDescent="0.35">
      <c r="A1744" s="1">
        <v>1743</v>
      </c>
      <c r="B1744" s="2" t="s">
        <v>4531</v>
      </c>
      <c r="C1744" s="3">
        <v>45258</v>
      </c>
      <c r="D1744" s="3">
        <v>45258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</v>
      </c>
      <c r="T1744" s="1">
        <v>0</v>
      </c>
      <c r="U1744" s="1">
        <v>0.14719999999999978</v>
      </c>
      <c r="V1744">
        <f>YEAR(Table1[[#This Row],[Order Date]])</f>
        <v>2023</v>
      </c>
      <c r="W1744" t="str">
        <f>TEXT(Table1[[#This Row],[Order Date]],"mmm")</f>
        <v>Nov</v>
      </c>
      <c r="X1744">
        <f t="shared" si="81"/>
        <v>7.3599999999999888E-2</v>
      </c>
      <c r="Y1744" t="str">
        <f t="shared" si="82"/>
        <v>Profit</v>
      </c>
      <c r="Z1744" t="str">
        <f t="shared" si="83"/>
        <v>No Discount</v>
      </c>
    </row>
    <row r="1745" spans="1:26" x14ac:dyDescent="0.35">
      <c r="A1745" s="1">
        <v>1744</v>
      </c>
      <c r="B1745" s="2" t="s">
        <v>4537</v>
      </c>
      <c r="C1745" s="3">
        <v>45258</v>
      </c>
      <c r="D1745" s="3">
        <v>45261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139.92999999999998</v>
      </c>
      <c r="S1745" s="1">
        <v>7</v>
      </c>
      <c r="T1745" s="1">
        <v>0</v>
      </c>
      <c r="U1745" s="1">
        <v>34.982499999999987</v>
      </c>
      <c r="V1745">
        <f>YEAR(Table1[[#This Row],[Order Date]])</f>
        <v>2023</v>
      </c>
      <c r="W1745" t="str">
        <f>TEXT(Table1[[#This Row],[Order Date]],"mmm")</f>
        <v>Nov</v>
      </c>
      <c r="X1745">
        <f t="shared" si="81"/>
        <v>4.9974999999999978</v>
      </c>
      <c r="Y1745" t="str">
        <f t="shared" si="82"/>
        <v>Profit</v>
      </c>
      <c r="Z1745" t="str">
        <f t="shared" si="83"/>
        <v>No Discount</v>
      </c>
    </row>
    <row r="1746" spans="1:26" x14ac:dyDescent="0.35">
      <c r="A1746" s="1">
        <v>1745</v>
      </c>
      <c r="B1746" s="2" t="s">
        <v>4555</v>
      </c>
      <c r="C1746" s="3">
        <v>45258</v>
      </c>
      <c r="D1746" s="3">
        <v>45262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V1746">
        <f>YEAR(Table1[[#This Row],[Order Date]])</f>
        <v>2023</v>
      </c>
      <c r="W1746" t="str">
        <f>TEXT(Table1[[#This Row],[Order Date]],"mmm")</f>
        <v>Nov</v>
      </c>
      <c r="X1746">
        <f t="shared" si="81"/>
        <v>-39.954000000000022</v>
      </c>
      <c r="Y1746" t="str">
        <f t="shared" si="82"/>
        <v>Loss</v>
      </c>
      <c r="Z1746" t="str">
        <f t="shared" si="83"/>
        <v>Medium</v>
      </c>
    </row>
    <row r="1747" spans="1:26" x14ac:dyDescent="0.35">
      <c r="A1747" s="1">
        <v>1746</v>
      </c>
      <c r="B1747" s="2" t="s">
        <v>4558</v>
      </c>
      <c r="C1747" s="3">
        <v>45259</v>
      </c>
      <c r="D1747" s="3">
        <v>45264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12.624000000000001</v>
      </c>
      <c r="S1747" s="1">
        <v>2</v>
      </c>
      <c r="T1747" s="1">
        <v>0.2</v>
      </c>
      <c r="U1747" s="1">
        <v>3.944999999999999</v>
      </c>
      <c r="V1747">
        <f>YEAR(Table1[[#This Row],[Order Date]])</f>
        <v>2023</v>
      </c>
      <c r="W1747" t="str">
        <f>TEXT(Table1[[#This Row],[Order Date]],"mmm")</f>
        <v>Nov</v>
      </c>
      <c r="X1747">
        <f t="shared" si="81"/>
        <v>1.9724999999999995</v>
      </c>
      <c r="Y1747" t="str">
        <f t="shared" si="82"/>
        <v>Profit</v>
      </c>
      <c r="Z1747" t="str">
        <f t="shared" si="83"/>
        <v>Low</v>
      </c>
    </row>
    <row r="1748" spans="1:26" x14ac:dyDescent="0.35">
      <c r="A1748" s="1">
        <v>1747</v>
      </c>
      <c r="B1748" s="2" t="s">
        <v>4562</v>
      </c>
      <c r="C1748" s="3">
        <v>45259</v>
      </c>
      <c r="D1748" s="3">
        <v>45266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</v>
      </c>
      <c r="T1748" s="1">
        <v>0</v>
      </c>
      <c r="U1748" s="1">
        <v>15.2</v>
      </c>
      <c r="V1748">
        <f>YEAR(Table1[[#This Row],[Order Date]])</f>
        <v>2023</v>
      </c>
      <c r="W1748" t="str">
        <f>TEXT(Table1[[#This Row],[Order Date]],"mmm")</f>
        <v>Nov</v>
      </c>
      <c r="X1748">
        <f t="shared" si="81"/>
        <v>3.04</v>
      </c>
      <c r="Y1748" t="str">
        <f t="shared" si="82"/>
        <v>Profit</v>
      </c>
      <c r="Z1748" t="str">
        <f t="shared" si="83"/>
        <v>No Discount</v>
      </c>
    </row>
    <row r="1749" spans="1:26" x14ac:dyDescent="0.35">
      <c r="A1749" s="1">
        <v>1748</v>
      </c>
      <c r="B1749" s="2" t="s">
        <v>4565</v>
      </c>
      <c r="C1749" s="3">
        <v>45259</v>
      </c>
      <c r="D1749" s="3">
        <v>45266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</v>
      </c>
      <c r="T1749" s="1">
        <v>0.2</v>
      </c>
      <c r="U1749" s="1">
        <v>1.764</v>
      </c>
      <c r="V1749">
        <f>YEAR(Table1[[#This Row],[Order Date]])</f>
        <v>2023</v>
      </c>
      <c r="W1749" t="str">
        <f>TEXT(Table1[[#This Row],[Order Date]],"mmm")</f>
        <v>Nov</v>
      </c>
      <c r="X1749">
        <f t="shared" si="81"/>
        <v>0.88200000000000001</v>
      </c>
      <c r="Y1749" t="str">
        <f t="shared" si="82"/>
        <v>Profit</v>
      </c>
      <c r="Z1749" t="str">
        <f t="shared" si="83"/>
        <v>Low</v>
      </c>
    </row>
    <row r="1750" spans="1:26" x14ac:dyDescent="0.35">
      <c r="A1750" s="1">
        <v>1749</v>
      </c>
      <c r="B1750" s="2" t="s">
        <v>4566</v>
      </c>
      <c r="C1750" s="3">
        <v>45259</v>
      </c>
      <c r="D1750" s="3">
        <v>45266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</v>
      </c>
      <c r="T1750" s="1">
        <v>0</v>
      </c>
      <c r="U1750" s="1">
        <v>11.778199999999998</v>
      </c>
      <c r="V1750">
        <f>YEAR(Table1[[#This Row],[Order Date]])</f>
        <v>2023</v>
      </c>
      <c r="W1750" t="str">
        <f>TEXT(Table1[[#This Row],[Order Date]],"mmm")</f>
        <v>Nov</v>
      </c>
      <c r="X1750">
        <f t="shared" si="81"/>
        <v>5.8890999999999991</v>
      </c>
      <c r="Y1750" t="str">
        <f t="shared" si="82"/>
        <v>Profit</v>
      </c>
      <c r="Z1750" t="str">
        <f t="shared" si="83"/>
        <v>No Discount</v>
      </c>
    </row>
    <row r="1751" spans="1:26" x14ac:dyDescent="0.35">
      <c r="A1751" s="1">
        <v>1750</v>
      </c>
      <c r="B1751" s="2" t="s">
        <v>4562</v>
      </c>
      <c r="C1751" s="3">
        <v>45259</v>
      </c>
      <c r="D1751" s="3">
        <v>45266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V1751">
        <f>YEAR(Table1[[#This Row],[Order Date]])</f>
        <v>2023</v>
      </c>
      <c r="W1751" t="str">
        <f>TEXT(Table1[[#This Row],[Order Date]],"mmm")</f>
        <v>Nov</v>
      </c>
      <c r="X1751">
        <f t="shared" si="81"/>
        <v>35.99499999999999</v>
      </c>
      <c r="Y1751" t="str">
        <f t="shared" si="82"/>
        <v>Profit</v>
      </c>
      <c r="Z1751" t="str">
        <f t="shared" si="83"/>
        <v>Low</v>
      </c>
    </row>
    <row r="1752" spans="1:26" x14ac:dyDescent="0.35">
      <c r="A1752" s="1">
        <v>1751</v>
      </c>
      <c r="B1752" s="2" t="s">
        <v>4567</v>
      </c>
      <c r="C1752" s="3">
        <v>45260</v>
      </c>
      <c r="D1752" s="3">
        <v>45264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V1752">
        <f>YEAR(Table1[[#This Row],[Order Date]])</f>
        <v>2023</v>
      </c>
      <c r="W1752" t="str">
        <f>TEXT(Table1[[#This Row],[Order Date]],"mmm")</f>
        <v>Nov</v>
      </c>
      <c r="X1752">
        <f t="shared" si="81"/>
        <v>-0.49199999999999988</v>
      </c>
      <c r="Y1752" t="str">
        <f t="shared" si="82"/>
        <v>Loss</v>
      </c>
      <c r="Z1752" t="str">
        <f t="shared" si="83"/>
        <v>High</v>
      </c>
    </row>
    <row r="1753" spans="1:26" x14ac:dyDescent="0.35">
      <c r="A1753" s="1">
        <v>1752</v>
      </c>
      <c r="B1753" s="2" t="s">
        <v>4569</v>
      </c>
      <c r="C1753" s="3">
        <v>45260</v>
      </c>
      <c r="D1753" s="3">
        <v>45264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  <c r="V1753">
        <f>YEAR(Table1[[#This Row],[Order Date]])</f>
        <v>2023</v>
      </c>
      <c r="W1753" t="str">
        <f>TEXT(Table1[[#This Row],[Order Date]],"mmm")</f>
        <v>Nov</v>
      </c>
      <c r="X1753">
        <f t="shared" si="81"/>
        <v>7.3178999999999998</v>
      </c>
      <c r="Y1753" t="str">
        <f t="shared" si="82"/>
        <v>Profit</v>
      </c>
      <c r="Z1753" t="str">
        <f t="shared" si="83"/>
        <v>No Discount</v>
      </c>
    </row>
    <row r="1754" spans="1:26" x14ac:dyDescent="0.35">
      <c r="A1754" s="1">
        <v>1753</v>
      </c>
      <c r="B1754" s="2" t="s">
        <v>4572</v>
      </c>
      <c r="C1754" s="3">
        <v>45260</v>
      </c>
      <c r="D1754" s="3">
        <v>45266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47.992000000000004</v>
      </c>
      <c r="S1754" s="1">
        <v>7</v>
      </c>
      <c r="T1754" s="1">
        <v>0.2</v>
      </c>
      <c r="U1754" s="1">
        <v>3.5993999999999993</v>
      </c>
      <c r="V1754">
        <f>YEAR(Table1[[#This Row],[Order Date]])</f>
        <v>2023</v>
      </c>
      <c r="W1754" t="str">
        <f>TEXT(Table1[[#This Row],[Order Date]],"mmm")</f>
        <v>Nov</v>
      </c>
      <c r="X1754">
        <f t="shared" si="81"/>
        <v>0.51419999999999988</v>
      </c>
      <c r="Y1754" t="str">
        <f t="shared" si="82"/>
        <v>Profit</v>
      </c>
      <c r="Z1754" t="str">
        <f t="shared" si="83"/>
        <v>Low</v>
      </c>
    </row>
    <row r="1755" spans="1:26" x14ac:dyDescent="0.35">
      <c r="A1755" s="1">
        <v>1754</v>
      </c>
      <c r="B1755" s="2" t="s">
        <v>4572</v>
      </c>
      <c r="C1755" s="3">
        <v>45260</v>
      </c>
      <c r="D1755" s="3">
        <v>45266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102.24000000000001</v>
      </c>
      <c r="S1755" s="1">
        <v>4</v>
      </c>
      <c r="T1755" s="1">
        <v>0.2</v>
      </c>
      <c r="U1755" s="1">
        <v>-16.614000000000004</v>
      </c>
      <c r="V1755">
        <f>YEAR(Table1[[#This Row],[Order Date]])</f>
        <v>2023</v>
      </c>
      <c r="W1755" t="str">
        <f>TEXT(Table1[[#This Row],[Order Date]],"mmm")</f>
        <v>Nov</v>
      </c>
      <c r="X1755">
        <f t="shared" si="81"/>
        <v>-4.1535000000000011</v>
      </c>
      <c r="Y1755" t="str">
        <f t="shared" si="82"/>
        <v>Loss</v>
      </c>
      <c r="Z1755" t="str">
        <f t="shared" si="83"/>
        <v>Low</v>
      </c>
    </row>
    <row r="1756" spans="1:26" x14ac:dyDescent="0.35">
      <c r="A1756" s="1">
        <v>1755</v>
      </c>
      <c r="B1756" s="2" t="s">
        <v>4574</v>
      </c>
      <c r="C1756" s="3">
        <v>45261</v>
      </c>
      <c r="D1756" s="3">
        <v>45263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909.7199999999998</v>
      </c>
      <c r="S1756" s="1">
        <v>6</v>
      </c>
      <c r="T1756" s="1">
        <v>0.3</v>
      </c>
      <c r="U1756" s="1">
        <v>-51.983999999999924</v>
      </c>
      <c r="V1756">
        <f>YEAR(Table1[[#This Row],[Order Date]])</f>
        <v>2023</v>
      </c>
      <c r="W1756" t="str">
        <f>TEXT(Table1[[#This Row],[Order Date]],"mmm")</f>
        <v>Dec</v>
      </c>
      <c r="X1756">
        <f t="shared" si="81"/>
        <v>-8.6639999999999873</v>
      </c>
      <c r="Y1756" t="str">
        <f t="shared" si="82"/>
        <v>Loss</v>
      </c>
      <c r="Z1756" t="str">
        <f t="shared" si="83"/>
        <v>Medium</v>
      </c>
    </row>
    <row r="1757" spans="1:26" x14ac:dyDescent="0.35">
      <c r="A1757" s="1">
        <v>1756</v>
      </c>
      <c r="B1757" s="2" t="s">
        <v>4575</v>
      </c>
      <c r="C1757" s="3">
        <v>45261</v>
      </c>
      <c r="D1757" s="3">
        <v>45263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</v>
      </c>
      <c r="T1757" s="1">
        <v>0</v>
      </c>
      <c r="U1757" s="1">
        <v>673.88160000000016</v>
      </c>
      <c r="V1757">
        <f>YEAR(Table1[[#This Row],[Order Date]])</f>
        <v>2023</v>
      </c>
      <c r="W1757" t="str">
        <f>TEXT(Table1[[#This Row],[Order Date]],"mmm")</f>
        <v>Dec</v>
      </c>
      <c r="X1757">
        <f t="shared" si="81"/>
        <v>84.23520000000002</v>
      </c>
      <c r="Y1757" t="str">
        <f t="shared" si="82"/>
        <v>Profit</v>
      </c>
      <c r="Z1757" t="str">
        <f t="shared" si="83"/>
        <v>No Discount</v>
      </c>
    </row>
    <row r="1758" spans="1:26" x14ac:dyDescent="0.35">
      <c r="A1758" s="1">
        <v>1757</v>
      </c>
      <c r="B1758" s="2" t="s">
        <v>4578</v>
      </c>
      <c r="C1758" s="3">
        <v>45261</v>
      </c>
      <c r="D1758" s="3">
        <v>45263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674.05799999999999</v>
      </c>
      <c r="S1758" s="1">
        <v>3</v>
      </c>
      <c r="T1758" s="1">
        <v>0.3</v>
      </c>
      <c r="U1758" s="1">
        <v>-19.258800000000008</v>
      </c>
      <c r="V1758">
        <f>YEAR(Table1[[#This Row],[Order Date]])</f>
        <v>2023</v>
      </c>
      <c r="W1758" t="str">
        <f>TEXT(Table1[[#This Row],[Order Date]],"mmm")</f>
        <v>Dec</v>
      </c>
      <c r="X1758">
        <f t="shared" si="81"/>
        <v>-6.4196000000000026</v>
      </c>
      <c r="Y1758" t="str">
        <f t="shared" si="82"/>
        <v>Loss</v>
      </c>
      <c r="Z1758" t="str">
        <f t="shared" si="83"/>
        <v>Medium</v>
      </c>
    </row>
    <row r="1759" spans="1:26" x14ac:dyDescent="0.35">
      <c r="A1759" s="1">
        <v>1758</v>
      </c>
      <c r="B1759" s="2" t="s">
        <v>4574</v>
      </c>
      <c r="C1759" s="3">
        <v>45261</v>
      </c>
      <c r="D1759" s="3">
        <v>45263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8.1280000000000001</v>
      </c>
      <c r="S1759" s="1">
        <v>2</v>
      </c>
      <c r="T1759" s="1">
        <v>0.2</v>
      </c>
      <c r="U1759" s="1">
        <v>1.4223999999999997</v>
      </c>
      <c r="V1759">
        <f>YEAR(Table1[[#This Row],[Order Date]])</f>
        <v>2023</v>
      </c>
      <c r="W1759" t="str">
        <f>TEXT(Table1[[#This Row],[Order Date]],"mmm")</f>
        <v>Dec</v>
      </c>
      <c r="X1759">
        <f t="shared" si="81"/>
        <v>0.71119999999999983</v>
      </c>
      <c r="Y1759" t="str">
        <f t="shared" si="82"/>
        <v>Profit</v>
      </c>
      <c r="Z1759" t="str">
        <f t="shared" si="83"/>
        <v>Low</v>
      </c>
    </row>
    <row r="1760" spans="1:26" x14ac:dyDescent="0.35">
      <c r="A1760" s="1">
        <v>1759</v>
      </c>
      <c r="B1760" s="2" t="s">
        <v>4581</v>
      </c>
      <c r="C1760" s="3">
        <v>45261</v>
      </c>
      <c r="D1760" s="3">
        <v>45265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58.199999999999996</v>
      </c>
      <c r="S1760" s="1">
        <v>3</v>
      </c>
      <c r="T1760" s="1">
        <v>0</v>
      </c>
      <c r="U1760" s="1">
        <v>28.517999999999994</v>
      </c>
      <c r="V1760">
        <f>YEAR(Table1[[#This Row],[Order Date]])</f>
        <v>2023</v>
      </c>
      <c r="W1760" t="str">
        <f>TEXT(Table1[[#This Row],[Order Date]],"mmm")</f>
        <v>Dec</v>
      </c>
      <c r="X1760">
        <f t="shared" si="81"/>
        <v>9.5059999999999985</v>
      </c>
      <c r="Y1760" t="str">
        <f t="shared" si="82"/>
        <v>Profit</v>
      </c>
      <c r="Z1760" t="str">
        <f t="shared" si="83"/>
        <v>No Discount</v>
      </c>
    </row>
    <row r="1761" spans="1:26" x14ac:dyDescent="0.35">
      <c r="A1761" s="1">
        <v>1760</v>
      </c>
      <c r="B1761" s="2" t="s">
        <v>4586</v>
      </c>
      <c r="C1761" s="3">
        <v>45261</v>
      </c>
      <c r="D1761" s="3">
        <v>45263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</v>
      </c>
      <c r="T1761" s="1">
        <v>0</v>
      </c>
      <c r="U1761" s="1">
        <v>3.2405999999999997</v>
      </c>
      <c r="V1761">
        <f>YEAR(Table1[[#This Row],[Order Date]])</f>
        <v>2023</v>
      </c>
      <c r="W1761" t="str">
        <f>TEXT(Table1[[#This Row],[Order Date]],"mmm")</f>
        <v>Dec</v>
      </c>
      <c r="X1761">
        <f t="shared" si="81"/>
        <v>1.6202999999999999</v>
      </c>
      <c r="Y1761" t="str">
        <f t="shared" si="82"/>
        <v>Profit</v>
      </c>
      <c r="Z1761" t="str">
        <f t="shared" si="83"/>
        <v>No Discount</v>
      </c>
    </row>
    <row r="1762" spans="1:26" x14ac:dyDescent="0.35">
      <c r="A1762" s="1">
        <v>1761</v>
      </c>
      <c r="B1762" s="2" t="s">
        <v>4586</v>
      </c>
      <c r="C1762" s="3">
        <v>45261</v>
      </c>
      <c r="D1762" s="3">
        <v>45263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45.839999999999996</v>
      </c>
      <c r="S1762" s="1">
        <v>3</v>
      </c>
      <c r="T1762" s="1">
        <v>0</v>
      </c>
      <c r="U1762" s="1">
        <v>15.585599999999999</v>
      </c>
      <c r="V1762">
        <f>YEAR(Table1[[#This Row],[Order Date]])</f>
        <v>2023</v>
      </c>
      <c r="W1762" t="str">
        <f>TEXT(Table1[[#This Row],[Order Date]],"mmm")</f>
        <v>Dec</v>
      </c>
      <c r="X1762">
        <f t="shared" si="81"/>
        <v>5.1951999999999998</v>
      </c>
      <c r="Y1762" t="str">
        <f t="shared" si="82"/>
        <v>Profit</v>
      </c>
      <c r="Z1762" t="str">
        <f t="shared" si="83"/>
        <v>No Discount</v>
      </c>
    </row>
    <row r="1763" spans="1:26" x14ac:dyDescent="0.35">
      <c r="A1763" s="1">
        <v>1762</v>
      </c>
      <c r="B1763" s="2" t="s">
        <v>4575</v>
      </c>
      <c r="C1763" s="3">
        <v>45261</v>
      </c>
      <c r="D1763" s="3">
        <v>45263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</v>
      </c>
      <c r="T1763" s="1">
        <v>0</v>
      </c>
      <c r="U1763" s="1">
        <v>12.592800000000004</v>
      </c>
      <c r="V1763">
        <f>YEAR(Table1[[#This Row],[Order Date]])</f>
        <v>2023</v>
      </c>
      <c r="W1763" t="str">
        <f>TEXT(Table1[[#This Row],[Order Date]],"mmm")</f>
        <v>Dec</v>
      </c>
      <c r="X1763">
        <f t="shared" si="81"/>
        <v>3.148200000000001</v>
      </c>
      <c r="Y1763" t="str">
        <f t="shared" si="82"/>
        <v>Profit</v>
      </c>
      <c r="Z1763" t="str">
        <f t="shared" si="83"/>
        <v>No Discount</v>
      </c>
    </row>
    <row r="1764" spans="1:26" x14ac:dyDescent="0.35">
      <c r="A1764" s="1">
        <v>1763</v>
      </c>
      <c r="B1764" s="2" t="s">
        <v>4574</v>
      </c>
      <c r="C1764" s="3">
        <v>45261</v>
      </c>
      <c r="D1764" s="3">
        <v>45263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36.288000000000011</v>
      </c>
      <c r="S1764" s="1">
        <v>7</v>
      </c>
      <c r="T1764" s="1">
        <v>0.2</v>
      </c>
      <c r="U1764" s="1">
        <v>12.700800000000001</v>
      </c>
      <c r="V1764">
        <f>YEAR(Table1[[#This Row],[Order Date]])</f>
        <v>2023</v>
      </c>
      <c r="W1764" t="str">
        <f>TEXT(Table1[[#This Row],[Order Date]],"mmm")</f>
        <v>Dec</v>
      </c>
      <c r="X1764">
        <f t="shared" si="81"/>
        <v>1.8144000000000002</v>
      </c>
      <c r="Y1764" t="str">
        <f t="shared" si="82"/>
        <v>Profit</v>
      </c>
      <c r="Z1764" t="str">
        <f t="shared" si="83"/>
        <v>Low</v>
      </c>
    </row>
    <row r="1765" spans="1:26" x14ac:dyDescent="0.35">
      <c r="A1765" s="1">
        <v>1764</v>
      </c>
      <c r="B1765" s="2" t="s">
        <v>4574</v>
      </c>
      <c r="C1765" s="3">
        <v>45261</v>
      </c>
      <c r="D1765" s="3">
        <v>45263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659.98799999999994</v>
      </c>
      <c r="S1765" s="1">
        <v>2</v>
      </c>
      <c r="T1765" s="1">
        <v>0.4</v>
      </c>
      <c r="U1765" s="1">
        <v>109.99799999999999</v>
      </c>
      <c r="V1765">
        <f>YEAR(Table1[[#This Row],[Order Date]])</f>
        <v>2023</v>
      </c>
      <c r="W1765" t="str">
        <f>TEXT(Table1[[#This Row],[Order Date]],"mmm")</f>
        <v>Dec</v>
      </c>
      <c r="X1765">
        <f t="shared" si="81"/>
        <v>54.998999999999995</v>
      </c>
      <c r="Y1765" t="str">
        <f t="shared" si="82"/>
        <v>Profit</v>
      </c>
      <c r="Z1765" t="str">
        <f t="shared" si="83"/>
        <v>Medium</v>
      </c>
    </row>
    <row r="1766" spans="1:26" x14ac:dyDescent="0.35">
      <c r="A1766" s="1">
        <v>1765</v>
      </c>
      <c r="B1766" s="2" t="s">
        <v>4591</v>
      </c>
      <c r="C1766" s="3">
        <v>45261</v>
      </c>
      <c r="D1766" s="3">
        <v>45267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95.968000000000004</v>
      </c>
      <c r="S1766" s="1">
        <v>4</v>
      </c>
      <c r="T1766" s="1">
        <v>0.2</v>
      </c>
      <c r="U1766" s="1">
        <v>9.5968000000000053</v>
      </c>
      <c r="V1766">
        <f>YEAR(Table1[[#This Row],[Order Date]])</f>
        <v>2023</v>
      </c>
      <c r="W1766" t="str">
        <f>TEXT(Table1[[#This Row],[Order Date]],"mmm")</f>
        <v>Dec</v>
      </c>
      <c r="X1766">
        <f t="shared" si="81"/>
        <v>2.3992000000000013</v>
      </c>
      <c r="Y1766" t="str">
        <f t="shared" si="82"/>
        <v>Profit</v>
      </c>
      <c r="Z1766" t="str">
        <f t="shared" si="83"/>
        <v>Low</v>
      </c>
    </row>
    <row r="1767" spans="1:26" x14ac:dyDescent="0.35">
      <c r="A1767" s="1">
        <v>1766</v>
      </c>
      <c r="B1767" s="2" t="s">
        <v>4586</v>
      </c>
      <c r="C1767" s="3">
        <v>45261</v>
      </c>
      <c r="D1767" s="3">
        <v>45263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271.89999999999998</v>
      </c>
      <c r="S1767" s="1">
        <v>2</v>
      </c>
      <c r="T1767" s="1">
        <v>0</v>
      </c>
      <c r="U1767" s="1">
        <v>78.850999999999971</v>
      </c>
      <c r="V1767">
        <f>YEAR(Table1[[#This Row],[Order Date]])</f>
        <v>2023</v>
      </c>
      <c r="W1767" t="str">
        <f>TEXT(Table1[[#This Row],[Order Date]],"mmm")</f>
        <v>Dec</v>
      </c>
      <c r="X1767">
        <f t="shared" si="81"/>
        <v>39.425499999999985</v>
      </c>
      <c r="Y1767" t="str">
        <f t="shared" si="82"/>
        <v>Profit</v>
      </c>
      <c r="Z1767" t="str">
        <f t="shared" si="83"/>
        <v>No Discount</v>
      </c>
    </row>
    <row r="1768" spans="1:26" x14ac:dyDescent="0.35">
      <c r="A1768" s="1">
        <v>1767</v>
      </c>
      <c r="B1768" s="2" t="s">
        <v>4594</v>
      </c>
      <c r="C1768" s="3">
        <v>45262</v>
      </c>
      <c r="D1768" s="3">
        <v>45264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  <c r="V1768">
        <f>YEAR(Table1[[#This Row],[Order Date]])</f>
        <v>2023</v>
      </c>
      <c r="W1768" t="str">
        <f>TEXT(Table1[[#This Row],[Order Date]],"mmm")</f>
        <v>Dec</v>
      </c>
      <c r="X1768">
        <f t="shared" si="81"/>
        <v>-22.098000000000013</v>
      </c>
      <c r="Y1768" t="str">
        <f t="shared" si="82"/>
        <v>Loss</v>
      </c>
      <c r="Z1768" t="str">
        <f t="shared" si="83"/>
        <v>Low</v>
      </c>
    </row>
    <row r="1769" spans="1:26" x14ac:dyDescent="0.35">
      <c r="A1769" s="1">
        <v>1768</v>
      </c>
      <c r="B1769" s="2" t="s">
        <v>4597</v>
      </c>
      <c r="C1769" s="3">
        <v>45262</v>
      </c>
      <c r="D1769" s="3">
        <v>45267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  <c r="V1769">
        <f>YEAR(Table1[[#This Row],[Order Date]])</f>
        <v>2023</v>
      </c>
      <c r="W1769" t="str">
        <f>TEXT(Table1[[#This Row],[Order Date]],"mmm")</f>
        <v>Dec</v>
      </c>
      <c r="X1769">
        <f t="shared" si="81"/>
        <v>8.0945999999999998</v>
      </c>
      <c r="Y1769" t="str">
        <f t="shared" si="82"/>
        <v>Profit</v>
      </c>
      <c r="Z1769" t="str">
        <f t="shared" si="83"/>
        <v>No Discount</v>
      </c>
    </row>
    <row r="1770" spans="1:26" x14ac:dyDescent="0.35">
      <c r="A1770" s="1">
        <v>1769</v>
      </c>
      <c r="B1770" s="2" t="s">
        <v>4599</v>
      </c>
      <c r="C1770" s="3">
        <v>45262</v>
      </c>
      <c r="D1770" s="3">
        <v>45266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</v>
      </c>
      <c r="T1770" s="1">
        <v>0.6</v>
      </c>
      <c r="U1770" s="1">
        <v>-24.802999999999997</v>
      </c>
      <c r="V1770">
        <f>YEAR(Table1[[#This Row],[Order Date]])</f>
        <v>2023</v>
      </c>
      <c r="W1770" t="str">
        <f>TEXT(Table1[[#This Row],[Order Date]],"mmm")</f>
        <v>Dec</v>
      </c>
      <c r="X1770">
        <f t="shared" si="81"/>
        <v>-4.9605999999999995</v>
      </c>
      <c r="Y1770" t="str">
        <f t="shared" si="82"/>
        <v>Loss</v>
      </c>
      <c r="Z1770" t="str">
        <f t="shared" si="83"/>
        <v>High</v>
      </c>
    </row>
    <row r="1771" spans="1:26" x14ac:dyDescent="0.35">
      <c r="A1771" s="1">
        <v>1770</v>
      </c>
      <c r="B1771" s="2" t="s">
        <v>4599</v>
      </c>
      <c r="C1771" s="3">
        <v>45262</v>
      </c>
      <c r="D1771" s="3">
        <v>45266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39.960000000000008</v>
      </c>
      <c r="S1771" s="1">
        <v>5</v>
      </c>
      <c r="T1771" s="1">
        <v>0.6</v>
      </c>
      <c r="U1771" s="1">
        <v>-23.975999999999999</v>
      </c>
      <c r="V1771">
        <f>YEAR(Table1[[#This Row],[Order Date]])</f>
        <v>2023</v>
      </c>
      <c r="W1771" t="str">
        <f>TEXT(Table1[[#This Row],[Order Date]],"mmm")</f>
        <v>Dec</v>
      </c>
      <c r="X1771">
        <f t="shared" si="81"/>
        <v>-4.7951999999999995</v>
      </c>
      <c r="Y1771" t="str">
        <f t="shared" si="82"/>
        <v>Loss</v>
      </c>
      <c r="Z1771" t="str">
        <f t="shared" si="83"/>
        <v>High</v>
      </c>
    </row>
    <row r="1772" spans="1:26" x14ac:dyDescent="0.35">
      <c r="A1772" s="1">
        <v>1771</v>
      </c>
      <c r="B1772" s="2" t="s">
        <v>4597</v>
      </c>
      <c r="C1772" s="3">
        <v>45262</v>
      </c>
      <c r="D1772" s="3">
        <v>45267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</v>
      </c>
      <c r="T1772" s="1">
        <v>0</v>
      </c>
      <c r="U1772" s="1">
        <v>23.680799999999998</v>
      </c>
      <c r="V1772">
        <f>YEAR(Table1[[#This Row],[Order Date]])</f>
        <v>2023</v>
      </c>
      <c r="W1772" t="str">
        <f>TEXT(Table1[[#This Row],[Order Date]],"mmm")</f>
        <v>Dec</v>
      </c>
      <c r="X1772">
        <f t="shared" si="81"/>
        <v>7.8935999999999993</v>
      </c>
      <c r="Y1772" t="str">
        <f t="shared" si="82"/>
        <v>Profit</v>
      </c>
      <c r="Z1772" t="str">
        <f t="shared" si="83"/>
        <v>No Discount</v>
      </c>
    </row>
    <row r="1773" spans="1:26" x14ac:dyDescent="0.35">
      <c r="A1773" s="1">
        <v>1772</v>
      </c>
      <c r="B1773" s="2" t="s">
        <v>4606</v>
      </c>
      <c r="C1773" s="3">
        <v>45262</v>
      </c>
      <c r="D1773" s="3">
        <v>45264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2.3939999999999997</v>
      </c>
      <c r="S1773" s="1">
        <v>1</v>
      </c>
      <c r="T1773" s="1">
        <v>0.8</v>
      </c>
      <c r="U1773" s="1">
        <v>-6.344100000000001</v>
      </c>
      <c r="V1773">
        <f>YEAR(Table1[[#This Row],[Order Date]])</f>
        <v>2023</v>
      </c>
      <c r="W1773" t="str">
        <f>TEXT(Table1[[#This Row],[Order Date]],"mmm")</f>
        <v>Dec</v>
      </c>
      <c r="X1773">
        <f t="shared" si="81"/>
        <v>-6.344100000000001</v>
      </c>
      <c r="Y1773" t="str">
        <f t="shared" si="82"/>
        <v>Loss</v>
      </c>
      <c r="Z1773" t="str">
        <f t="shared" si="83"/>
        <v>High</v>
      </c>
    </row>
    <row r="1774" spans="1:26" x14ac:dyDescent="0.35">
      <c r="A1774" s="1">
        <v>1773</v>
      </c>
      <c r="B1774" s="2" t="s">
        <v>4599</v>
      </c>
      <c r="C1774" s="3">
        <v>45262</v>
      </c>
      <c r="D1774" s="3">
        <v>45266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16.463999999999999</v>
      </c>
      <c r="S1774" s="1">
        <v>7</v>
      </c>
      <c r="T1774" s="1">
        <v>0.2</v>
      </c>
      <c r="U1774" s="1">
        <v>1.4406000000000008</v>
      </c>
      <c r="V1774">
        <f>YEAR(Table1[[#This Row],[Order Date]])</f>
        <v>2023</v>
      </c>
      <c r="W1774" t="str">
        <f>TEXT(Table1[[#This Row],[Order Date]],"mmm")</f>
        <v>Dec</v>
      </c>
      <c r="X1774">
        <f t="shared" si="81"/>
        <v>0.20580000000000012</v>
      </c>
      <c r="Y1774" t="str">
        <f t="shared" si="82"/>
        <v>Profit</v>
      </c>
      <c r="Z1774" t="str">
        <f t="shared" si="83"/>
        <v>Low</v>
      </c>
    </row>
    <row r="1775" spans="1:26" x14ac:dyDescent="0.35">
      <c r="A1775" s="1">
        <v>1774</v>
      </c>
      <c r="B1775" s="2" t="s">
        <v>4594</v>
      </c>
      <c r="C1775" s="3">
        <v>45262</v>
      </c>
      <c r="D1775" s="3">
        <v>45264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</v>
      </c>
      <c r="T1775" s="1">
        <v>0.2</v>
      </c>
      <c r="U1775" s="1">
        <v>15.767999999999997</v>
      </c>
      <c r="V1775">
        <f>YEAR(Table1[[#This Row],[Order Date]])</f>
        <v>2023</v>
      </c>
      <c r="W1775" t="str">
        <f>TEXT(Table1[[#This Row],[Order Date]],"mmm")</f>
        <v>Dec</v>
      </c>
      <c r="X1775">
        <f t="shared" si="81"/>
        <v>1.9709999999999996</v>
      </c>
      <c r="Y1775" t="str">
        <f t="shared" si="82"/>
        <v>Profit</v>
      </c>
      <c r="Z1775" t="str">
        <f t="shared" si="83"/>
        <v>Low</v>
      </c>
    </row>
    <row r="1776" spans="1:26" x14ac:dyDescent="0.35">
      <c r="A1776" s="1">
        <v>1775</v>
      </c>
      <c r="B1776" s="2" t="s">
        <v>4597</v>
      </c>
      <c r="C1776" s="3">
        <v>45262</v>
      </c>
      <c r="D1776" s="3">
        <v>45267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  <c r="V1776">
        <f>YEAR(Table1[[#This Row],[Order Date]])</f>
        <v>2023</v>
      </c>
      <c r="W1776" t="str">
        <f>TEXT(Table1[[#This Row],[Order Date]],"mmm")</f>
        <v>Dec</v>
      </c>
      <c r="X1776">
        <f t="shared" si="81"/>
        <v>1.2005999999999999</v>
      </c>
      <c r="Y1776" t="str">
        <f t="shared" si="82"/>
        <v>Profit</v>
      </c>
      <c r="Z1776" t="str">
        <f t="shared" si="83"/>
        <v>No Discount</v>
      </c>
    </row>
    <row r="1777" spans="1:26" x14ac:dyDescent="0.35">
      <c r="A1777" s="1">
        <v>1776</v>
      </c>
      <c r="B1777" s="2" t="s">
        <v>4611</v>
      </c>
      <c r="C1777" s="3">
        <v>45262</v>
      </c>
      <c r="D1777" s="3">
        <v>45269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  <c r="V1777">
        <f>YEAR(Table1[[#This Row],[Order Date]])</f>
        <v>2023</v>
      </c>
      <c r="W1777" t="str">
        <f>TEXT(Table1[[#This Row],[Order Date]],"mmm")</f>
        <v>Dec</v>
      </c>
      <c r="X1777">
        <f t="shared" si="81"/>
        <v>2.3875999999999999</v>
      </c>
      <c r="Y1777" t="str">
        <f t="shared" si="82"/>
        <v>Profit</v>
      </c>
      <c r="Z1777" t="str">
        <f t="shared" si="83"/>
        <v>No Discount</v>
      </c>
    </row>
    <row r="1778" spans="1:26" x14ac:dyDescent="0.35">
      <c r="A1778" s="1">
        <v>1777</v>
      </c>
      <c r="B1778" s="2" t="s">
        <v>4597</v>
      </c>
      <c r="C1778" s="3">
        <v>45262</v>
      </c>
      <c r="D1778" s="3">
        <v>45267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</v>
      </c>
      <c r="T1778" s="1">
        <v>0</v>
      </c>
      <c r="U1778" s="1">
        <v>73.41</v>
      </c>
      <c r="V1778">
        <f>YEAR(Table1[[#This Row],[Order Date]])</f>
        <v>2023</v>
      </c>
      <c r="W1778" t="str">
        <f>TEXT(Table1[[#This Row],[Order Date]],"mmm")</f>
        <v>Dec</v>
      </c>
      <c r="X1778">
        <f t="shared" si="81"/>
        <v>24.47</v>
      </c>
      <c r="Y1778" t="str">
        <f t="shared" si="82"/>
        <v>Profit</v>
      </c>
      <c r="Z1778" t="str">
        <f t="shared" si="83"/>
        <v>No Discount</v>
      </c>
    </row>
    <row r="1779" spans="1:26" x14ac:dyDescent="0.35">
      <c r="A1779" s="1">
        <v>1778</v>
      </c>
      <c r="B1779" s="2" t="s">
        <v>4611</v>
      </c>
      <c r="C1779" s="3">
        <v>45262</v>
      </c>
      <c r="D1779" s="3">
        <v>45269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</v>
      </c>
      <c r="T1779" s="1">
        <v>0</v>
      </c>
      <c r="U1779" s="1">
        <v>0.83300000000000018</v>
      </c>
      <c r="V1779">
        <f>YEAR(Table1[[#This Row],[Order Date]])</f>
        <v>2023</v>
      </c>
      <c r="W1779" t="str">
        <f>TEXT(Table1[[#This Row],[Order Date]],"mmm")</f>
        <v>Dec</v>
      </c>
      <c r="X1779">
        <f t="shared" si="81"/>
        <v>0.83300000000000018</v>
      </c>
      <c r="Y1779" t="str">
        <f t="shared" si="82"/>
        <v>Profit</v>
      </c>
      <c r="Z1779" t="str">
        <f t="shared" si="83"/>
        <v>No Discount</v>
      </c>
    </row>
    <row r="1780" spans="1:26" x14ac:dyDescent="0.35">
      <c r="A1780" s="1">
        <v>1779</v>
      </c>
      <c r="B1780" s="2" t="s">
        <v>4617</v>
      </c>
      <c r="C1780" s="3">
        <v>45262</v>
      </c>
      <c r="D1780" s="3">
        <v>45267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119.80000000000001</v>
      </c>
      <c r="S1780" s="1">
        <v>5</v>
      </c>
      <c r="T1780" s="1">
        <v>0.2</v>
      </c>
      <c r="U1780" s="1">
        <v>29.950000000000003</v>
      </c>
      <c r="V1780">
        <f>YEAR(Table1[[#This Row],[Order Date]])</f>
        <v>2023</v>
      </c>
      <c r="W1780" t="str">
        <f>TEXT(Table1[[#This Row],[Order Date]],"mmm")</f>
        <v>Dec</v>
      </c>
      <c r="X1780">
        <f t="shared" si="81"/>
        <v>5.99</v>
      </c>
      <c r="Y1780" t="str">
        <f t="shared" si="82"/>
        <v>Profit</v>
      </c>
      <c r="Z1780" t="str">
        <f t="shared" si="83"/>
        <v>Low</v>
      </c>
    </row>
    <row r="1781" spans="1:26" x14ac:dyDescent="0.35">
      <c r="A1781" s="1">
        <v>1780</v>
      </c>
      <c r="B1781" s="2" t="s">
        <v>4594</v>
      </c>
      <c r="C1781" s="3">
        <v>45262</v>
      </c>
      <c r="D1781" s="3">
        <v>45264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</v>
      </c>
      <c r="T1781" s="1">
        <v>0</v>
      </c>
      <c r="U1781" s="1">
        <v>52.78240000000001</v>
      </c>
      <c r="V1781">
        <f>YEAR(Table1[[#This Row],[Order Date]])</f>
        <v>2023</v>
      </c>
      <c r="W1781" t="str">
        <f>TEXT(Table1[[#This Row],[Order Date]],"mmm")</f>
        <v>Dec</v>
      </c>
      <c r="X1781">
        <f t="shared" si="81"/>
        <v>13.195600000000002</v>
      </c>
      <c r="Y1781" t="str">
        <f t="shared" si="82"/>
        <v>Profit</v>
      </c>
      <c r="Z1781" t="str">
        <f t="shared" si="83"/>
        <v>No Discount</v>
      </c>
    </row>
    <row r="1782" spans="1:26" x14ac:dyDescent="0.35">
      <c r="A1782" s="1">
        <v>1781</v>
      </c>
      <c r="B1782" s="2" t="s">
        <v>4622</v>
      </c>
      <c r="C1782" s="3">
        <v>45262</v>
      </c>
      <c r="D1782" s="3">
        <v>45266</v>
      </c>
      <c r="E1782" s="6" t="s">
        <v>22</v>
      </c>
      <c r="F1782" s="6" t="s">
        <v>2107</v>
      </c>
      <c r="G1782" s="6" t="s">
        <v>2108</v>
      </c>
      <c r="H1782" s="6" t="s">
        <v>37</v>
      </c>
      <c r="I1782" s="6" t="s">
        <v>279</v>
      </c>
      <c r="J1782" s="6" t="s">
        <v>2109</v>
      </c>
      <c r="K1782" s="6" t="s">
        <v>2110</v>
      </c>
      <c r="L1782" s="6" t="s">
        <v>2111</v>
      </c>
      <c r="M1782" s="6" t="s">
        <v>54</v>
      </c>
      <c r="N1782" s="6" t="s">
        <v>3596</v>
      </c>
      <c r="O1782" s="6" t="s">
        <v>65</v>
      </c>
      <c r="P1782" s="6" t="s">
        <v>106</v>
      </c>
      <c r="Q1782" s="6" t="s">
        <v>3597</v>
      </c>
      <c r="R1782" s="6">
        <v>58.36</v>
      </c>
      <c r="S1782" s="6">
        <v>5</v>
      </c>
      <c r="T1782" s="6">
        <v>0.6</v>
      </c>
      <c r="U1782" s="6">
        <v>-24.802999999999997</v>
      </c>
      <c r="V1782">
        <f>YEAR(Table1[[#This Row],[Order Date]])</f>
        <v>2023</v>
      </c>
      <c r="W1782" t="str">
        <f>TEXT(Table1[[#This Row],[Order Date]],"mmm")</f>
        <v>Dec</v>
      </c>
      <c r="X1782">
        <f t="shared" si="81"/>
        <v>-4.9605999999999995</v>
      </c>
      <c r="Y1782" t="str">
        <f t="shared" si="82"/>
        <v>Loss</v>
      </c>
      <c r="Z1782" t="str">
        <f t="shared" si="83"/>
        <v>High</v>
      </c>
    </row>
    <row r="1783" spans="1:26" x14ac:dyDescent="0.35">
      <c r="A1783" s="1">
        <v>1782</v>
      </c>
      <c r="B1783" s="2" t="s">
        <v>4623</v>
      </c>
      <c r="C1783" s="3">
        <v>45262</v>
      </c>
      <c r="D1783" s="3">
        <v>45266</v>
      </c>
      <c r="E1783" s="6" t="s">
        <v>22</v>
      </c>
      <c r="F1783" s="6" t="s">
        <v>4624</v>
      </c>
      <c r="G1783" s="6" t="s">
        <v>4625</v>
      </c>
      <c r="H1783" s="6" t="s">
        <v>74</v>
      </c>
      <c r="I1783" s="6" t="s">
        <v>279</v>
      </c>
      <c r="J1783" s="4" t="s">
        <v>4626</v>
      </c>
      <c r="K1783" s="6" t="s">
        <v>4627</v>
      </c>
      <c r="L1783" s="6" t="s">
        <v>4628</v>
      </c>
      <c r="M1783" s="6" t="s">
        <v>54</v>
      </c>
      <c r="N1783" s="6" t="s">
        <v>4602</v>
      </c>
      <c r="O1783" s="6" t="s">
        <v>65</v>
      </c>
      <c r="P1783" s="6" t="s">
        <v>106</v>
      </c>
      <c r="Q1783" s="6" t="s">
        <v>4603</v>
      </c>
      <c r="R1783" s="6">
        <v>39.960000000000008</v>
      </c>
      <c r="S1783" s="6">
        <v>5</v>
      </c>
      <c r="T1783" s="6">
        <v>0.6</v>
      </c>
      <c r="U1783" s="6">
        <v>-20.975999999999999</v>
      </c>
      <c r="V1783">
        <f>YEAR(Table1[[#This Row],[Order Date]])</f>
        <v>2023</v>
      </c>
      <c r="W1783" t="str">
        <f>TEXT(Table1[[#This Row],[Order Date]],"mmm")</f>
        <v>Dec</v>
      </c>
      <c r="X1783">
        <f t="shared" si="81"/>
        <v>-4.1951999999999998</v>
      </c>
      <c r="Y1783" t="str">
        <f t="shared" si="82"/>
        <v>Loss</v>
      </c>
      <c r="Z1783" t="str">
        <f t="shared" si="83"/>
        <v>High</v>
      </c>
    </row>
    <row r="1784" spans="1:26" x14ac:dyDescent="0.35">
      <c r="A1784" s="1">
        <v>1783</v>
      </c>
      <c r="B1784" s="2" t="s">
        <v>4623</v>
      </c>
      <c r="C1784" s="3">
        <v>45262</v>
      </c>
      <c r="D1784" s="3">
        <v>45266</v>
      </c>
      <c r="E1784" s="6" t="s">
        <v>22</v>
      </c>
      <c r="F1784" s="6" t="s">
        <v>4624</v>
      </c>
      <c r="G1784" s="6" t="s">
        <v>4625</v>
      </c>
      <c r="H1784" s="6" t="s">
        <v>74</v>
      </c>
      <c r="I1784" s="6" t="s">
        <v>279</v>
      </c>
      <c r="J1784" s="4" t="s">
        <v>4626</v>
      </c>
      <c r="K1784" s="6" t="s">
        <v>4627</v>
      </c>
      <c r="L1784" s="6" t="s">
        <v>4628</v>
      </c>
      <c r="M1784" s="6" t="s">
        <v>54</v>
      </c>
      <c r="N1784" s="6" t="s">
        <v>4098</v>
      </c>
      <c r="O1784" s="6" t="s">
        <v>31</v>
      </c>
      <c r="P1784" s="6" t="s">
        <v>56</v>
      </c>
      <c r="Q1784" s="6" t="s">
        <v>4099</v>
      </c>
      <c r="R1784" s="6">
        <v>16.463999999999999</v>
      </c>
      <c r="S1784" s="6">
        <v>7</v>
      </c>
      <c r="T1784" s="6">
        <v>0.2</v>
      </c>
      <c r="U1784" s="6">
        <v>2.4405999999999999</v>
      </c>
      <c r="V1784">
        <f>YEAR(Table1[[#This Row],[Order Date]])</f>
        <v>2023</v>
      </c>
      <c r="W1784" t="str">
        <f>TEXT(Table1[[#This Row],[Order Date]],"mmm")</f>
        <v>Dec</v>
      </c>
      <c r="X1784">
        <f t="shared" si="81"/>
        <v>0.34865714285714283</v>
      </c>
      <c r="Y1784" t="str">
        <f t="shared" si="82"/>
        <v>Profit</v>
      </c>
      <c r="Z1784" t="str">
        <f t="shared" si="83"/>
        <v>Low</v>
      </c>
    </row>
    <row r="1785" spans="1:26" x14ac:dyDescent="0.35">
      <c r="A1785" s="1">
        <v>1784</v>
      </c>
      <c r="B1785" s="2" t="s">
        <v>4629</v>
      </c>
      <c r="C1785" s="3">
        <v>45263</v>
      </c>
      <c r="D1785" s="3">
        <v>45266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</v>
      </c>
      <c r="T1785" s="1">
        <v>0</v>
      </c>
      <c r="U1785" s="1">
        <v>12.441600000000001</v>
      </c>
      <c r="V1785">
        <f>YEAR(Table1[[#This Row],[Order Date]])</f>
        <v>2023</v>
      </c>
      <c r="W1785" t="str">
        <f>TEXT(Table1[[#This Row],[Order Date]],"mmm")</f>
        <v>Dec</v>
      </c>
      <c r="X1785">
        <f t="shared" si="81"/>
        <v>3.1104000000000003</v>
      </c>
      <c r="Y1785" t="str">
        <f t="shared" si="82"/>
        <v>Profit</v>
      </c>
      <c r="Z1785" t="str">
        <f t="shared" si="83"/>
        <v>No Discount</v>
      </c>
    </row>
    <row r="1786" spans="1:26" x14ac:dyDescent="0.35">
      <c r="A1786" s="1">
        <v>1785</v>
      </c>
      <c r="B1786" s="2" t="s">
        <v>4630</v>
      </c>
      <c r="C1786" s="3">
        <v>45263</v>
      </c>
      <c r="D1786" s="3">
        <v>45269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</v>
      </c>
      <c r="T1786" s="1">
        <v>0</v>
      </c>
      <c r="U1786" s="1">
        <v>134.3888</v>
      </c>
      <c r="V1786">
        <f>YEAR(Table1[[#This Row],[Order Date]])</f>
        <v>2023</v>
      </c>
      <c r="W1786" t="str">
        <f>TEXT(Table1[[#This Row],[Order Date]],"mmm")</f>
        <v>Dec</v>
      </c>
      <c r="X1786">
        <f t="shared" si="81"/>
        <v>33.597200000000001</v>
      </c>
      <c r="Y1786" t="str">
        <f t="shared" si="82"/>
        <v>Profit</v>
      </c>
      <c r="Z1786" t="str">
        <f t="shared" si="83"/>
        <v>No Discount</v>
      </c>
    </row>
    <row r="1787" spans="1:26" x14ac:dyDescent="0.35">
      <c r="A1787" s="1">
        <v>1786</v>
      </c>
      <c r="B1787" s="2" t="s">
        <v>4634</v>
      </c>
      <c r="C1787" s="3">
        <v>45264</v>
      </c>
      <c r="D1787" s="3">
        <v>45268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  <c r="V1787">
        <f>YEAR(Table1[[#This Row],[Order Date]])</f>
        <v>2023</v>
      </c>
      <c r="W1787" t="str">
        <f>TEXT(Table1[[#This Row],[Order Date]],"mmm")</f>
        <v>Dec</v>
      </c>
      <c r="X1787">
        <f t="shared" si="81"/>
        <v>31.1952</v>
      </c>
      <c r="Y1787" t="str">
        <f t="shared" si="82"/>
        <v>Profit</v>
      </c>
      <c r="Z1787" t="str">
        <f t="shared" si="83"/>
        <v>No Discount</v>
      </c>
    </row>
    <row r="1788" spans="1:26" x14ac:dyDescent="0.35">
      <c r="A1788" s="1">
        <v>1787</v>
      </c>
      <c r="B1788" s="2" t="s">
        <v>4637</v>
      </c>
      <c r="C1788" s="3">
        <v>45264</v>
      </c>
      <c r="D1788" s="3">
        <v>45269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>
        <v>25.08</v>
      </c>
      <c r="S1788" s="4">
        <v>6</v>
      </c>
      <c r="T1788" s="4">
        <v>0</v>
      </c>
      <c r="U1788" s="4">
        <v>9.0299999999999994</v>
      </c>
      <c r="V1788">
        <f>YEAR(Table1[[#This Row],[Order Date]])</f>
        <v>2023</v>
      </c>
      <c r="W1788" t="str">
        <f>TEXT(Table1[[#This Row],[Order Date]],"mmm")</f>
        <v>Dec</v>
      </c>
      <c r="X1788">
        <f t="shared" si="81"/>
        <v>1.5049999999999999</v>
      </c>
      <c r="Y1788" t="str">
        <f t="shared" si="82"/>
        <v>Profit</v>
      </c>
      <c r="Z1788" t="str">
        <f t="shared" si="83"/>
        <v>No Discount</v>
      </c>
    </row>
    <row r="1789" spans="1:26" x14ac:dyDescent="0.35">
      <c r="A1789" s="1">
        <v>1788</v>
      </c>
      <c r="B1789" s="2" t="s">
        <v>4637</v>
      </c>
      <c r="C1789" s="3">
        <v>45264</v>
      </c>
      <c r="D1789" s="3">
        <v>45269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>
        <v>16.899999999999999</v>
      </c>
      <c r="S1789" s="4">
        <v>5</v>
      </c>
      <c r="T1789" s="4">
        <v>0</v>
      </c>
      <c r="U1789" s="4">
        <v>6.25</v>
      </c>
      <c r="V1789">
        <f>YEAR(Table1[[#This Row],[Order Date]])</f>
        <v>2023</v>
      </c>
      <c r="W1789" t="str">
        <f>TEXT(Table1[[#This Row],[Order Date]],"mmm")</f>
        <v>Dec</v>
      </c>
      <c r="X1789">
        <f t="shared" si="81"/>
        <v>1.25</v>
      </c>
      <c r="Y1789" t="str">
        <f t="shared" si="82"/>
        <v>Profit</v>
      </c>
      <c r="Z1789" t="str">
        <f t="shared" si="83"/>
        <v>No Discount</v>
      </c>
    </row>
    <row r="1790" spans="1:26" x14ac:dyDescent="0.35">
      <c r="A1790" s="1">
        <v>1789</v>
      </c>
      <c r="B1790" s="2" t="s">
        <v>4640</v>
      </c>
      <c r="C1790" s="3">
        <v>45265</v>
      </c>
      <c r="D1790" s="3">
        <v>45267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</v>
      </c>
      <c r="T1790" s="1">
        <v>0</v>
      </c>
      <c r="U1790" s="1">
        <v>72.575399999999973</v>
      </c>
      <c r="V1790">
        <f>YEAR(Table1[[#This Row],[Order Date]])</f>
        <v>2023</v>
      </c>
      <c r="W1790" t="str">
        <f>TEXT(Table1[[#This Row],[Order Date]],"mmm")</f>
        <v>Dec</v>
      </c>
      <c r="X1790">
        <f t="shared" si="81"/>
        <v>12.095899999999995</v>
      </c>
      <c r="Y1790" t="str">
        <f t="shared" si="82"/>
        <v>Profit</v>
      </c>
      <c r="Z1790" t="str">
        <f t="shared" si="83"/>
        <v>No Discount</v>
      </c>
    </row>
    <row r="1791" spans="1:26" x14ac:dyDescent="0.35">
      <c r="A1791" s="1">
        <v>1790</v>
      </c>
      <c r="B1791" s="2" t="s">
        <v>4643</v>
      </c>
      <c r="C1791" s="3">
        <v>45265</v>
      </c>
      <c r="D1791" s="3">
        <v>45270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1113.0240000000001</v>
      </c>
      <c r="S1791" s="1">
        <v>8</v>
      </c>
      <c r="T1791" s="1">
        <v>0.2</v>
      </c>
      <c r="U1791" s="1">
        <v>111.30239999999998</v>
      </c>
      <c r="V1791">
        <f>YEAR(Table1[[#This Row],[Order Date]])</f>
        <v>2023</v>
      </c>
      <c r="W1791" t="str">
        <f>TEXT(Table1[[#This Row],[Order Date]],"mmm")</f>
        <v>Dec</v>
      </c>
      <c r="X1791">
        <f t="shared" si="81"/>
        <v>13.912799999999997</v>
      </c>
      <c r="Y1791" t="str">
        <f t="shared" si="82"/>
        <v>Profit</v>
      </c>
      <c r="Z1791" t="str">
        <f t="shared" si="83"/>
        <v>Low</v>
      </c>
    </row>
    <row r="1792" spans="1:26" x14ac:dyDescent="0.35">
      <c r="A1792" s="1">
        <v>1791</v>
      </c>
      <c r="B1792" s="2" t="s">
        <v>4647</v>
      </c>
      <c r="C1792" s="3">
        <v>45265</v>
      </c>
      <c r="D1792" s="3">
        <v>45270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</v>
      </c>
      <c r="T1792" s="1">
        <v>0</v>
      </c>
      <c r="U1792" s="1">
        <v>11.907</v>
      </c>
      <c r="V1792">
        <f>YEAR(Table1[[#This Row],[Order Date]])</f>
        <v>2023</v>
      </c>
      <c r="W1792" t="str">
        <f>TEXT(Table1[[#This Row],[Order Date]],"mmm")</f>
        <v>Dec</v>
      </c>
      <c r="X1792">
        <f t="shared" si="81"/>
        <v>1.323</v>
      </c>
      <c r="Y1792" t="str">
        <f t="shared" si="82"/>
        <v>Profit</v>
      </c>
      <c r="Z1792" t="str">
        <f t="shared" si="83"/>
        <v>No Discount</v>
      </c>
    </row>
    <row r="1793" spans="1:26" x14ac:dyDescent="0.35">
      <c r="A1793" s="1">
        <v>1792</v>
      </c>
      <c r="B1793" s="2" t="s">
        <v>4650</v>
      </c>
      <c r="C1793" s="3">
        <v>45265</v>
      </c>
      <c r="D1793" s="3">
        <v>45269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29.940000000000005</v>
      </c>
      <c r="S1793" s="1">
        <v>4</v>
      </c>
      <c r="T1793" s="1">
        <v>0.7</v>
      </c>
      <c r="U1793" s="1">
        <v>-23.952000000000005</v>
      </c>
      <c r="V1793">
        <f>YEAR(Table1[[#This Row],[Order Date]])</f>
        <v>2023</v>
      </c>
      <c r="W1793" t="str">
        <f>TEXT(Table1[[#This Row],[Order Date]],"mmm")</f>
        <v>Dec</v>
      </c>
      <c r="X1793">
        <f t="shared" si="81"/>
        <v>-5.9880000000000013</v>
      </c>
      <c r="Y1793" t="str">
        <f t="shared" si="82"/>
        <v>Loss</v>
      </c>
      <c r="Z1793" t="str">
        <f t="shared" si="83"/>
        <v>High</v>
      </c>
    </row>
    <row r="1794" spans="1:26" x14ac:dyDescent="0.35">
      <c r="A1794" s="1">
        <v>1793</v>
      </c>
      <c r="B1794" s="2" t="s">
        <v>4651</v>
      </c>
      <c r="C1794" s="3">
        <v>45265</v>
      </c>
      <c r="D1794" s="3">
        <v>45267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</v>
      </c>
      <c r="T1794" s="1">
        <v>0.2</v>
      </c>
      <c r="U1794" s="1">
        <v>117.61469999999996</v>
      </c>
      <c r="V1794">
        <f>YEAR(Table1[[#This Row],[Order Date]])</f>
        <v>2023</v>
      </c>
      <c r="W1794" t="str">
        <f>TEXT(Table1[[#This Row],[Order Date]],"mmm")</f>
        <v>Dec</v>
      </c>
      <c r="X1794">
        <f t="shared" ref="X1794:X1857" si="84">IFERROR(U1794/S1794,0)</f>
        <v>16.802099999999992</v>
      </c>
      <c r="Y1794" t="str">
        <f t="shared" ref="Y1794:Y1857" si="85">IF(U1794&gt;0,"Profit",IF(U1794&lt;0,"Loss","Break-even"))</f>
        <v>Profit</v>
      </c>
      <c r="Z1794" t="str">
        <f t="shared" ref="Z1794:Z1857" si="86">IF(T1794=0,"No Discount",IF(T1794&lt;=0.2,"Low",IF(T1794&lt;=0.4,"Medium","High")))</f>
        <v>Low</v>
      </c>
    </row>
    <row r="1795" spans="1:26" x14ac:dyDescent="0.35">
      <c r="A1795" s="1">
        <v>1794</v>
      </c>
      <c r="B1795" s="2" t="s">
        <v>4647</v>
      </c>
      <c r="C1795" s="3">
        <v>45265</v>
      </c>
      <c r="D1795" s="3">
        <v>45270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</v>
      </c>
      <c r="S1795" s="1">
        <v>3</v>
      </c>
      <c r="T1795" s="1">
        <v>0</v>
      </c>
      <c r="U1795" s="1">
        <v>7.1999999999999993</v>
      </c>
      <c r="V1795">
        <f>YEAR(Table1[[#This Row],[Order Date]])</f>
        <v>2023</v>
      </c>
      <c r="W1795" t="str">
        <f>TEXT(Table1[[#This Row],[Order Date]],"mmm")</f>
        <v>Dec</v>
      </c>
      <c r="X1795">
        <f t="shared" si="84"/>
        <v>2.4</v>
      </c>
      <c r="Y1795" t="str">
        <f t="shared" si="85"/>
        <v>Profit</v>
      </c>
      <c r="Z1795" t="str">
        <f t="shared" si="86"/>
        <v>No Discount</v>
      </c>
    </row>
    <row r="1796" spans="1:26" x14ac:dyDescent="0.35">
      <c r="A1796" s="1">
        <v>1795</v>
      </c>
      <c r="B1796" s="2" t="s">
        <v>4650</v>
      </c>
      <c r="C1796" s="3">
        <v>45265</v>
      </c>
      <c r="D1796" s="3">
        <v>45269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98.376000000000005</v>
      </c>
      <c r="S1796" s="1">
        <v>3</v>
      </c>
      <c r="T1796" s="1">
        <v>0.2</v>
      </c>
      <c r="U1796" s="1">
        <v>35.661300000000004</v>
      </c>
      <c r="V1796">
        <f>YEAR(Table1[[#This Row],[Order Date]])</f>
        <v>2023</v>
      </c>
      <c r="W1796" t="str">
        <f>TEXT(Table1[[#This Row],[Order Date]],"mmm")</f>
        <v>Dec</v>
      </c>
      <c r="X1796">
        <f t="shared" si="84"/>
        <v>11.887100000000002</v>
      </c>
      <c r="Y1796" t="str">
        <f t="shared" si="85"/>
        <v>Profit</v>
      </c>
      <c r="Z1796" t="str">
        <f t="shared" si="86"/>
        <v>Low</v>
      </c>
    </row>
    <row r="1797" spans="1:26" x14ac:dyDescent="0.35">
      <c r="A1797" s="1">
        <v>1796</v>
      </c>
      <c r="B1797" s="2" t="s">
        <v>4647</v>
      </c>
      <c r="C1797" s="3">
        <v>45265</v>
      </c>
      <c r="D1797" s="3">
        <v>45270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</v>
      </c>
      <c r="T1797" s="1">
        <v>0</v>
      </c>
      <c r="U1797" s="1">
        <v>23.086399999999998</v>
      </c>
      <c r="V1797">
        <f>YEAR(Table1[[#This Row],[Order Date]])</f>
        <v>2023</v>
      </c>
      <c r="W1797" t="str">
        <f>TEXT(Table1[[#This Row],[Order Date]],"mmm")</f>
        <v>Dec</v>
      </c>
      <c r="X1797">
        <f t="shared" si="84"/>
        <v>5.7715999999999994</v>
      </c>
      <c r="Y1797" t="str">
        <f t="shared" si="85"/>
        <v>Profit</v>
      </c>
      <c r="Z1797" t="str">
        <f t="shared" si="86"/>
        <v>No Discount</v>
      </c>
    </row>
    <row r="1798" spans="1:26" x14ac:dyDescent="0.35">
      <c r="A1798" s="1">
        <v>1797</v>
      </c>
      <c r="B1798" s="2" t="s">
        <v>4650</v>
      </c>
      <c r="C1798" s="3">
        <v>45265</v>
      </c>
      <c r="D1798" s="3">
        <v>45269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17.472000000000001</v>
      </c>
      <c r="S1798" s="1">
        <v>3</v>
      </c>
      <c r="T1798" s="1">
        <v>0.2</v>
      </c>
      <c r="U1798" s="1">
        <v>5.6783999999999981</v>
      </c>
      <c r="V1798">
        <f>YEAR(Table1[[#This Row],[Order Date]])</f>
        <v>2023</v>
      </c>
      <c r="W1798" t="str">
        <f>TEXT(Table1[[#This Row],[Order Date]],"mmm")</f>
        <v>Dec</v>
      </c>
      <c r="X1798">
        <f t="shared" si="84"/>
        <v>1.8927999999999994</v>
      </c>
      <c r="Y1798" t="str">
        <f t="shared" si="85"/>
        <v>Profit</v>
      </c>
      <c r="Z1798" t="str">
        <f t="shared" si="86"/>
        <v>Low</v>
      </c>
    </row>
    <row r="1799" spans="1:26" x14ac:dyDescent="0.35">
      <c r="A1799" s="1">
        <v>1798</v>
      </c>
      <c r="B1799" s="2" t="s">
        <v>4651</v>
      </c>
      <c r="C1799" s="3">
        <v>45265</v>
      </c>
      <c r="D1799" s="3">
        <v>45267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172.73599999999999</v>
      </c>
      <c r="S1799" s="1">
        <v>4</v>
      </c>
      <c r="T1799" s="1">
        <v>0.2</v>
      </c>
      <c r="U1799" s="1">
        <v>-30.228800000000007</v>
      </c>
      <c r="V1799">
        <f>YEAR(Table1[[#This Row],[Order Date]])</f>
        <v>2023</v>
      </c>
      <c r="W1799" t="str">
        <f>TEXT(Table1[[#This Row],[Order Date]],"mmm")</f>
        <v>Dec</v>
      </c>
      <c r="X1799">
        <f t="shared" si="84"/>
        <v>-7.5572000000000017</v>
      </c>
      <c r="Y1799" t="str">
        <f t="shared" si="85"/>
        <v>Loss</v>
      </c>
      <c r="Z1799" t="str">
        <f t="shared" si="86"/>
        <v>Low</v>
      </c>
    </row>
    <row r="1800" spans="1:26" x14ac:dyDescent="0.35">
      <c r="A1800" s="1">
        <v>1799</v>
      </c>
      <c r="B1800" s="2" t="s">
        <v>4654</v>
      </c>
      <c r="C1800" s="3">
        <v>45265</v>
      </c>
      <c r="D1800" s="3">
        <v>45272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</v>
      </c>
      <c r="T1800" s="1">
        <v>0</v>
      </c>
      <c r="U1800" s="1">
        <v>6.8767999999999994</v>
      </c>
      <c r="V1800">
        <f>YEAR(Table1[[#This Row],[Order Date]])</f>
        <v>2023</v>
      </c>
      <c r="W1800" t="str">
        <f>TEXT(Table1[[#This Row],[Order Date]],"mmm")</f>
        <v>Dec</v>
      </c>
      <c r="X1800">
        <f t="shared" si="84"/>
        <v>3.4383999999999997</v>
      </c>
      <c r="Y1800" t="str">
        <f t="shared" si="85"/>
        <v>Profit</v>
      </c>
      <c r="Z1800" t="str">
        <f t="shared" si="86"/>
        <v>No Discount</v>
      </c>
    </row>
    <row r="1801" spans="1:26" x14ac:dyDescent="0.35">
      <c r="A1801" s="1">
        <v>1800</v>
      </c>
      <c r="B1801" s="2" t="s">
        <v>4657</v>
      </c>
      <c r="C1801" s="3">
        <v>45265</v>
      </c>
      <c r="D1801" s="3">
        <v>45269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24.816000000000003</v>
      </c>
      <c r="S1801" s="1">
        <v>2</v>
      </c>
      <c r="T1801" s="1">
        <v>0.2</v>
      </c>
      <c r="U1801" s="1">
        <v>1.8612000000000002</v>
      </c>
      <c r="V1801">
        <f>YEAR(Table1[[#This Row],[Order Date]])</f>
        <v>2023</v>
      </c>
      <c r="W1801" t="str">
        <f>TEXT(Table1[[#This Row],[Order Date]],"mmm")</f>
        <v>Dec</v>
      </c>
      <c r="X1801">
        <f t="shared" si="84"/>
        <v>0.93060000000000009</v>
      </c>
      <c r="Y1801" t="str">
        <f t="shared" si="85"/>
        <v>Profit</v>
      </c>
      <c r="Z1801" t="str">
        <f t="shared" si="86"/>
        <v>Low</v>
      </c>
    </row>
    <row r="1802" spans="1:26" x14ac:dyDescent="0.35">
      <c r="A1802" s="1">
        <v>1801</v>
      </c>
      <c r="B1802" s="2" t="s">
        <v>4657</v>
      </c>
      <c r="C1802" s="3">
        <v>45265</v>
      </c>
      <c r="D1802" s="3">
        <v>45269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408.74399999999997</v>
      </c>
      <c r="S1802" s="1">
        <v>7</v>
      </c>
      <c r="T1802" s="1">
        <v>0.2</v>
      </c>
      <c r="U1802" s="1">
        <v>76.639499999999984</v>
      </c>
      <c r="V1802">
        <f>YEAR(Table1[[#This Row],[Order Date]])</f>
        <v>2023</v>
      </c>
      <c r="W1802" t="str">
        <f>TEXT(Table1[[#This Row],[Order Date]],"mmm")</f>
        <v>Dec</v>
      </c>
      <c r="X1802">
        <f t="shared" si="84"/>
        <v>10.948499999999997</v>
      </c>
      <c r="Y1802" t="str">
        <f t="shared" si="85"/>
        <v>Profit</v>
      </c>
      <c r="Z1802" t="str">
        <f t="shared" si="86"/>
        <v>Low</v>
      </c>
    </row>
    <row r="1803" spans="1:26" x14ac:dyDescent="0.35">
      <c r="A1803" s="1">
        <v>1802</v>
      </c>
      <c r="B1803" s="2" t="s">
        <v>4650</v>
      </c>
      <c r="C1803" s="3">
        <v>45265</v>
      </c>
      <c r="D1803" s="3">
        <v>45269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179.93999999999997</v>
      </c>
      <c r="S1803" s="1">
        <v>2</v>
      </c>
      <c r="T1803" s="1">
        <v>0.4</v>
      </c>
      <c r="U1803" s="1">
        <v>-44.984999999999999</v>
      </c>
      <c r="V1803">
        <f>YEAR(Table1[[#This Row],[Order Date]])</f>
        <v>2023</v>
      </c>
      <c r="W1803" t="str">
        <f>TEXT(Table1[[#This Row],[Order Date]],"mmm")</f>
        <v>Dec</v>
      </c>
      <c r="X1803">
        <f t="shared" si="84"/>
        <v>-22.4925</v>
      </c>
      <c r="Y1803" t="str">
        <f t="shared" si="85"/>
        <v>Loss</v>
      </c>
      <c r="Z1803" t="str">
        <f t="shared" si="86"/>
        <v>Medium</v>
      </c>
    </row>
    <row r="1804" spans="1:26" x14ac:dyDescent="0.35">
      <c r="A1804" s="1">
        <v>1803</v>
      </c>
      <c r="B1804" s="2" t="s">
        <v>4650</v>
      </c>
      <c r="C1804" s="3">
        <v>45265</v>
      </c>
      <c r="D1804" s="3">
        <v>45269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</v>
      </c>
      <c r="T1804" s="1">
        <v>0.4</v>
      </c>
      <c r="U1804" s="1">
        <v>-9.1845000000000034</v>
      </c>
      <c r="V1804">
        <f>YEAR(Table1[[#This Row],[Order Date]])</f>
        <v>2023</v>
      </c>
      <c r="W1804" t="str">
        <f>TEXT(Table1[[#This Row],[Order Date]],"mmm")</f>
        <v>Dec</v>
      </c>
      <c r="X1804">
        <f t="shared" si="84"/>
        <v>-9.1845000000000034</v>
      </c>
      <c r="Y1804" t="str">
        <f t="shared" si="85"/>
        <v>Loss</v>
      </c>
      <c r="Z1804" t="str">
        <f t="shared" si="86"/>
        <v>Medium</v>
      </c>
    </row>
    <row r="1805" spans="1:26" x14ac:dyDescent="0.35">
      <c r="A1805" s="1">
        <v>1804</v>
      </c>
      <c r="B1805" s="2" t="s">
        <v>4643</v>
      </c>
      <c r="C1805" s="3">
        <v>45265</v>
      </c>
      <c r="D1805" s="3">
        <v>45270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167.96800000000002</v>
      </c>
      <c r="S1805" s="1">
        <v>4</v>
      </c>
      <c r="T1805" s="1">
        <v>0.2</v>
      </c>
      <c r="U1805" s="1">
        <v>62.988</v>
      </c>
      <c r="V1805">
        <f>YEAR(Table1[[#This Row],[Order Date]])</f>
        <v>2023</v>
      </c>
      <c r="W1805" t="str">
        <f>TEXT(Table1[[#This Row],[Order Date]],"mmm")</f>
        <v>Dec</v>
      </c>
      <c r="X1805">
        <f t="shared" si="84"/>
        <v>15.747</v>
      </c>
      <c r="Y1805" t="str">
        <f t="shared" si="85"/>
        <v>Profit</v>
      </c>
      <c r="Z1805" t="str">
        <f t="shared" si="86"/>
        <v>Low</v>
      </c>
    </row>
    <row r="1806" spans="1:26" x14ac:dyDescent="0.35">
      <c r="A1806" s="1">
        <v>1805</v>
      </c>
      <c r="B1806" s="2" t="s">
        <v>4664</v>
      </c>
      <c r="C1806" s="3">
        <v>45266</v>
      </c>
      <c r="D1806" s="3">
        <v>45270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10.776000000000002</v>
      </c>
      <c r="S1806" s="1">
        <v>3</v>
      </c>
      <c r="T1806" s="1">
        <v>0.6</v>
      </c>
      <c r="U1806" s="1">
        <v>-4.8491999999999997</v>
      </c>
      <c r="V1806">
        <f>YEAR(Table1[[#This Row],[Order Date]])</f>
        <v>2023</v>
      </c>
      <c r="W1806" t="str">
        <f>TEXT(Table1[[#This Row],[Order Date]],"mmm")</f>
        <v>Dec</v>
      </c>
      <c r="X1806">
        <f t="shared" si="84"/>
        <v>-1.6163999999999998</v>
      </c>
      <c r="Y1806" t="str">
        <f t="shared" si="85"/>
        <v>Loss</v>
      </c>
      <c r="Z1806" t="str">
        <f t="shared" si="86"/>
        <v>High</v>
      </c>
    </row>
    <row r="1807" spans="1:26" x14ac:dyDescent="0.35">
      <c r="A1807" s="1">
        <v>1806</v>
      </c>
      <c r="B1807" s="2" t="s">
        <v>4665</v>
      </c>
      <c r="C1807" s="3">
        <v>45266</v>
      </c>
      <c r="D1807" s="3">
        <v>45268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23.976000000000003</v>
      </c>
      <c r="S1807" s="1">
        <v>3</v>
      </c>
      <c r="T1807" s="1">
        <v>0.6</v>
      </c>
      <c r="U1807" s="1">
        <v>-14.385599999999997</v>
      </c>
      <c r="V1807">
        <f>YEAR(Table1[[#This Row],[Order Date]])</f>
        <v>2023</v>
      </c>
      <c r="W1807" t="str">
        <f>TEXT(Table1[[#This Row],[Order Date]],"mmm")</f>
        <v>Dec</v>
      </c>
      <c r="X1807">
        <f t="shared" si="84"/>
        <v>-4.7951999999999986</v>
      </c>
      <c r="Y1807" t="str">
        <f t="shared" si="85"/>
        <v>Loss</v>
      </c>
      <c r="Z1807" t="str">
        <f t="shared" si="86"/>
        <v>High</v>
      </c>
    </row>
    <row r="1808" spans="1:26" x14ac:dyDescent="0.35">
      <c r="A1808" s="1">
        <v>1807</v>
      </c>
      <c r="B1808" s="2" t="s">
        <v>4666</v>
      </c>
      <c r="C1808" s="3">
        <v>45266</v>
      </c>
      <c r="D1808" s="3">
        <v>45271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</v>
      </c>
      <c r="T1808" s="1">
        <v>0.5</v>
      </c>
      <c r="U1808" s="1">
        <v>-170.80380000000002</v>
      </c>
      <c r="V1808">
        <f>YEAR(Table1[[#This Row],[Order Date]])</f>
        <v>2023</v>
      </c>
      <c r="W1808" t="str">
        <f>TEXT(Table1[[#This Row],[Order Date]],"mmm")</f>
        <v>Dec</v>
      </c>
      <c r="X1808">
        <f t="shared" si="84"/>
        <v>-170.80380000000002</v>
      </c>
      <c r="Y1808" t="str">
        <f t="shared" si="85"/>
        <v>Loss</v>
      </c>
      <c r="Z1808" t="str">
        <f t="shared" si="86"/>
        <v>High</v>
      </c>
    </row>
    <row r="1809" spans="1:26" x14ac:dyDescent="0.35">
      <c r="A1809" s="1">
        <v>1808</v>
      </c>
      <c r="B1809" s="2" t="s">
        <v>4664</v>
      </c>
      <c r="C1809" s="3">
        <v>45266</v>
      </c>
      <c r="D1809" s="3">
        <v>45270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214.95000000000002</v>
      </c>
      <c r="S1809" s="1">
        <v>5</v>
      </c>
      <c r="T1809" s="1">
        <v>0.5</v>
      </c>
      <c r="U1809" s="1">
        <v>-120.37200000000003</v>
      </c>
      <c r="V1809">
        <f>YEAR(Table1[[#This Row],[Order Date]])</f>
        <v>2023</v>
      </c>
      <c r="W1809" t="str">
        <f>TEXT(Table1[[#This Row],[Order Date]],"mmm")</f>
        <v>Dec</v>
      </c>
      <c r="X1809">
        <f t="shared" si="84"/>
        <v>-24.074400000000004</v>
      </c>
      <c r="Y1809" t="str">
        <f t="shared" si="85"/>
        <v>Loss</v>
      </c>
      <c r="Z1809" t="str">
        <f t="shared" si="86"/>
        <v>High</v>
      </c>
    </row>
    <row r="1810" spans="1:26" x14ac:dyDescent="0.35">
      <c r="A1810" s="1">
        <v>1809</v>
      </c>
      <c r="B1810" s="2" t="s">
        <v>4664</v>
      </c>
      <c r="C1810" s="3">
        <v>45266</v>
      </c>
      <c r="D1810" s="3">
        <v>45270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14.015999999999996</v>
      </c>
      <c r="S1810" s="1">
        <v>4</v>
      </c>
      <c r="T1810" s="1">
        <v>0.8</v>
      </c>
      <c r="U1810" s="1">
        <v>-31.536000000000001</v>
      </c>
      <c r="V1810">
        <f>YEAR(Table1[[#This Row],[Order Date]])</f>
        <v>2023</v>
      </c>
      <c r="W1810" t="str">
        <f>TEXT(Table1[[#This Row],[Order Date]],"mmm")</f>
        <v>Dec</v>
      </c>
      <c r="X1810">
        <f t="shared" si="84"/>
        <v>-7.8840000000000003</v>
      </c>
      <c r="Y1810" t="str">
        <f t="shared" si="85"/>
        <v>Loss</v>
      </c>
      <c r="Z1810" t="str">
        <f t="shared" si="86"/>
        <v>High</v>
      </c>
    </row>
    <row r="1811" spans="1:26" x14ac:dyDescent="0.35">
      <c r="A1811" s="1">
        <v>1810</v>
      </c>
      <c r="B1811" s="2" t="s">
        <v>4664</v>
      </c>
      <c r="C1811" s="3">
        <v>45266</v>
      </c>
      <c r="D1811" s="3">
        <v>45270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4.5999999999999988</v>
      </c>
      <c r="S1811" s="1">
        <v>2</v>
      </c>
      <c r="T1811" s="1">
        <v>0.8</v>
      </c>
      <c r="U1811" s="1">
        <v>-8.0500000000000025</v>
      </c>
      <c r="V1811">
        <f>YEAR(Table1[[#This Row],[Order Date]])</f>
        <v>2023</v>
      </c>
      <c r="W1811" t="str">
        <f>TEXT(Table1[[#This Row],[Order Date]],"mmm")</f>
        <v>Dec</v>
      </c>
      <c r="X1811">
        <f t="shared" si="84"/>
        <v>-4.0250000000000012</v>
      </c>
      <c r="Y1811" t="str">
        <f t="shared" si="85"/>
        <v>Loss</v>
      </c>
      <c r="Z1811" t="str">
        <f t="shared" si="86"/>
        <v>High</v>
      </c>
    </row>
    <row r="1812" spans="1:26" x14ac:dyDescent="0.35">
      <c r="A1812" s="1">
        <v>1811</v>
      </c>
      <c r="B1812" s="2" t="s">
        <v>4669</v>
      </c>
      <c r="C1812" s="3">
        <v>45266</v>
      </c>
      <c r="D1812" s="3">
        <v>45271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42.207999999999998</v>
      </c>
      <c r="S1812" s="1">
        <v>2</v>
      </c>
      <c r="T1812" s="1">
        <v>0.2</v>
      </c>
      <c r="U1812" s="1">
        <v>13.717599999999997</v>
      </c>
      <c r="V1812">
        <f>YEAR(Table1[[#This Row],[Order Date]])</f>
        <v>2023</v>
      </c>
      <c r="W1812" t="str">
        <f>TEXT(Table1[[#This Row],[Order Date]],"mmm")</f>
        <v>Dec</v>
      </c>
      <c r="X1812">
        <f t="shared" si="84"/>
        <v>6.8587999999999987</v>
      </c>
      <c r="Y1812" t="str">
        <f t="shared" si="85"/>
        <v>Profit</v>
      </c>
      <c r="Z1812" t="str">
        <f t="shared" si="86"/>
        <v>Low</v>
      </c>
    </row>
    <row r="1813" spans="1:26" x14ac:dyDescent="0.35">
      <c r="A1813" s="1">
        <v>1812</v>
      </c>
      <c r="B1813" s="2" t="s">
        <v>4670</v>
      </c>
      <c r="C1813" s="3">
        <v>45266</v>
      </c>
      <c r="D1813" s="3">
        <v>45268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  <c r="V1813">
        <f>YEAR(Table1[[#This Row],[Order Date]])</f>
        <v>2023</v>
      </c>
      <c r="W1813" t="str">
        <f>TEXT(Table1[[#This Row],[Order Date]],"mmm")</f>
        <v>Dec</v>
      </c>
      <c r="X1813">
        <f t="shared" si="84"/>
        <v>46.849400000000003</v>
      </c>
      <c r="Y1813" t="str">
        <f t="shared" si="85"/>
        <v>Profit</v>
      </c>
      <c r="Z1813" t="str">
        <f t="shared" si="86"/>
        <v>No Discount</v>
      </c>
    </row>
    <row r="1814" spans="1:26" x14ac:dyDescent="0.35">
      <c r="A1814" s="1">
        <v>1813</v>
      </c>
      <c r="B1814" s="2" t="s">
        <v>4666</v>
      </c>
      <c r="C1814" s="3">
        <v>45266</v>
      </c>
      <c r="D1814" s="3">
        <v>45271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53.424000000000007</v>
      </c>
      <c r="S1814" s="1">
        <v>3</v>
      </c>
      <c r="T1814" s="1">
        <v>0.2</v>
      </c>
      <c r="U1814" s="1">
        <v>4.6746000000000016</v>
      </c>
      <c r="V1814">
        <f>YEAR(Table1[[#This Row],[Order Date]])</f>
        <v>2023</v>
      </c>
      <c r="W1814" t="str">
        <f>TEXT(Table1[[#This Row],[Order Date]],"mmm")</f>
        <v>Dec</v>
      </c>
      <c r="X1814">
        <f t="shared" si="84"/>
        <v>1.5582000000000005</v>
      </c>
      <c r="Y1814" t="str">
        <f t="shared" si="85"/>
        <v>Profit</v>
      </c>
      <c r="Z1814" t="str">
        <f t="shared" si="86"/>
        <v>Low</v>
      </c>
    </row>
    <row r="1815" spans="1:26" x14ac:dyDescent="0.35">
      <c r="A1815" s="1">
        <v>1814</v>
      </c>
      <c r="B1815" s="2" t="s">
        <v>4664</v>
      </c>
      <c r="C1815" s="3">
        <v>45266</v>
      </c>
      <c r="D1815" s="3">
        <v>45270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35.167999999999999</v>
      </c>
      <c r="S1815" s="1">
        <v>2</v>
      </c>
      <c r="T1815" s="1">
        <v>0.2</v>
      </c>
      <c r="U1815" s="1">
        <v>-8.3524000000000012</v>
      </c>
      <c r="V1815">
        <f>YEAR(Table1[[#This Row],[Order Date]])</f>
        <v>2023</v>
      </c>
      <c r="W1815" t="str">
        <f>TEXT(Table1[[#This Row],[Order Date]],"mmm")</f>
        <v>Dec</v>
      </c>
      <c r="X1815">
        <f t="shared" si="84"/>
        <v>-4.1762000000000006</v>
      </c>
      <c r="Y1815" t="str">
        <f t="shared" si="85"/>
        <v>Loss</v>
      </c>
      <c r="Z1815" t="str">
        <f t="shared" si="86"/>
        <v>Low</v>
      </c>
    </row>
    <row r="1816" spans="1:26" x14ac:dyDescent="0.35">
      <c r="A1816" s="1">
        <v>1815</v>
      </c>
      <c r="B1816" s="2" t="s">
        <v>4664</v>
      </c>
      <c r="C1816" s="3">
        <v>45266</v>
      </c>
      <c r="D1816" s="3">
        <v>45270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</v>
      </c>
      <c r="T1816" s="1">
        <v>0.2</v>
      </c>
      <c r="U1816" s="1">
        <v>-7.0080000000000044</v>
      </c>
      <c r="V1816">
        <f>YEAR(Table1[[#This Row],[Order Date]])</f>
        <v>2023</v>
      </c>
      <c r="W1816" t="str">
        <f>TEXT(Table1[[#This Row],[Order Date]],"mmm")</f>
        <v>Dec</v>
      </c>
      <c r="X1816">
        <f t="shared" si="84"/>
        <v>-1.7520000000000011</v>
      </c>
      <c r="Y1816" t="str">
        <f t="shared" si="85"/>
        <v>Loss</v>
      </c>
      <c r="Z1816" t="str">
        <f t="shared" si="86"/>
        <v>Low</v>
      </c>
    </row>
    <row r="1817" spans="1:26" x14ac:dyDescent="0.35">
      <c r="A1817" s="1">
        <v>1816</v>
      </c>
      <c r="B1817" s="2" t="s">
        <v>4679</v>
      </c>
      <c r="C1817" s="3">
        <v>45267</v>
      </c>
      <c r="D1817" s="3">
        <v>45270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</v>
      </c>
      <c r="T1817" s="1">
        <v>0</v>
      </c>
      <c r="U1817" s="1">
        <v>2.4192</v>
      </c>
      <c r="V1817">
        <f>YEAR(Table1[[#This Row],[Order Date]])</f>
        <v>2023</v>
      </c>
      <c r="W1817" t="str">
        <f>TEXT(Table1[[#This Row],[Order Date]],"mmm")</f>
        <v>Dec</v>
      </c>
      <c r="X1817">
        <f t="shared" si="84"/>
        <v>0.80640000000000001</v>
      </c>
      <c r="Y1817" t="str">
        <f t="shared" si="85"/>
        <v>Profit</v>
      </c>
      <c r="Z1817" t="str">
        <f t="shared" si="86"/>
        <v>No Discount</v>
      </c>
    </row>
    <row r="1818" spans="1:26" x14ac:dyDescent="0.35">
      <c r="A1818" s="1">
        <v>1817</v>
      </c>
      <c r="B1818" s="2" t="s">
        <v>4682</v>
      </c>
      <c r="C1818" s="3">
        <v>45267</v>
      </c>
      <c r="D1818" s="3">
        <v>45268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  <c r="V1818">
        <f>YEAR(Table1[[#This Row],[Order Date]])</f>
        <v>2023</v>
      </c>
      <c r="W1818" t="str">
        <f>TEXT(Table1[[#This Row],[Order Date]],"mmm")</f>
        <v>Dec</v>
      </c>
      <c r="X1818">
        <f t="shared" si="84"/>
        <v>26.930400000000002</v>
      </c>
      <c r="Y1818" t="str">
        <f t="shared" si="85"/>
        <v>Profit</v>
      </c>
      <c r="Z1818" t="str">
        <f t="shared" si="86"/>
        <v>No Discount</v>
      </c>
    </row>
    <row r="1819" spans="1:26" x14ac:dyDescent="0.35">
      <c r="A1819" s="1">
        <v>1818</v>
      </c>
      <c r="B1819" s="2" t="s">
        <v>4685</v>
      </c>
      <c r="C1819" s="3">
        <v>45267</v>
      </c>
      <c r="D1819" s="3">
        <v>45273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</v>
      </c>
      <c r="T1819" s="1">
        <v>0</v>
      </c>
      <c r="U1819" s="1">
        <v>48.539199999999994</v>
      </c>
      <c r="V1819">
        <f>YEAR(Table1[[#This Row],[Order Date]])</f>
        <v>2023</v>
      </c>
      <c r="W1819" t="str">
        <f>TEXT(Table1[[#This Row],[Order Date]],"mmm")</f>
        <v>Dec</v>
      </c>
      <c r="X1819">
        <f t="shared" si="84"/>
        <v>12.134799999999998</v>
      </c>
      <c r="Y1819" t="str">
        <f t="shared" si="85"/>
        <v>Profit</v>
      </c>
      <c r="Z1819" t="str">
        <f t="shared" si="86"/>
        <v>No Discount</v>
      </c>
    </row>
    <row r="1820" spans="1:26" x14ac:dyDescent="0.35">
      <c r="A1820" s="1">
        <v>1819</v>
      </c>
      <c r="B1820" s="2" t="s">
        <v>4686</v>
      </c>
      <c r="C1820" s="3">
        <v>45267</v>
      </c>
      <c r="D1820" s="3">
        <v>45273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269.35999999999996</v>
      </c>
      <c r="S1820" s="1">
        <v>7</v>
      </c>
      <c r="T1820" s="1">
        <v>0</v>
      </c>
      <c r="U1820" s="1">
        <v>70.033599999999993</v>
      </c>
      <c r="V1820">
        <f>YEAR(Table1[[#This Row],[Order Date]])</f>
        <v>2023</v>
      </c>
      <c r="W1820" t="str">
        <f>TEXT(Table1[[#This Row],[Order Date]],"mmm")</f>
        <v>Dec</v>
      </c>
      <c r="X1820">
        <f t="shared" si="84"/>
        <v>10.004799999999999</v>
      </c>
      <c r="Y1820" t="str">
        <f t="shared" si="85"/>
        <v>Profit</v>
      </c>
      <c r="Z1820" t="str">
        <f t="shared" si="86"/>
        <v>No Discount</v>
      </c>
    </row>
    <row r="1821" spans="1:26" x14ac:dyDescent="0.35">
      <c r="A1821" s="1">
        <v>1820</v>
      </c>
      <c r="B1821" s="2" t="s">
        <v>4687</v>
      </c>
      <c r="C1821" s="3">
        <v>45268</v>
      </c>
      <c r="D1821" s="3">
        <v>45270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603.91999999999996</v>
      </c>
      <c r="S1821" s="1">
        <v>5</v>
      </c>
      <c r="T1821" s="1">
        <v>0.2</v>
      </c>
      <c r="U1821" s="1">
        <v>45.294000000000011</v>
      </c>
      <c r="V1821">
        <f>YEAR(Table1[[#This Row],[Order Date]])</f>
        <v>2023</v>
      </c>
      <c r="W1821" t="str">
        <f>TEXT(Table1[[#This Row],[Order Date]],"mmm")</f>
        <v>Dec</v>
      </c>
      <c r="X1821">
        <f t="shared" si="84"/>
        <v>9.0588000000000015</v>
      </c>
      <c r="Y1821" t="str">
        <f t="shared" si="85"/>
        <v>Profit</v>
      </c>
      <c r="Z1821" t="str">
        <f t="shared" si="86"/>
        <v>Low</v>
      </c>
    </row>
    <row r="1822" spans="1:26" x14ac:dyDescent="0.35">
      <c r="A1822" s="1">
        <v>1821</v>
      </c>
      <c r="B1822" s="2" t="s">
        <v>4689</v>
      </c>
      <c r="C1822" s="3">
        <v>45268</v>
      </c>
      <c r="D1822" s="3">
        <v>45275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39.880000000000003</v>
      </c>
      <c r="S1822" s="1">
        <v>2</v>
      </c>
      <c r="T1822" s="1">
        <v>0</v>
      </c>
      <c r="U1822" s="1">
        <v>11.166400000000003</v>
      </c>
      <c r="V1822">
        <f>YEAR(Table1[[#This Row],[Order Date]])</f>
        <v>2023</v>
      </c>
      <c r="W1822" t="str">
        <f>TEXT(Table1[[#This Row],[Order Date]],"mmm")</f>
        <v>Dec</v>
      </c>
      <c r="X1822">
        <f t="shared" si="84"/>
        <v>5.5832000000000015</v>
      </c>
      <c r="Y1822" t="str">
        <f t="shared" si="85"/>
        <v>Profit</v>
      </c>
      <c r="Z1822" t="str">
        <f t="shared" si="86"/>
        <v>No Discount</v>
      </c>
    </row>
    <row r="1823" spans="1:26" x14ac:dyDescent="0.35">
      <c r="A1823" s="1">
        <v>1822</v>
      </c>
      <c r="B1823" s="2" t="s">
        <v>4689</v>
      </c>
      <c r="C1823" s="3">
        <v>45268</v>
      </c>
      <c r="D1823" s="3">
        <v>45275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</v>
      </c>
      <c r="T1823" s="1">
        <v>0</v>
      </c>
      <c r="U1823" s="1">
        <v>28.598399999999994</v>
      </c>
      <c r="V1823">
        <f>YEAR(Table1[[#This Row],[Order Date]])</f>
        <v>2023</v>
      </c>
      <c r="W1823" t="str">
        <f>TEXT(Table1[[#This Row],[Order Date]],"mmm")</f>
        <v>Dec</v>
      </c>
      <c r="X1823">
        <f t="shared" si="84"/>
        <v>9.5327999999999982</v>
      </c>
      <c r="Y1823" t="str">
        <f t="shared" si="85"/>
        <v>Profit</v>
      </c>
      <c r="Z1823" t="str">
        <f t="shared" si="86"/>
        <v>No Discount</v>
      </c>
    </row>
    <row r="1824" spans="1:26" x14ac:dyDescent="0.35">
      <c r="A1824" s="1">
        <v>1823</v>
      </c>
      <c r="B1824" s="2" t="s">
        <v>4692</v>
      </c>
      <c r="C1824" s="3">
        <v>45268</v>
      </c>
      <c r="D1824" s="3">
        <v>45273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6.4560000000000004</v>
      </c>
      <c r="S1824" s="1">
        <v>4</v>
      </c>
      <c r="T1824" s="1">
        <v>0.7</v>
      </c>
      <c r="U1824" s="1">
        <v>-4.5191999999999979</v>
      </c>
      <c r="V1824">
        <f>YEAR(Table1[[#This Row],[Order Date]])</f>
        <v>2023</v>
      </c>
      <c r="W1824" t="str">
        <f>TEXT(Table1[[#This Row],[Order Date]],"mmm")</f>
        <v>Dec</v>
      </c>
      <c r="X1824">
        <f t="shared" si="84"/>
        <v>-1.1297999999999995</v>
      </c>
      <c r="Y1824" t="str">
        <f t="shared" si="85"/>
        <v>Loss</v>
      </c>
      <c r="Z1824" t="str">
        <f t="shared" si="86"/>
        <v>High</v>
      </c>
    </row>
    <row r="1825" spans="1:26" x14ac:dyDescent="0.35">
      <c r="A1825" s="1">
        <v>1824</v>
      </c>
      <c r="B1825" s="2" t="s">
        <v>4692</v>
      </c>
      <c r="C1825" s="3">
        <v>45268</v>
      </c>
      <c r="D1825" s="3">
        <v>45273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27.888000000000002</v>
      </c>
      <c r="S1825" s="1">
        <v>7</v>
      </c>
      <c r="T1825" s="1">
        <v>0.2</v>
      </c>
      <c r="U1825" s="1">
        <v>9.0635999999999974</v>
      </c>
      <c r="V1825">
        <f>YEAR(Table1[[#This Row],[Order Date]])</f>
        <v>2023</v>
      </c>
      <c r="W1825" t="str">
        <f>TEXT(Table1[[#This Row],[Order Date]],"mmm")</f>
        <v>Dec</v>
      </c>
      <c r="X1825">
        <f t="shared" si="84"/>
        <v>1.2947999999999997</v>
      </c>
      <c r="Y1825" t="str">
        <f t="shared" si="85"/>
        <v>Profit</v>
      </c>
      <c r="Z1825" t="str">
        <f t="shared" si="86"/>
        <v>Low</v>
      </c>
    </row>
    <row r="1826" spans="1:26" x14ac:dyDescent="0.35">
      <c r="A1826" s="1">
        <v>1825</v>
      </c>
      <c r="B1826" s="2" t="s">
        <v>4692</v>
      </c>
      <c r="C1826" s="3">
        <v>45268</v>
      </c>
      <c r="D1826" s="3">
        <v>45273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</v>
      </c>
      <c r="T1826" s="1">
        <v>0.2</v>
      </c>
      <c r="U1826" s="1">
        <v>3.7439999999999989</v>
      </c>
      <c r="V1826">
        <f>YEAR(Table1[[#This Row],[Order Date]])</f>
        <v>2023</v>
      </c>
      <c r="W1826" t="str">
        <f>TEXT(Table1[[#This Row],[Order Date]],"mmm")</f>
        <v>Dec</v>
      </c>
      <c r="X1826">
        <f t="shared" si="84"/>
        <v>0.7487999999999998</v>
      </c>
      <c r="Y1826" t="str">
        <f t="shared" si="85"/>
        <v>Profit</v>
      </c>
      <c r="Z1826" t="str">
        <f t="shared" si="86"/>
        <v>Low</v>
      </c>
    </row>
    <row r="1827" spans="1:26" x14ac:dyDescent="0.35">
      <c r="A1827" s="1">
        <v>1826</v>
      </c>
      <c r="B1827" s="2" t="s">
        <v>4692</v>
      </c>
      <c r="C1827" s="3">
        <v>45268</v>
      </c>
      <c r="D1827" s="3">
        <v>45273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10.368000000000002</v>
      </c>
      <c r="S1827" s="1">
        <v>2</v>
      </c>
      <c r="T1827" s="1">
        <v>0.2</v>
      </c>
      <c r="U1827" s="1">
        <v>3.6288</v>
      </c>
      <c r="V1827">
        <f>YEAR(Table1[[#This Row],[Order Date]])</f>
        <v>2023</v>
      </c>
      <c r="W1827" t="str">
        <f>TEXT(Table1[[#This Row],[Order Date]],"mmm")</f>
        <v>Dec</v>
      </c>
      <c r="X1827">
        <f t="shared" si="84"/>
        <v>1.8144</v>
      </c>
      <c r="Y1827" t="str">
        <f t="shared" si="85"/>
        <v>Profit</v>
      </c>
      <c r="Z1827" t="str">
        <f t="shared" si="86"/>
        <v>Low</v>
      </c>
    </row>
    <row r="1828" spans="1:26" x14ac:dyDescent="0.35">
      <c r="A1828" s="1">
        <v>1827</v>
      </c>
      <c r="B1828" s="2" t="s">
        <v>4687</v>
      </c>
      <c r="C1828" s="3">
        <v>45268</v>
      </c>
      <c r="D1828" s="3">
        <v>45270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  <c r="V1828">
        <f>YEAR(Table1[[#This Row],[Order Date]])</f>
        <v>2023</v>
      </c>
      <c r="W1828" t="str">
        <f>TEXT(Table1[[#This Row],[Order Date]],"mmm")</f>
        <v>Dec</v>
      </c>
      <c r="X1828">
        <f t="shared" si="84"/>
        <v>10.506399999999999</v>
      </c>
      <c r="Y1828" t="str">
        <f t="shared" si="85"/>
        <v>Profit</v>
      </c>
      <c r="Z1828" t="str">
        <f t="shared" si="86"/>
        <v>No Discount</v>
      </c>
    </row>
    <row r="1829" spans="1:26" x14ac:dyDescent="0.35">
      <c r="A1829" s="1">
        <v>1828</v>
      </c>
      <c r="B1829" s="2" t="s">
        <v>4699</v>
      </c>
      <c r="C1829" s="3">
        <v>45268</v>
      </c>
      <c r="D1829" s="3">
        <v>45273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60.415999999999997</v>
      </c>
      <c r="S1829" s="1">
        <v>2</v>
      </c>
      <c r="T1829" s="1">
        <v>0.2</v>
      </c>
      <c r="U1829" s="1">
        <v>6.0416000000000025</v>
      </c>
      <c r="V1829">
        <f>YEAR(Table1[[#This Row],[Order Date]])</f>
        <v>2023</v>
      </c>
      <c r="W1829" t="str">
        <f>TEXT(Table1[[#This Row],[Order Date]],"mmm")</f>
        <v>Dec</v>
      </c>
      <c r="X1829">
        <f t="shared" si="84"/>
        <v>3.0208000000000013</v>
      </c>
      <c r="Y1829" t="str">
        <f t="shared" si="85"/>
        <v>Profit</v>
      </c>
      <c r="Z1829" t="str">
        <f t="shared" si="86"/>
        <v>Low</v>
      </c>
    </row>
    <row r="1830" spans="1:26" x14ac:dyDescent="0.35">
      <c r="A1830" s="1">
        <v>1829</v>
      </c>
      <c r="B1830" s="2" t="s">
        <v>4692</v>
      </c>
      <c r="C1830" s="3">
        <v>45268</v>
      </c>
      <c r="D1830" s="3">
        <v>45273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39.072000000000003</v>
      </c>
      <c r="S1830" s="1">
        <v>3</v>
      </c>
      <c r="T1830" s="1">
        <v>0.2</v>
      </c>
      <c r="U1830" s="1">
        <v>2.9304000000000023</v>
      </c>
      <c r="V1830">
        <f>YEAR(Table1[[#This Row],[Order Date]])</f>
        <v>2023</v>
      </c>
      <c r="W1830" t="str">
        <f>TEXT(Table1[[#This Row],[Order Date]],"mmm")</f>
        <v>Dec</v>
      </c>
      <c r="X1830">
        <f t="shared" si="84"/>
        <v>0.97680000000000078</v>
      </c>
      <c r="Y1830" t="str">
        <f t="shared" si="85"/>
        <v>Profit</v>
      </c>
      <c r="Z1830" t="str">
        <f t="shared" si="86"/>
        <v>Low</v>
      </c>
    </row>
    <row r="1831" spans="1:26" x14ac:dyDescent="0.35">
      <c r="A1831" s="1">
        <v>1830</v>
      </c>
      <c r="B1831" s="2" t="s">
        <v>4692</v>
      </c>
      <c r="C1831" s="3">
        <v>45268</v>
      </c>
      <c r="D1831" s="3">
        <v>45273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</v>
      </c>
      <c r="T1831" s="1">
        <v>0.2</v>
      </c>
      <c r="U1831" s="1">
        <v>-2.6025000000000014</v>
      </c>
      <c r="V1831">
        <f>YEAR(Table1[[#This Row],[Order Date]])</f>
        <v>2023</v>
      </c>
      <c r="W1831" t="str">
        <f>TEXT(Table1[[#This Row],[Order Date]],"mmm")</f>
        <v>Dec</v>
      </c>
      <c r="X1831">
        <f t="shared" si="84"/>
        <v>-0.5205000000000003</v>
      </c>
      <c r="Y1831" t="str">
        <f t="shared" si="85"/>
        <v>Loss</v>
      </c>
      <c r="Z1831" t="str">
        <f t="shared" si="86"/>
        <v>Low</v>
      </c>
    </row>
    <row r="1832" spans="1:26" x14ac:dyDescent="0.35">
      <c r="A1832" s="1">
        <v>1831</v>
      </c>
      <c r="B1832" s="2" t="s">
        <v>4692</v>
      </c>
      <c r="C1832" s="3">
        <v>45268</v>
      </c>
      <c r="D1832" s="3">
        <v>45273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103.92000000000002</v>
      </c>
      <c r="S1832" s="1">
        <v>10</v>
      </c>
      <c r="T1832" s="1">
        <v>0.2</v>
      </c>
      <c r="U1832" s="1">
        <v>-18.186000000000014</v>
      </c>
      <c r="V1832">
        <f>YEAR(Table1[[#This Row],[Order Date]])</f>
        <v>2023</v>
      </c>
      <c r="W1832" t="str">
        <f>TEXT(Table1[[#This Row],[Order Date]],"mmm")</f>
        <v>Dec</v>
      </c>
      <c r="X1832">
        <f t="shared" si="84"/>
        <v>-1.8186000000000013</v>
      </c>
      <c r="Y1832" t="str">
        <f t="shared" si="85"/>
        <v>Loss</v>
      </c>
      <c r="Z1832" t="str">
        <f t="shared" si="86"/>
        <v>Low</v>
      </c>
    </row>
    <row r="1833" spans="1:26" x14ac:dyDescent="0.35">
      <c r="A1833" s="1">
        <v>1832</v>
      </c>
      <c r="B1833" s="2" t="s">
        <v>4692</v>
      </c>
      <c r="C1833" s="3">
        <v>45268</v>
      </c>
      <c r="D1833" s="3">
        <v>45273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52.679999999999993</v>
      </c>
      <c r="S1833" s="1">
        <v>3</v>
      </c>
      <c r="T1833" s="1">
        <v>0.2</v>
      </c>
      <c r="U1833" s="1">
        <v>19.754999999999999</v>
      </c>
      <c r="V1833">
        <f>YEAR(Table1[[#This Row],[Order Date]])</f>
        <v>2023</v>
      </c>
      <c r="W1833" t="str">
        <f>TEXT(Table1[[#This Row],[Order Date]],"mmm")</f>
        <v>Dec</v>
      </c>
      <c r="X1833">
        <f t="shared" si="84"/>
        <v>6.585</v>
      </c>
      <c r="Y1833" t="str">
        <f t="shared" si="85"/>
        <v>Profit</v>
      </c>
      <c r="Z1833" t="str">
        <f t="shared" si="86"/>
        <v>Low</v>
      </c>
    </row>
    <row r="1834" spans="1:26" x14ac:dyDescent="0.35">
      <c r="A1834" s="1">
        <v>1833</v>
      </c>
      <c r="B1834" s="2" t="s">
        <v>4706</v>
      </c>
      <c r="C1834" s="3">
        <v>45269</v>
      </c>
      <c r="D1834" s="3">
        <v>45275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20.387999999999995</v>
      </c>
      <c r="S1834" s="1">
        <v>2</v>
      </c>
      <c r="T1834" s="1">
        <v>0.8</v>
      </c>
      <c r="U1834" s="1">
        <v>-53.008800000000008</v>
      </c>
      <c r="V1834">
        <f>YEAR(Table1[[#This Row],[Order Date]])</f>
        <v>2023</v>
      </c>
      <c r="W1834" t="str">
        <f>TEXT(Table1[[#This Row],[Order Date]],"mmm")</f>
        <v>Dec</v>
      </c>
      <c r="X1834">
        <f t="shared" si="84"/>
        <v>-26.504400000000004</v>
      </c>
      <c r="Y1834" t="str">
        <f t="shared" si="85"/>
        <v>Loss</v>
      </c>
      <c r="Z1834" t="str">
        <f t="shared" si="86"/>
        <v>High</v>
      </c>
    </row>
    <row r="1835" spans="1:26" x14ac:dyDescent="0.35">
      <c r="A1835" s="1">
        <v>1834</v>
      </c>
      <c r="B1835" s="2" t="s">
        <v>4707</v>
      </c>
      <c r="C1835" s="3">
        <v>45269</v>
      </c>
      <c r="D1835" s="3">
        <v>45275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  <c r="V1835">
        <f>YEAR(Table1[[#This Row],[Order Date]])</f>
        <v>2023</v>
      </c>
      <c r="W1835" t="str">
        <f>TEXT(Table1[[#This Row],[Order Date]],"mmm")</f>
        <v>Dec</v>
      </c>
      <c r="X1835">
        <f t="shared" si="84"/>
        <v>3.1950000000000003</v>
      </c>
      <c r="Y1835" t="str">
        <f t="shared" si="85"/>
        <v>Profit</v>
      </c>
      <c r="Z1835" t="str">
        <f t="shared" si="86"/>
        <v>Low</v>
      </c>
    </row>
    <row r="1836" spans="1:26" x14ac:dyDescent="0.35">
      <c r="A1836" s="1">
        <v>1835</v>
      </c>
      <c r="B1836" s="2" t="s">
        <v>4706</v>
      </c>
      <c r="C1836" s="3">
        <v>45269</v>
      </c>
      <c r="D1836" s="3">
        <v>45275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8.4480000000000004</v>
      </c>
      <c r="S1836" s="1">
        <v>2</v>
      </c>
      <c r="T1836" s="1">
        <v>0.2</v>
      </c>
      <c r="U1836" s="1">
        <v>2.9568000000000003</v>
      </c>
      <c r="V1836">
        <f>YEAR(Table1[[#This Row],[Order Date]])</f>
        <v>2023</v>
      </c>
      <c r="W1836" t="str">
        <f>TEXT(Table1[[#This Row],[Order Date]],"mmm")</f>
        <v>Dec</v>
      </c>
      <c r="X1836">
        <f t="shared" si="84"/>
        <v>1.4784000000000002</v>
      </c>
      <c r="Y1836" t="str">
        <f t="shared" si="85"/>
        <v>Profit</v>
      </c>
      <c r="Z1836" t="str">
        <f t="shared" si="86"/>
        <v>Low</v>
      </c>
    </row>
    <row r="1837" spans="1:26" x14ac:dyDescent="0.35">
      <c r="A1837" s="1">
        <v>1836</v>
      </c>
      <c r="B1837" s="2" t="s">
        <v>4710</v>
      </c>
      <c r="C1837" s="3">
        <v>45269</v>
      </c>
      <c r="D1837" s="3">
        <v>45271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10.688000000000001</v>
      </c>
      <c r="S1837" s="1">
        <v>2</v>
      </c>
      <c r="T1837" s="1">
        <v>0.2</v>
      </c>
      <c r="U1837" s="1">
        <v>3.7407999999999997</v>
      </c>
      <c r="V1837">
        <f>YEAR(Table1[[#This Row],[Order Date]])</f>
        <v>2023</v>
      </c>
      <c r="W1837" t="str">
        <f>TEXT(Table1[[#This Row],[Order Date]],"mmm")</f>
        <v>Dec</v>
      </c>
      <c r="X1837">
        <f t="shared" si="84"/>
        <v>1.8703999999999998</v>
      </c>
      <c r="Y1837" t="str">
        <f t="shared" si="85"/>
        <v>Profit</v>
      </c>
      <c r="Z1837" t="str">
        <f t="shared" si="86"/>
        <v>Low</v>
      </c>
    </row>
    <row r="1838" spans="1:26" x14ac:dyDescent="0.35">
      <c r="A1838" s="1">
        <v>1837</v>
      </c>
      <c r="B1838" s="2" t="s">
        <v>4711</v>
      </c>
      <c r="C1838" s="3">
        <v>45269</v>
      </c>
      <c r="D1838" s="3">
        <v>45276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  <c r="V1838">
        <f>YEAR(Table1[[#This Row],[Order Date]])</f>
        <v>2023</v>
      </c>
      <c r="W1838" t="str">
        <f>TEXT(Table1[[#This Row],[Order Date]],"mmm")</f>
        <v>Dec</v>
      </c>
      <c r="X1838">
        <f t="shared" si="84"/>
        <v>2.8322000000000003</v>
      </c>
      <c r="Y1838" t="str">
        <f t="shared" si="85"/>
        <v>Profit</v>
      </c>
      <c r="Z1838" t="str">
        <f t="shared" si="86"/>
        <v>No Discount</v>
      </c>
    </row>
    <row r="1839" spans="1:26" x14ac:dyDescent="0.35">
      <c r="A1839" s="1">
        <v>1838</v>
      </c>
      <c r="B1839" s="2" t="s">
        <v>4710</v>
      </c>
      <c r="C1839" s="3">
        <v>45269</v>
      </c>
      <c r="D1839" s="3">
        <v>45271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237.09600000000003</v>
      </c>
      <c r="S1839" s="1">
        <v>3</v>
      </c>
      <c r="T1839" s="1">
        <v>0.2</v>
      </c>
      <c r="U1839" s="1">
        <v>20.745899999999985</v>
      </c>
      <c r="V1839">
        <f>YEAR(Table1[[#This Row],[Order Date]])</f>
        <v>2023</v>
      </c>
      <c r="W1839" t="str">
        <f>TEXT(Table1[[#This Row],[Order Date]],"mmm")</f>
        <v>Dec</v>
      </c>
      <c r="X1839">
        <f t="shared" si="84"/>
        <v>6.9152999999999949</v>
      </c>
      <c r="Y1839" t="str">
        <f t="shared" si="85"/>
        <v>Profit</v>
      </c>
      <c r="Z1839" t="str">
        <f t="shared" si="86"/>
        <v>Low</v>
      </c>
    </row>
    <row r="1840" spans="1:26" x14ac:dyDescent="0.35">
      <c r="A1840" s="1">
        <v>1839</v>
      </c>
      <c r="B1840" s="2" t="s">
        <v>4714</v>
      </c>
      <c r="C1840" s="3">
        <v>45269</v>
      </c>
      <c r="D1840" s="3">
        <v>45274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100.70400000000001</v>
      </c>
      <c r="S1840" s="1">
        <v>6</v>
      </c>
      <c r="T1840" s="1">
        <v>0.2</v>
      </c>
      <c r="U1840" s="1">
        <v>-1.2588000000000008</v>
      </c>
      <c r="V1840">
        <f>YEAR(Table1[[#This Row],[Order Date]])</f>
        <v>2023</v>
      </c>
      <c r="W1840" t="str">
        <f>TEXT(Table1[[#This Row],[Order Date]],"mmm")</f>
        <v>Dec</v>
      </c>
      <c r="X1840">
        <f t="shared" si="84"/>
        <v>-0.20980000000000013</v>
      </c>
      <c r="Y1840" t="str">
        <f t="shared" si="85"/>
        <v>Loss</v>
      </c>
      <c r="Z1840" t="str">
        <f t="shared" si="86"/>
        <v>Low</v>
      </c>
    </row>
    <row r="1841" spans="1:26" x14ac:dyDescent="0.35">
      <c r="A1841" s="1">
        <v>1840</v>
      </c>
      <c r="B1841" s="2" t="s">
        <v>4707</v>
      </c>
      <c r="C1841" s="3">
        <v>45269</v>
      </c>
      <c r="D1841" s="3">
        <v>45275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1079.9759999999999</v>
      </c>
      <c r="S1841" s="1">
        <v>4</v>
      </c>
      <c r="T1841" s="1">
        <v>0.4</v>
      </c>
      <c r="U1841" s="1">
        <v>125.99719999999991</v>
      </c>
      <c r="V1841">
        <f>YEAR(Table1[[#This Row],[Order Date]])</f>
        <v>2023</v>
      </c>
      <c r="W1841" t="str">
        <f>TEXT(Table1[[#This Row],[Order Date]],"mmm")</f>
        <v>Dec</v>
      </c>
      <c r="X1841">
        <f t="shared" si="84"/>
        <v>31.499299999999977</v>
      </c>
      <c r="Y1841" t="str">
        <f t="shared" si="85"/>
        <v>Profit</v>
      </c>
      <c r="Z1841" t="str">
        <f t="shared" si="86"/>
        <v>Medium</v>
      </c>
    </row>
    <row r="1842" spans="1:26" x14ac:dyDescent="0.35">
      <c r="A1842" s="1">
        <v>1841</v>
      </c>
      <c r="B1842" s="2" t="s">
        <v>4718</v>
      </c>
      <c r="C1842" s="3">
        <v>45270</v>
      </c>
      <c r="D1842" s="3">
        <v>45274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  <c r="V1842">
        <f>YEAR(Table1[[#This Row],[Order Date]])</f>
        <v>2023</v>
      </c>
      <c r="W1842" t="str">
        <f>TEXT(Table1[[#This Row],[Order Date]],"mmm")</f>
        <v>Dec</v>
      </c>
      <c r="X1842">
        <f t="shared" si="84"/>
        <v>1.40979999999999</v>
      </c>
      <c r="Y1842" t="str">
        <f t="shared" si="85"/>
        <v>Profit</v>
      </c>
      <c r="Z1842" t="str">
        <f t="shared" si="86"/>
        <v>Low</v>
      </c>
    </row>
    <row r="1843" spans="1:26" x14ac:dyDescent="0.35">
      <c r="A1843" s="1">
        <v>1842</v>
      </c>
      <c r="B1843" s="2" t="s">
        <v>4724</v>
      </c>
      <c r="C1843" s="3">
        <v>45270</v>
      </c>
      <c r="D1843" s="3">
        <v>45275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  <c r="V1843">
        <f>YEAR(Table1[[#This Row],[Order Date]])</f>
        <v>2023</v>
      </c>
      <c r="W1843" t="str">
        <f>TEXT(Table1[[#This Row],[Order Date]],"mmm")</f>
        <v>Dec</v>
      </c>
      <c r="X1843">
        <f t="shared" si="84"/>
        <v>5.3171999999999997</v>
      </c>
      <c r="Y1843" t="str">
        <f t="shared" si="85"/>
        <v>Profit</v>
      </c>
      <c r="Z1843" t="str">
        <f t="shared" si="86"/>
        <v>Low</v>
      </c>
    </row>
    <row r="1844" spans="1:26" x14ac:dyDescent="0.35">
      <c r="A1844" s="1">
        <v>1843</v>
      </c>
      <c r="B1844" s="2" t="s">
        <v>4718</v>
      </c>
      <c r="C1844" s="3">
        <v>45270</v>
      </c>
      <c r="D1844" s="3">
        <v>45274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</v>
      </c>
      <c r="T1844" s="1">
        <v>0</v>
      </c>
      <c r="U1844" s="1">
        <v>12.441600000000001</v>
      </c>
      <c r="V1844">
        <f>YEAR(Table1[[#This Row],[Order Date]])</f>
        <v>2023</v>
      </c>
      <c r="W1844" t="str">
        <f>TEXT(Table1[[#This Row],[Order Date]],"mmm")</f>
        <v>Dec</v>
      </c>
      <c r="X1844">
        <f t="shared" si="84"/>
        <v>3.1104000000000003</v>
      </c>
      <c r="Y1844" t="str">
        <f t="shared" si="85"/>
        <v>Profit</v>
      </c>
      <c r="Z1844" t="str">
        <f t="shared" si="86"/>
        <v>No Discount</v>
      </c>
    </row>
    <row r="1845" spans="1:26" x14ac:dyDescent="0.35">
      <c r="A1845" s="1">
        <v>1844</v>
      </c>
      <c r="B1845" s="2" t="s">
        <v>4718</v>
      </c>
      <c r="C1845" s="3">
        <v>45270</v>
      </c>
      <c r="D1845" s="3">
        <v>45274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  <c r="V1845">
        <f>YEAR(Table1[[#This Row],[Order Date]])</f>
        <v>2023</v>
      </c>
      <c r="W1845" t="str">
        <f>TEXT(Table1[[#This Row],[Order Date]],"mmm")</f>
        <v>Dec</v>
      </c>
      <c r="X1845">
        <f t="shared" si="84"/>
        <v>10.506399999999999</v>
      </c>
      <c r="Y1845" t="str">
        <f t="shared" si="85"/>
        <v>Profit</v>
      </c>
      <c r="Z1845" t="str">
        <f t="shared" si="86"/>
        <v>No Discount</v>
      </c>
    </row>
    <row r="1846" spans="1:26" x14ac:dyDescent="0.35">
      <c r="A1846" s="1">
        <v>1845</v>
      </c>
      <c r="B1846" s="2" t="s">
        <v>4724</v>
      </c>
      <c r="C1846" s="3">
        <v>45270</v>
      </c>
      <c r="D1846" s="3">
        <v>45275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</v>
      </c>
      <c r="T1846" s="1">
        <v>0</v>
      </c>
      <c r="U1846" s="1">
        <v>5.2255999999999991</v>
      </c>
      <c r="V1846">
        <f>YEAR(Table1[[#This Row],[Order Date]])</f>
        <v>2023</v>
      </c>
      <c r="W1846" t="str">
        <f>TEXT(Table1[[#This Row],[Order Date]],"mmm")</f>
        <v>Dec</v>
      </c>
      <c r="X1846">
        <f t="shared" si="84"/>
        <v>2.6127999999999996</v>
      </c>
      <c r="Y1846" t="str">
        <f t="shared" si="85"/>
        <v>Profit</v>
      </c>
      <c r="Z1846" t="str">
        <f t="shared" si="86"/>
        <v>No Discount</v>
      </c>
    </row>
    <row r="1847" spans="1:26" x14ac:dyDescent="0.35">
      <c r="A1847" s="1">
        <v>1846</v>
      </c>
      <c r="B1847" s="2" t="s">
        <v>4729</v>
      </c>
      <c r="C1847" s="3">
        <v>45272</v>
      </c>
      <c r="D1847" s="3">
        <v>45274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254.97449999999998</v>
      </c>
      <c r="S1847" s="1">
        <v>3</v>
      </c>
      <c r="T1847" s="1">
        <v>0.15</v>
      </c>
      <c r="U1847" s="1">
        <v>11.998799999999989</v>
      </c>
      <c r="V1847">
        <f>YEAR(Table1[[#This Row],[Order Date]])</f>
        <v>2023</v>
      </c>
      <c r="W1847" t="str">
        <f>TEXT(Table1[[#This Row],[Order Date]],"mmm")</f>
        <v>Dec</v>
      </c>
      <c r="X1847">
        <f t="shared" si="84"/>
        <v>3.999599999999996</v>
      </c>
      <c r="Y1847" t="str">
        <f t="shared" si="85"/>
        <v>Profit</v>
      </c>
      <c r="Z1847" t="str">
        <f t="shared" si="86"/>
        <v>Low</v>
      </c>
    </row>
    <row r="1848" spans="1:26" x14ac:dyDescent="0.35">
      <c r="A1848" s="1">
        <v>1847</v>
      </c>
      <c r="B1848" s="2" t="s">
        <v>4730</v>
      </c>
      <c r="C1848" s="3">
        <v>45272</v>
      </c>
      <c r="D1848" s="3">
        <v>45275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</v>
      </c>
      <c r="T1848" s="1">
        <v>0</v>
      </c>
      <c r="U1848" s="1">
        <v>4.4352</v>
      </c>
      <c r="V1848">
        <f>YEAR(Table1[[#This Row],[Order Date]])</f>
        <v>2023</v>
      </c>
      <c r="W1848" t="str">
        <f>TEXT(Table1[[#This Row],[Order Date]],"mmm")</f>
        <v>Dec</v>
      </c>
      <c r="X1848">
        <f t="shared" si="84"/>
        <v>1.4783999999999999</v>
      </c>
      <c r="Y1848" t="str">
        <f t="shared" si="85"/>
        <v>Profit</v>
      </c>
      <c r="Z1848" t="str">
        <f t="shared" si="86"/>
        <v>No Discount</v>
      </c>
    </row>
    <row r="1849" spans="1:26" x14ac:dyDescent="0.35">
      <c r="A1849" s="1">
        <v>1848</v>
      </c>
      <c r="B1849" s="2" t="s">
        <v>4733</v>
      </c>
      <c r="C1849" s="3">
        <v>45272</v>
      </c>
      <c r="D1849" s="3">
        <v>45277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</v>
      </c>
      <c r="T1849" s="1">
        <v>0</v>
      </c>
      <c r="U1849" s="1">
        <v>4.330999999999996</v>
      </c>
      <c r="V1849">
        <f>YEAR(Table1[[#This Row],[Order Date]])</f>
        <v>2023</v>
      </c>
      <c r="W1849" t="str">
        <f>TEXT(Table1[[#This Row],[Order Date]],"mmm")</f>
        <v>Dec</v>
      </c>
      <c r="X1849">
        <f t="shared" si="84"/>
        <v>4.330999999999996</v>
      </c>
      <c r="Y1849" t="str">
        <f t="shared" si="85"/>
        <v>Profit</v>
      </c>
      <c r="Z1849" t="str">
        <f t="shared" si="86"/>
        <v>No Discount</v>
      </c>
    </row>
    <row r="1850" spans="1:26" x14ac:dyDescent="0.35">
      <c r="A1850" s="1">
        <v>1849</v>
      </c>
      <c r="B1850" s="2" t="s">
        <v>4730</v>
      </c>
      <c r="C1850" s="3">
        <v>45272</v>
      </c>
      <c r="D1850" s="3">
        <v>45275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  <c r="V1850">
        <f>YEAR(Table1[[#This Row],[Order Date]])</f>
        <v>2023</v>
      </c>
      <c r="W1850" t="str">
        <f>TEXT(Table1[[#This Row],[Order Date]],"mmm")</f>
        <v>Dec</v>
      </c>
      <c r="X1850">
        <f t="shared" si="84"/>
        <v>1.5048000000000001</v>
      </c>
      <c r="Y1850" t="str">
        <f t="shared" si="85"/>
        <v>Profit</v>
      </c>
      <c r="Z1850" t="str">
        <f t="shared" si="86"/>
        <v>No Discount</v>
      </c>
    </row>
    <row r="1851" spans="1:26" x14ac:dyDescent="0.35">
      <c r="A1851" s="1">
        <v>1850</v>
      </c>
      <c r="B1851" s="2" t="s">
        <v>4729</v>
      </c>
      <c r="C1851" s="3">
        <v>45272</v>
      </c>
      <c r="D1851" s="3">
        <v>45274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</v>
      </c>
      <c r="T1851" s="1">
        <v>0.2</v>
      </c>
      <c r="U1851" s="1">
        <v>135.4068000000002</v>
      </c>
      <c r="V1851">
        <f>YEAR(Table1[[#This Row],[Order Date]])</f>
        <v>2023</v>
      </c>
      <c r="W1851" t="str">
        <f>TEXT(Table1[[#This Row],[Order Date]],"mmm")</f>
        <v>Dec</v>
      </c>
      <c r="X1851">
        <f t="shared" si="84"/>
        <v>11.283900000000017</v>
      </c>
      <c r="Y1851" t="str">
        <f t="shared" si="85"/>
        <v>Profit</v>
      </c>
      <c r="Z1851" t="str">
        <f t="shared" si="86"/>
        <v>Low</v>
      </c>
    </row>
    <row r="1852" spans="1:26" x14ac:dyDescent="0.35">
      <c r="A1852" s="1">
        <v>1851</v>
      </c>
      <c r="B1852" s="2" t="s">
        <v>4729</v>
      </c>
      <c r="C1852" s="3">
        <v>45272</v>
      </c>
      <c r="D1852" s="3">
        <v>45274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764.6880000000001</v>
      </c>
      <c r="S1852" s="1">
        <v>6</v>
      </c>
      <c r="T1852" s="1">
        <v>0.2</v>
      </c>
      <c r="U1852" s="1">
        <v>95.585999999999899</v>
      </c>
      <c r="V1852">
        <f>YEAR(Table1[[#This Row],[Order Date]])</f>
        <v>2023</v>
      </c>
      <c r="W1852" t="str">
        <f>TEXT(Table1[[#This Row],[Order Date]],"mmm")</f>
        <v>Dec</v>
      </c>
      <c r="X1852">
        <f t="shared" si="84"/>
        <v>15.930999999999983</v>
      </c>
      <c r="Y1852" t="str">
        <f t="shared" si="85"/>
        <v>Profit</v>
      </c>
      <c r="Z1852" t="str">
        <f t="shared" si="86"/>
        <v>Low</v>
      </c>
    </row>
    <row r="1853" spans="1:26" x14ac:dyDescent="0.35">
      <c r="A1853" s="1">
        <v>1852</v>
      </c>
      <c r="B1853" s="2" t="s">
        <v>4738</v>
      </c>
      <c r="C1853" s="3">
        <v>45272</v>
      </c>
      <c r="D1853" s="3">
        <v>45272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210.39199999999997</v>
      </c>
      <c r="S1853" s="1">
        <v>2</v>
      </c>
      <c r="T1853" s="1">
        <v>0.8</v>
      </c>
      <c r="U1853" s="1">
        <v>-336.62720000000013</v>
      </c>
      <c r="V1853">
        <f>YEAR(Table1[[#This Row],[Order Date]])</f>
        <v>2023</v>
      </c>
      <c r="W1853" t="str">
        <f>TEXT(Table1[[#This Row],[Order Date]],"mmm")</f>
        <v>Dec</v>
      </c>
      <c r="X1853">
        <f t="shared" si="84"/>
        <v>-168.31360000000006</v>
      </c>
      <c r="Y1853" t="str">
        <f t="shared" si="85"/>
        <v>Loss</v>
      </c>
      <c r="Z1853" t="str">
        <f t="shared" si="86"/>
        <v>High</v>
      </c>
    </row>
    <row r="1854" spans="1:26" x14ac:dyDescent="0.35">
      <c r="A1854" s="1">
        <v>1853</v>
      </c>
      <c r="B1854" s="2" t="s">
        <v>4743</v>
      </c>
      <c r="C1854" s="3">
        <v>45272</v>
      </c>
      <c r="D1854" s="3">
        <v>45277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23.472000000000001</v>
      </c>
      <c r="S1854" s="1">
        <v>3</v>
      </c>
      <c r="T1854" s="1">
        <v>0.2</v>
      </c>
      <c r="U1854" s="1">
        <v>7.6283999999999974</v>
      </c>
      <c r="V1854">
        <f>YEAR(Table1[[#This Row],[Order Date]])</f>
        <v>2023</v>
      </c>
      <c r="W1854" t="str">
        <f>TEXT(Table1[[#This Row],[Order Date]],"mmm")</f>
        <v>Dec</v>
      </c>
      <c r="X1854">
        <f t="shared" si="84"/>
        <v>2.5427999999999993</v>
      </c>
      <c r="Y1854" t="str">
        <f t="shared" si="85"/>
        <v>Profit</v>
      </c>
      <c r="Z1854" t="str">
        <f t="shared" si="86"/>
        <v>Low</v>
      </c>
    </row>
    <row r="1855" spans="1:26" x14ac:dyDescent="0.35">
      <c r="A1855" s="1">
        <v>1854</v>
      </c>
      <c r="B1855" s="2" t="s">
        <v>4730</v>
      </c>
      <c r="C1855" s="3">
        <v>45272</v>
      </c>
      <c r="D1855" s="3">
        <v>45275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  <c r="V1855">
        <f>YEAR(Table1[[#This Row],[Order Date]])</f>
        <v>2023</v>
      </c>
      <c r="W1855" t="str">
        <f>TEXT(Table1[[#This Row],[Order Date]],"mmm")</f>
        <v>Dec</v>
      </c>
      <c r="X1855">
        <f t="shared" si="84"/>
        <v>0.20859999999999967</v>
      </c>
      <c r="Y1855" t="str">
        <f t="shared" si="85"/>
        <v>Profit</v>
      </c>
      <c r="Z1855" t="str">
        <f t="shared" si="86"/>
        <v>No Discount</v>
      </c>
    </row>
    <row r="1856" spans="1:26" x14ac:dyDescent="0.35">
      <c r="A1856" s="1">
        <v>1855</v>
      </c>
      <c r="B1856" s="2" t="s">
        <v>4746</v>
      </c>
      <c r="C1856" s="3">
        <v>45273</v>
      </c>
      <c r="D1856" s="3">
        <v>45277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87.960000000000008</v>
      </c>
      <c r="S1856" s="1">
        <v>3</v>
      </c>
      <c r="T1856" s="1">
        <v>0.2</v>
      </c>
      <c r="U1856" s="1">
        <v>7.6965000000000039</v>
      </c>
      <c r="V1856">
        <f>YEAR(Table1[[#This Row],[Order Date]])</f>
        <v>2023</v>
      </c>
      <c r="W1856" t="str">
        <f>TEXT(Table1[[#This Row],[Order Date]],"mmm")</f>
        <v>Dec</v>
      </c>
      <c r="X1856">
        <f t="shared" si="84"/>
        <v>2.5655000000000014</v>
      </c>
      <c r="Y1856" t="str">
        <f t="shared" si="85"/>
        <v>Profit</v>
      </c>
      <c r="Z1856" t="str">
        <f t="shared" si="86"/>
        <v>Low</v>
      </c>
    </row>
    <row r="1857" spans="1:26" x14ac:dyDescent="0.35">
      <c r="A1857" s="1">
        <v>1856</v>
      </c>
      <c r="B1857" s="2" t="s">
        <v>4747</v>
      </c>
      <c r="C1857" s="3">
        <v>45273</v>
      </c>
      <c r="D1857" s="3">
        <v>45277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94.427999999999997</v>
      </c>
      <c r="S1857" s="1">
        <v>3</v>
      </c>
      <c r="T1857" s="1">
        <v>0.6</v>
      </c>
      <c r="U1857" s="1">
        <v>-42.492599999999982</v>
      </c>
      <c r="V1857">
        <f>YEAR(Table1[[#This Row],[Order Date]])</f>
        <v>2023</v>
      </c>
      <c r="W1857" t="str">
        <f>TEXT(Table1[[#This Row],[Order Date]],"mmm")</f>
        <v>Dec</v>
      </c>
      <c r="X1857">
        <f t="shared" si="84"/>
        <v>-14.164199999999994</v>
      </c>
      <c r="Y1857" t="str">
        <f t="shared" si="85"/>
        <v>Loss</v>
      </c>
      <c r="Z1857" t="str">
        <f t="shared" si="86"/>
        <v>High</v>
      </c>
    </row>
    <row r="1858" spans="1:26" x14ac:dyDescent="0.35">
      <c r="A1858" s="1">
        <v>1857</v>
      </c>
      <c r="B1858" s="2" t="s">
        <v>4746</v>
      </c>
      <c r="C1858" s="3">
        <v>45273</v>
      </c>
      <c r="D1858" s="3">
        <v>45277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5.2140000000000004</v>
      </c>
      <c r="S1858" s="1">
        <v>2</v>
      </c>
      <c r="T1858" s="1">
        <v>0.7</v>
      </c>
      <c r="U1858" s="1">
        <v>-4.1711999999999989</v>
      </c>
      <c r="V1858">
        <f>YEAR(Table1[[#This Row],[Order Date]])</f>
        <v>2023</v>
      </c>
      <c r="W1858" t="str">
        <f>TEXT(Table1[[#This Row],[Order Date]],"mmm")</f>
        <v>Dec</v>
      </c>
      <c r="X1858">
        <f t="shared" ref="X1858:X1921" si="87">IFERROR(U1858/S1858,0)</f>
        <v>-2.0855999999999995</v>
      </c>
      <c r="Y1858" t="str">
        <f t="shared" ref="Y1858:Y1921" si="88">IF(U1858&gt;0,"Profit",IF(U1858&lt;0,"Loss","Break-even"))</f>
        <v>Loss</v>
      </c>
      <c r="Z1858" t="str">
        <f t="shared" ref="Z1858:Z1921" si="89">IF(T1858=0,"No Discount",IF(T1858&lt;=0.2,"Low",IF(T1858&lt;=0.4,"Medium","High")))</f>
        <v>High</v>
      </c>
    </row>
    <row r="1859" spans="1:26" x14ac:dyDescent="0.35">
      <c r="A1859" s="1">
        <v>1858</v>
      </c>
      <c r="B1859" s="2" t="s">
        <v>4750</v>
      </c>
      <c r="C1859" s="3">
        <v>45273</v>
      </c>
      <c r="D1859" s="3">
        <v>45275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  <c r="V1859">
        <f>YEAR(Table1[[#This Row],[Order Date]])</f>
        <v>2023</v>
      </c>
      <c r="W1859" t="str">
        <f>TEXT(Table1[[#This Row],[Order Date]],"mmm")</f>
        <v>Dec</v>
      </c>
      <c r="X1859">
        <f t="shared" si="87"/>
        <v>1.9410999999999998</v>
      </c>
      <c r="Y1859" t="str">
        <f t="shared" si="88"/>
        <v>Profit</v>
      </c>
      <c r="Z1859" t="str">
        <f t="shared" si="89"/>
        <v>No Discount</v>
      </c>
    </row>
    <row r="1860" spans="1:26" x14ac:dyDescent="0.35">
      <c r="A1860" s="1">
        <v>1859</v>
      </c>
      <c r="B1860" s="2" t="s">
        <v>4753</v>
      </c>
      <c r="C1860" s="3">
        <v>45273</v>
      </c>
      <c r="D1860" s="3">
        <v>45275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</v>
      </c>
      <c r="T1860" s="1">
        <v>0</v>
      </c>
      <c r="U1860" s="1">
        <v>41.51039999999999</v>
      </c>
      <c r="V1860">
        <f>YEAR(Table1[[#This Row],[Order Date]])</f>
        <v>2023</v>
      </c>
      <c r="W1860" t="str">
        <f>TEXT(Table1[[#This Row],[Order Date]],"mmm")</f>
        <v>Dec</v>
      </c>
      <c r="X1860">
        <f t="shared" si="87"/>
        <v>6.9183999999999983</v>
      </c>
      <c r="Y1860" t="str">
        <f t="shared" si="88"/>
        <v>Profit</v>
      </c>
      <c r="Z1860" t="str">
        <f t="shared" si="89"/>
        <v>No Discount</v>
      </c>
    </row>
    <row r="1861" spans="1:26" x14ac:dyDescent="0.35">
      <c r="A1861" s="1">
        <v>1860</v>
      </c>
      <c r="B1861" s="2" t="s">
        <v>4754</v>
      </c>
      <c r="C1861" s="3">
        <v>45273</v>
      </c>
      <c r="D1861" s="3">
        <v>45275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</v>
      </c>
      <c r="T1861" s="1">
        <v>0.2</v>
      </c>
      <c r="U1861" s="1">
        <v>0.36499999999999977</v>
      </c>
      <c r="V1861">
        <f>YEAR(Table1[[#This Row],[Order Date]])</f>
        <v>2023</v>
      </c>
      <c r="W1861" t="str">
        <f>TEXT(Table1[[#This Row],[Order Date]],"mmm")</f>
        <v>Dec</v>
      </c>
      <c r="X1861">
        <f t="shared" si="87"/>
        <v>0.36499999999999977</v>
      </c>
      <c r="Y1861" t="str">
        <f t="shared" si="88"/>
        <v>Profit</v>
      </c>
      <c r="Z1861" t="str">
        <f t="shared" si="89"/>
        <v>Low</v>
      </c>
    </row>
    <row r="1862" spans="1:26" x14ac:dyDescent="0.35">
      <c r="A1862" s="1">
        <v>1861</v>
      </c>
      <c r="B1862" s="2" t="s">
        <v>4757</v>
      </c>
      <c r="C1862" s="3">
        <v>45274</v>
      </c>
      <c r="D1862" s="3">
        <v>45280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  <c r="V1862">
        <f>YEAR(Table1[[#This Row],[Order Date]])</f>
        <v>2023</v>
      </c>
      <c r="W1862" t="str">
        <f>TEXT(Table1[[#This Row],[Order Date]],"mmm")</f>
        <v>Dec</v>
      </c>
      <c r="X1862">
        <f t="shared" si="87"/>
        <v>3.4931999999999999</v>
      </c>
      <c r="Y1862" t="str">
        <f t="shared" si="88"/>
        <v>Profit</v>
      </c>
      <c r="Z1862" t="str">
        <f t="shared" si="89"/>
        <v>Low</v>
      </c>
    </row>
    <row r="1863" spans="1:26" x14ac:dyDescent="0.35">
      <c r="A1863" s="1">
        <v>1862</v>
      </c>
      <c r="B1863" s="2" t="s">
        <v>4758</v>
      </c>
      <c r="C1863" s="3">
        <v>45274</v>
      </c>
      <c r="D1863" s="3">
        <v>45281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</v>
      </c>
      <c r="T1863" s="1">
        <v>0.4</v>
      </c>
      <c r="U1863" s="1">
        <v>-52.336500000000029</v>
      </c>
      <c r="V1863">
        <f>YEAR(Table1[[#This Row],[Order Date]])</f>
        <v>2023</v>
      </c>
      <c r="W1863" t="str">
        <f>TEXT(Table1[[#This Row],[Order Date]],"mmm")</f>
        <v>Dec</v>
      </c>
      <c r="X1863">
        <f t="shared" si="87"/>
        <v>-52.336500000000029</v>
      </c>
      <c r="Y1863" t="str">
        <f t="shared" si="88"/>
        <v>Loss</v>
      </c>
      <c r="Z1863" t="str">
        <f t="shared" si="89"/>
        <v>Medium</v>
      </c>
    </row>
    <row r="1864" spans="1:26" x14ac:dyDescent="0.35">
      <c r="A1864" s="1">
        <v>1863</v>
      </c>
      <c r="B1864" s="2" t="s">
        <v>4758</v>
      </c>
      <c r="C1864" s="3">
        <v>45274</v>
      </c>
      <c r="D1864" s="3">
        <v>45281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2.6240000000000001</v>
      </c>
      <c r="S1864" s="1">
        <v>1</v>
      </c>
      <c r="T1864" s="1">
        <v>0.2</v>
      </c>
      <c r="U1864" s="1">
        <v>0.29519999999999957</v>
      </c>
      <c r="V1864">
        <f>YEAR(Table1[[#This Row],[Order Date]])</f>
        <v>2023</v>
      </c>
      <c r="W1864" t="str">
        <f>TEXT(Table1[[#This Row],[Order Date]],"mmm")</f>
        <v>Dec</v>
      </c>
      <c r="X1864">
        <f t="shared" si="87"/>
        <v>0.29519999999999957</v>
      </c>
      <c r="Y1864" t="str">
        <f t="shared" si="88"/>
        <v>Profit</v>
      </c>
      <c r="Z1864" t="str">
        <f t="shared" si="89"/>
        <v>Low</v>
      </c>
    </row>
    <row r="1865" spans="1:26" x14ac:dyDescent="0.35">
      <c r="A1865" s="1">
        <v>1864</v>
      </c>
      <c r="B1865" s="2" t="s">
        <v>4764</v>
      </c>
      <c r="C1865" s="3">
        <v>45274</v>
      </c>
      <c r="D1865" s="3">
        <v>45279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5.1039999999999992</v>
      </c>
      <c r="S1865" s="1">
        <v>4</v>
      </c>
      <c r="T1865" s="1">
        <v>0.8</v>
      </c>
      <c r="U1865" s="1">
        <v>-8.6768000000000018</v>
      </c>
      <c r="V1865">
        <f>YEAR(Table1[[#This Row],[Order Date]])</f>
        <v>2023</v>
      </c>
      <c r="W1865" t="str">
        <f>TEXT(Table1[[#This Row],[Order Date]],"mmm")</f>
        <v>Dec</v>
      </c>
      <c r="X1865">
        <f t="shared" si="87"/>
        <v>-2.1692000000000005</v>
      </c>
      <c r="Y1865" t="str">
        <f t="shared" si="88"/>
        <v>Loss</v>
      </c>
      <c r="Z1865" t="str">
        <f t="shared" si="89"/>
        <v>High</v>
      </c>
    </row>
    <row r="1866" spans="1:26" x14ac:dyDescent="0.35">
      <c r="A1866" s="1">
        <v>1865</v>
      </c>
      <c r="B1866" s="2" t="s">
        <v>4765</v>
      </c>
      <c r="C1866" s="3">
        <v>45274</v>
      </c>
      <c r="D1866" s="3">
        <v>45276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9.2639999999999976</v>
      </c>
      <c r="S1866" s="1">
        <v>3</v>
      </c>
      <c r="T1866" s="1">
        <v>0.8</v>
      </c>
      <c r="U1866" s="1">
        <v>-13.895999999999997</v>
      </c>
      <c r="V1866">
        <f>YEAR(Table1[[#This Row],[Order Date]])</f>
        <v>2023</v>
      </c>
      <c r="W1866" t="str">
        <f>TEXT(Table1[[#This Row],[Order Date]],"mmm")</f>
        <v>Dec</v>
      </c>
      <c r="X1866">
        <f t="shared" si="87"/>
        <v>-4.6319999999999988</v>
      </c>
      <c r="Y1866" t="str">
        <f t="shared" si="88"/>
        <v>Loss</v>
      </c>
      <c r="Z1866" t="str">
        <f t="shared" si="89"/>
        <v>High</v>
      </c>
    </row>
    <row r="1867" spans="1:26" x14ac:dyDescent="0.35">
      <c r="A1867" s="1">
        <v>1866</v>
      </c>
      <c r="B1867" s="2" t="s">
        <v>4764</v>
      </c>
      <c r="C1867" s="3">
        <v>45274</v>
      </c>
      <c r="D1867" s="3">
        <v>45279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2.8960000000000004</v>
      </c>
      <c r="S1867" s="1">
        <v>2</v>
      </c>
      <c r="T1867" s="1">
        <v>0.2</v>
      </c>
      <c r="U1867" s="1">
        <v>0.4705999999999998</v>
      </c>
      <c r="V1867">
        <f>YEAR(Table1[[#This Row],[Order Date]])</f>
        <v>2023</v>
      </c>
      <c r="W1867" t="str">
        <f>TEXT(Table1[[#This Row],[Order Date]],"mmm")</f>
        <v>Dec</v>
      </c>
      <c r="X1867">
        <f t="shared" si="87"/>
        <v>0.2352999999999999</v>
      </c>
      <c r="Y1867" t="str">
        <f t="shared" si="88"/>
        <v>Profit</v>
      </c>
      <c r="Z1867" t="str">
        <f t="shared" si="89"/>
        <v>Low</v>
      </c>
    </row>
    <row r="1868" spans="1:26" x14ac:dyDescent="0.35">
      <c r="A1868" s="1">
        <v>1867</v>
      </c>
      <c r="B1868" s="2" t="s">
        <v>4764</v>
      </c>
      <c r="C1868" s="3">
        <v>45274</v>
      </c>
      <c r="D1868" s="3">
        <v>45279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35.016000000000005</v>
      </c>
      <c r="S1868" s="1">
        <v>3</v>
      </c>
      <c r="T1868" s="1">
        <v>0.2</v>
      </c>
      <c r="U1868" s="1">
        <v>-2.188500000000003</v>
      </c>
      <c r="V1868">
        <f>YEAR(Table1[[#This Row],[Order Date]])</f>
        <v>2023</v>
      </c>
      <c r="W1868" t="str">
        <f>TEXT(Table1[[#This Row],[Order Date]],"mmm")</f>
        <v>Dec</v>
      </c>
      <c r="X1868">
        <f t="shared" si="87"/>
        <v>-0.72950000000000104</v>
      </c>
      <c r="Y1868" t="str">
        <f t="shared" si="88"/>
        <v>Loss</v>
      </c>
      <c r="Z1868" t="str">
        <f t="shared" si="89"/>
        <v>Low</v>
      </c>
    </row>
    <row r="1869" spans="1:26" x14ac:dyDescent="0.35">
      <c r="A1869" s="1">
        <v>1868</v>
      </c>
      <c r="B1869" s="2" t="s">
        <v>4758</v>
      </c>
      <c r="C1869" s="3">
        <v>45274</v>
      </c>
      <c r="D1869" s="3">
        <v>45281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263.95999999999998</v>
      </c>
      <c r="S1869" s="1">
        <v>1</v>
      </c>
      <c r="T1869" s="1">
        <v>0.2</v>
      </c>
      <c r="U1869" s="1">
        <v>42.893499999999975</v>
      </c>
      <c r="V1869">
        <f>YEAR(Table1[[#This Row],[Order Date]])</f>
        <v>2023</v>
      </c>
      <c r="W1869" t="str">
        <f>TEXT(Table1[[#This Row],[Order Date]],"mmm")</f>
        <v>Dec</v>
      </c>
      <c r="X1869">
        <f t="shared" si="87"/>
        <v>42.893499999999975</v>
      </c>
      <c r="Y1869" t="str">
        <f t="shared" si="88"/>
        <v>Profit</v>
      </c>
      <c r="Z1869" t="str">
        <f t="shared" si="89"/>
        <v>Low</v>
      </c>
    </row>
    <row r="1870" spans="1:26" x14ac:dyDescent="0.35">
      <c r="A1870" s="1">
        <v>1869</v>
      </c>
      <c r="B1870" s="2" t="s">
        <v>4772</v>
      </c>
      <c r="C1870" s="3">
        <v>45274</v>
      </c>
      <c r="D1870" s="3">
        <v>45281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</v>
      </c>
      <c r="T1870" s="1">
        <v>0</v>
      </c>
      <c r="U1870" s="1">
        <v>2239.9871999999996</v>
      </c>
      <c r="V1870">
        <f>YEAR(Table1[[#This Row],[Order Date]])</f>
        <v>2023</v>
      </c>
      <c r="W1870" t="str">
        <f>TEXT(Table1[[#This Row],[Order Date]],"mmm")</f>
        <v>Dec</v>
      </c>
      <c r="X1870">
        <f t="shared" si="87"/>
        <v>559.99679999999989</v>
      </c>
      <c r="Y1870" t="str">
        <f t="shared" si="88"/>
        <v>Profit</v>
      </c>
      <c r="Z1870" t="str">
        <f t="shared" si="89"/>
        <v>No Discount</v>
      </c>
    </row>
    <row r="1871" spans="1:26" x14ac:dyDescent="0.35">
      <c r="A1871" s="1">
        <v>1870</v>
      </c>
      <c r="B1871" s="2" t="s">
        <v>4773</v>
      </c>
      <c r="C1871" s="3">
        <v>45274</v>
      </c>
      <c r="D1871" s="3">
        <v>45278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>
        <v>526.58000000000004</v>
      </c>
      <c r="S1871" s="4">
        <v>2</v>
      </c>
      <c r="T1871" s="4">
        <v>0.3</v>
      </c>
      <c r="U1871" s="4">
        <v>-52.66</v>
      </c>
      <c r="V1871">
        <f>YEAR(Table1[[#This Row],[Order Date]])</f>
        <v>2023</v>
      </c>
      <c r="W1871" t="str">
        <f>TEXT(Table1[[#This Row],[Order Date]],"mmm")</f>
        <v>Dec</v>
      </c>
      <c r="X1871">
        <f t="shared" si="87"/>
        <v>-26.33</v>
      </c>
      <c r="Y1871" t="str">
        <f t="shared" si="88"/>
        <v>Loss</v>
      </c>
      <c r="Z1871" t="str">
        <f t="shared" si="89"/>
        <v>Medium</v>
      </c>
    </row>
    <row r="1872" spans="1:26" x14ac:dyDescent="0.35">
      <c r="A1872" s="1">
        <v>1871</v>
      </c>
      <c r="B1872" s="2" t="s">
        <v>4773</v>
      </c>
      <c r="C1872" s="3">
        <v>45274</v>
      </c>
      <c r="D1872" s="3">
        <v>45278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>
        <v>17.28</v>
      </c>
      <c r="S1872" s="4">
        <v>6</v>
      </c>
      <c r="T1872" s="4">
        <v>0</v>
      </c>
      <c r="U1872" s="4">
        <v>8.1199999999999992</v>
      </c>
      <c r="V1872">
        <f>YEAR(Table1[[#This Row],[Order Date]])</f>
        <v>2023</v>
      </c>
      <c r="W1872" t="str">
        <f>TEXT(Table1[[#This Row],[Order Date]],"mmm")</f>
        <v>Dec</v>
      </c>
      <c r="X1872">
        <f t="shared" si="87"/>
        <v>1.3533333333333333</v>
      </c>
      <c r="Y1872" t="str">
        <f t="shared" si="88"/>
        <v>Profit</v>
      </c>
      <c r="Z1872" t="str">
        <f t="shared" si="89"/>
        <v>No Discount</v>
      </c>
    </row>
    <row r="1873" spans="1:26" x14ac:dyDescent="0.35">
      <c r="A1873" s="1">
        <v>1872</v>
      </c>
      <c r="B1873" s="2" t="s">
        <v>4773</v>
      </c>
      <c r="C1873" s="3">
        <v>45274</v>
      </c>
      <c r="D1873" s="3">
        <v>45278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>
        <v>73.849999999999994</v>
      </c>
      <c r="S1873" s="4">
        <v>1</v>
      </c>
      <c r="T1873" s="4">
        <v>0</v>
      </c>
      <c r="U1873" s="4">
        <v>2.2200000000000002</v>
      </c>
      <c r="V1873">
        <f>YEAR(Table1[[#This Row],[Order Date]])</f>
        <v>2023</v>
      </c>
      <c r="W1873" t="str">
        <f>TEXT(Table1[[#This Row],[Order Date]],"mmm")</f>
        <v>Dec</v>
      </c>
      <c r="X1873">
        <f t="shared" si="87"/>
        <v>2.2200000000000002</v>
      </c>
      <c r="Y1873" t="str">
        <f t="shared" si="88"/>
        <v>Profit</v>
      </c>
      <c r="Z1873" t="str">
        <f t="shared" si="89"/>
        <v>No Discount</v>
      </c>
    </row>
    <row r="1874" spans="1:26" x14ac:dyDescent="0.35">
      <c r="A1874" s="1">
        <v>1873</v>
      </c>
      <c r="B1874" s="2" t="s">
        <v>4773</v>
      </c>
      <c r="C1874" s="3">
        <v>45274</v>
      </c>
      <c r="D1874" s="3">
        <v>45278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>
        <v>25.71</v>
      </c>
      <c r="S1874" s="4">
        <v>3</v>
      </c>
      <c r="T1874" s="4">
        <v>0</v>
      </c>
      <c r="U1874" s="4">
        <v>6.68</v>
      </c>
      <c r="V1874">
        <f>YEAR(Table1[[#This Row],[Order Date]])</f>
        <v>2023</v>
      </c>
      <c r="W1874" t="str">
        <f>TEXT(Table1[[#This Row],[Order Date]],"mmm")</f>
        <v>Dec</v>
      </c>
      <c r="X1874">
        <f t="shared" si="87"/>
        <v>2.2266666666666666</v>
      </c>
      <c r="Y1874" t="str">
        <f t="shared" si="88"/>
        <v>Profit</v>
      </c>
      <c r="Z1874" t="str">
        <f t="shared" si="89"/>
        <v>No Discount</v>
      </c>
    </row>
    <row r="1875" spans="1:26" x14ac:dyDescent="0.35">
      <c r="A1875" s="1">
        <v>1874</v>
      </c>
      <c r="B1875" s="2" t="s">
        <v>4773</v>
      </c>
      <c r="C1875" s="3">
        <v>45274</v>
      </c>
      <c r="D1875" s="3">
        <v>45278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>
        <v>1199.98</v>
      </c>
      <c r="S1875" s="4">
        <v>2</v>
      </c>
      <c r="T1875" s="4">
        <v>0</v>
      </c>
      <c r="U1875" s="4">
        <v>467.99</v>
      </c>
      <c r="V1875">
        <f>YEAR(Table1[[#This Row],[Order Date]])</f>
        <v>2023</v>
      </c>
      <c r="W1875" t="str">
        <f>TEXT(Table1[[#This Row],[Order Date]],"mmm")</f>
        <v>Dec</v>
      </c>
      <c r="X1875">
        <f t="shared" si="87"/>
        <v>233.995</v>
      </c>
      <c r="Y1875" t="str">
        <f t="shared" si="88"/>
        <v>Profit</v>
      </c>
      <c r="Z1875" t="str">
        <f t="shared" si="89"/>
        <v>No Discount</v>
      </c>
    </row>
    <row r="1876" spans="1:26" x14ac:dyDescent="0.35">
      <c r="A1876" s="1">
        <v>1875</v>
      </c>
      <c r="B1876" s="2" t="s">
        <v>4776</v>
      </c>
      <c r="C1876" s="3">
        <v>45275</v>
      </c>
      <c r="D1876" s="3">
        <v>45277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445.80200000000002</v>
      </c>
      <c r="S1876" s="1">
        <v>7</v>
      </c>
      <c r="T1876" s="1">
        <v>0.3</v>
      </c>
      <c r="U1876" s="1">
        <v>-108.26620000000001</v>
      </c>
      <c r="V1876">
        <f>YEAR(Table1[[#This Row],[Order Date]])</f>
        <v>2023</v>
      </c>
      <c r="W1876" t="str">
        <f>TEXT(Table1[[#This Row],[Order Date]],"mmm")</f>
        <v>Dec</v>
      </c>
      <c r="X1876">
        <f t="shared" si="87"/>
        <v>-15.466600000000001</v>
      </c>
      <c r="Y1876" t="str">
        <f t="shared" si="88"/>
        <v>Loss</v>
      </c>
      <c r="Z1876" t="str">
        <f t="shared" si="89"/>
        <v>Medium</v>
      </c>
    </row>
    <row r="1877" spans="1:26" x14ac:dyDescent="0.35">
      <c r="A1877" s="1">
        <v>1876</v>
      </c>
      <c r="B1877" s="2" t="s">
        <v>4777</v>
      </c>
      <c r="C1877" s="3">
        <v>45275</v>
      </c>
      <c r="D1877" s="3">
        <v>45278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</v>
      </c>
      <c r="T1877" s="1">
        <v>0.3</v>
      </c>
      <c r="U1877" s="1">
        <v>-21.807999999999993</v>
      </c>
      <c r="V1877">
        <f>YEAR(Table1[[#This Row],[Order Date]])</f>
        <v>2023</v>
      </c>
      <c r="W1877" t="str">
        <f>TEXT(Table1[[#This Row],[Order Date]],"mmm")</f>
        <v>Dec</v>
      </c>
      <c r="X1877">
        <f t="shared" si="87"/>
        <v>-4.3615999999999984</v>
      </c>
      <c r="Y1877" t="str">
        <f t="shared" si="88"/>
        <v>Loss</v>
      </c>
      <c r="Z1877" t="str">
        <f t="shared" si="89"/>
        <v>Medium</v>
      </c>
    </row>
    <row r="1878" spans="1:26" x14ac:dyDescent="0.35">
      <c r="A1878" s="1">
        <v>1877</v>
      </c>
      <c r="B1878" s="2" t="s">
        <v>4778</v>
      </c>
      <c r="C1878" s="3">
        <v>45275</v>
      </c>
      <c r="D1878" s="3">
        <v>45281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8.5440000000000005</v>
      </c>
      <c r="S1878" s="1">
        <v>2</v>
      </c>
      <c r="T1878" s="1">
        <v>0.6</v>
      </c>
      <c r="U1878" s="1">
        <v>-7.4759999999999991</v>
      </c>
      <c r="V1878">
        <f>YEAR(Table1[[#This Row],[Order Date]])</f>
        <v>2023</v>
      </c>
      <c r="W1878" t="str">
        <f>TEXT(Table1[[#This Row],[Order Date]],"mmm")</f>
        <v>Dec</v>
      </c>
      <c r="X1878">
        <f t="shared" si="87"/>
        <v>-3.7379999999999995</v>
      </c>
      <c r="Y1878" t="str">
        <f t="shared" si="88"/>
        <v>Loss</v>
      </c>
      <c r="Z1878" t="str">
        <f t="shared" si="89"/>
        <v>High</v>
      </c>
    </row>
    <row r="1879" spans="1:26" x14ac:dyDescent="0.35">
      <c r="A1879" s="1">
        <v>1878</v>
      </c>
      <c r="B1879" s="2" t="s">
        <v>4781</v>
      </c>
      <c r="C1879" s="3">
        <v>45275</v>
      </c>
      <c r="D1879" s="3">
        <v>45279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</v>
      </c>
      <c r="T1879" s="1">
        <v>0</v>
      </c>
      <c r="U1879" s="1">
        <v>1.9711999999999996</v>
      </c>
      <c r="V1879">
        <f>YEAR(Table1[[#This Row],[Order Date]])</f>
        <v>2023</v>
      </c>
      <c r="W1879" t="str">
        <f>TEXT(Table1[[#This Row],[Order Date]],"mmm")</f>
        <v>Dec</v>
      </c>
      <c r="X1879">
        <f t="shared" si="87"/>
        <v>0.98559999999999981</v>
      </c>
      <c r="Y1879" t="str">
        <f t="shared" si="88"/>
        <v>Profit</v>
      </c>
      <c r="Z1879" t="str">
        <f t="shared" si="89"/>
        <v>No Discount</v>
      </c>
    </row>
    <row r="1880" spans="1:26" x14ac:dyDescent="0.35">
      <c r="A1880" s="1">
        <v>1879</v>
      </c>
      <c r="B1880" s="2" t="s">
        <v>4777</v>
      </c>
      <c r="C1880" s="3">
        <v>45275</v>
      </c>
      <c r="D1880" s="3">
        <v>45278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</v>
      </c>
      <c r="T1880" s="1">
        <v>0.2</v>
      </c>
      <c r="U1880" s="1">
        <v>-9.153000000000004</v>
      </c>
      <c r="V1880">
        <f>YEAR(Table1[[#This Row],[Order Date]])</f>
        <v>2023</v>
      </c>
      <c r="W1880" t="str">
        <f>TEXT(Table1[[#This Row],[Order Date]],"mmm")</f>
        <v>Dec</v>
      </c>
      <c r="X1880">
        <f t="shared" si="87"/>
        <v>-3.0510000000000015</v>
      </c>
      <c r="Y1880" t="str">
        <f t="shared" si="88"/>
        <v>Loss</v>
      </c>
      <c r="Z1880" t="str">
        <f t="shared" si="89"/>
        <v>Low</v>
      </c>
    </row>
    <row r="1881" spans="1:26" x14ac:dyDescent="0.35">
      <c r="A1881" s="1">
        <v>1880</v>
      </c>
      <c r="B1881" s="2" t="s">
        <v>4786</v>
      </c>
      <c r="C1881" s="3">
        <v>45276</v>
      </c>
      <c r="D1881" s="3">
        <v>45280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1013.8320000000001</v>
      </c>
      <c r="S1881" s="1">
        <v>9</v>
      </c>
      <c r="T1881" s="1">
        <v>0.2</v>
      </c>
      <c r="U1881" s="1">
        <v>101.38319999999999</v>
      </c>
      <c r="V1881">
        <f>YEAR(Table1[[#This Row],[Order Date]])</f>
        <v>2023</v>
      </c>
      <c r="W1881" t="str">
        <f>TEXT(Table1[[#This Row],[Order Date]],"mmm")</f>
        <v>Dec</v>
      </c>
      <c r="X1881">
        <f t="shared" si="87"/>
        <v>11.264799999999999</v>
      </c>
      <c r="Y1881" t="str">
        <f t="shared" si="88"/>
        <v>Profit</v>
      </c>
      <c r="Z1881" t="str">
        <f t="shared" si="89"/>
        <v>Low</v>
      </c>
    </row>
    <row r="1882" spans="1:26" x14ac:dyDescent="0.35">
      <c r="A1882" s="1">
        <v>1881</v>
      </c>
      <c r="B1882" s="2" t="s">
        <v>4787</v>
      </c>
      <c r="C1882" s="3">
        <v>45276</v>
      </c>
      <c r="D1882" s="3">
        <v>45281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1403.9200000000003</v>
      </c>
      <c r="S1882" s="1">
        <v>5</v>
      </c>
      <c r="T1882" s="1">
        <v>0.2</v>
      </c>
      <c r="U1882" s="1">
        <v>70.196000000000026</v>
      </c>
      <c r="V1882">
        <f>YEAR(Table1[[#This Row],[Order Date]])</f>
        <v>2023</v>
      </c>
      <c r="W1882" t="str">
        <f>TEXT(Table1[[#This Row],[Order Date]],"mmm")</f>
        <v>Dec</v>
      </c>
      <c r="X1882">
        <f t="shared" si="87"/>
        <v>14.039200000000005</v>
      </c>
      <c r="Y1882" t="str">
        <f t="shared" si="88"/>
        <v>Profit</v>
      </c>
      <c r="Z1882" t="str">
        <f t="shared" si="89"/>
        <v>Low</v>
      </c>
    </row>
    <row r="1883" spans="1:26" x14ac:dyDescent="0.35">
      <c r="A1883" s="1">
        <v>1882</v>
      </c>
      <c r="B1883" s="2" t="s">
        <v>4790</v>
      </c>
      <c r="C1883" s="3">
        <v>45276</v>
      </c>
      <c r="D1883" s="3">
        <v>45277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241.56799999999998</v>
      </c>
      <c r="S1883" s="1">
        <v>2</v>
      </c>
      <c r="T1883" s="1">
        <v>0.2</v>
      </c>
      <c r="U1883" s="1">
        <v>18.11760000000001</v>
      </c>
      <c r="V1883">
        <f>YEAR(Table1[[#This Row],[Order Date]])</f>
        <v>2023</v>
      </c>
      <c r="W1883" t="str">
        <f>TEXT(Table1[[#This Row],[Order Date]],"mmm")</f>
        <v>Dec</v>
      </c>
      <c r="X1883">
        <f t="shared" si="87"/>
        <v>9.0588000000000051</v>
      </c>
      <c r="Y1883" t="str">
        <f t="shared" si="88"/>
        <v>Profit</v>
      </c>
      <c r="Z1883" t="str">
        <f t="shared" si="89"/>
        <v>Low</v>
      </c>
    </row>
    <row r="1884" spans="1:26" x14ac:dyDescent="0.35">
      <c r="A1884" s="1">
        <v>1883</v>
      </c>
      <c r="B1884" s="2" t="s">
        <v>4793</v>
      </c>
      <c r="C1884" s="3">
        <v>45276</v>
      </c>
      <c r="D1884" s="3">
        <v>45278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8.6240000000000023</v>
      </c>
      <c r="S1884" s="1">
        <v>7</v>
      </c>
      <c r="T1884" s="1">
        <v>0.6</v>
      </c>
      <c r="U1884" s="1">
        <v>-2.5872000000000011</v>
      </c>
      <c r="V1884">
        <f>YEAR(Table1[[#This Row],[Order Date]])</f>
        <v>2023</v>
      </c>
      <c r="W1884" t="str">
        <f>TEXT(Table1[[#This Row],[Order Date]],"mmm")</f>
        <v>Dec</v>
      </c>
      <c r="X1884">
        <f t="shared" si="87"/>
        <v>-0.36960000000000015</v>
      </c>
      <c r="Y1884" t="str">
        <f t="shared" si="88"/>
        <v>Loss</v>
      </c>
      <c r="Z1884" t="str">
        <f t="shared" si="89"/>
        <v>High</v>
      </c>
    </row>
    <row r="1885" spans="1:26" x14ac:dyDescent="0.35">
      <c r="A1885" s="1">
        <v>1884</v>
      </c>
      <c r="B1885" s="2" t="s">
        <v>4796</v>
      </c>
      <c r="C1885" s="3">
        <v>45276</v>
      </c>
      <c r="D1885" s="3">
        <v>45281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  <c r="V1885">
        <f>YEAR(Table1[[#This Row],[Order Date]])</f>
        <v>2023</v>
      </c>
      <c r="W1885" t="str">
        <f>TEXT(Table1[[#This Row],[Order Date]],"mmm")</f>
        <v>Dec</v>
      </c>
      <c r="X1885">
        <f t="shared" si="87"/>
        <v>-37.476300000000002</v>
      </c>
      <c r="Y1885" t="str">
        <f t="shared" si="88"/>
        <v>Loss</v>
      </c>
      <c r="Z1885" t="str">
        <f t="shared" si="89"/>
        <v>High</v>
      </c>
    </row>
    <row r="1886" spans="1:26" x14ac:dyDescent="0.35">
      <c r="A1886" s="1">
        <v>1885</v>
      </c>
      <c r="B1886" s="2" t="s">
        <v>4797</v>
      </c>
      <c r="C1886" s="3">
        <v>45276</v>
      </c>
      <c r="D1886" s="3">
        <v>45278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</v>
      </c>
      <c r="T1886" s="1">
        <v>0</v>
      </c>
      <c r="U1886" s="1">
        <v>9.7217999999999982</v>
      </c>
      <c r="V1886">
        <f>YEAR(Table1[[#This Row],[Order Date]])</f>
        <v>2023</v>
      </c>
      <c r="W1886" t="str">
        <f>TEXT(Table1[[#This Row],[Order Date]],"mmm")</f>
        <v>Dec</v>
      </c>
      <c r="X1886">
        <f t="shared" si="87"/>
        <v>1.6202999999999996</v>
      </c>
      <c r="Y1886" t="str">
        <f t="shared" si="88"/>
        <v>Profit</v>
      </c>
      <c r="Z1886" t="str">
        <f t="shared" si="89"/>
        <v>No Discount</v>
      </c>
    </row>
    <row r="1887" spans="1:26" x14ac:dyDescent="0.35">
      <c r="A1887" s="1">
        <v>1886</v>
      </c>
      <c r="B1887" s="2" t="s">
        <v>4790</v>
      </c>
      <c r="C1887" s="3">
        <v>45276</v>
      </c>
      <c r="D1887" s="3">
        <v>45277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</v>
      </c>
      <c r="T1887" s="1">
        <v>0</v>
      </c>
      <c r="U1887" s="1">
        <v>14.671799999999998</v>
      </c>
      <c r="V1887">
        <f>YEAR(Table1[[#This Row],[Order Date]])</f>
        <v>2023</v>
      </c>
      <c r="W1887" t="str">
        <f>TEXT(Table1[[#This Row],[Order Date]],"mmm")</f>
        <v>Dec</v>
      </c>
      <c r="X1887">
        <f t="shared" si="87"/>
        <v>7.3358999999999988</v>
      </c>
      <c r="Y1887" t="str">
        <f t="shared" si="88"/>
        <v>Profit</v>
      </c>
      <c r="Z1887" t="str">
        <f t="shared" si="89"/>
        <v>No Discount</v>
      </c>
    </row>
    <row r="1888" spans="1:26" x14ac:dyDescent="0.35">
      <c r="A1888" s="1">
        <v>1887</v>
      </c>
      <c r="B1888" s="2" t="s">
        <v>4800</v>
      </c>
      <c r="C1888" s="3">
        <v>45276</v>
      </c>
      <c r="D1888" s="3">
        <v>45281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1.1670000000000003</v>
      </c>
      <c r="S1888" s="1">
        <v>1</v>
      </c>
      <c r="T1888" s="1">
        <v>0.7</v>
      </c>
      <c r="U1888" s="1">
        <v>-0.85579999999999989</v>
      </c>
      <c r="V1888">
        <f>YEAR(Table1[[#This Row],[Order Date]])</f>
        <v>2023</v>
      </c>
      <c r="W1888" t="str">
        <f>TEXT(Table1[[#This Row],[Order Date]],"mmm")</f>
        <v>Dec</v>
      </c>
      <c r="X1888">
        <f t="shared" si="87"/>
        <v>-0.85579999999999989</v>
      </c>
      <c r="Y1888" t="str">
        <f t="shared" si="88"/>
        <v>Loss</v>
      </c>
      <c r="Z1888" t="str">
        <f t="shared" si="89"/>
        <v>High</v>
      </c>
    </row>
    <row r="1889" spans="1:26" x14ac:dyDescent="0.35">
      <c r="A1889" s="1">
        <v>1888</v>
      </c>
      <c r="B1889" s="2" t="s">
        <v>4786</v>
      </c>
      <c r="C1889" s="3">
        <v>45276</v>
      </c>
      <c r="D1889" s="3">
        <v>45280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  <c r="V1889">
        <f>YEAR(Table1[[#This Row],[Order Date]])</f>
        <v>2023</v>
      </c>
      <c r="W1889" t="str">
        <f>TEXT(Table1[[#This Row],[Order Date]],"mmm")</f>
        <v>Dec</v>
      </c>
      <c r="X1889">
        <f t="shared" si="87"/>
        <v>0.33479999999999999</v>
      </c>
      <c r="Y1889" t="str">
        <f t="shared" si="88"/>
        <v>Profit</v>
      </c>
      <c r="Z1889" t="str">
        <f t="shared" si="89"/>
        <v>Low</v>
      </c>
    </row>
    <row r="1890" spans="1:26" x14ac:dyDescent="0.35">
      <c r="A1890" s="1">
        <v>1889</v>
      </c>
      <c r="B1890" s="2" t="s">
        <v>4796</v>
      </c>
      <c r="C1890" s="3">
        <v>45276</v>
      </c>
      <c r="D1890" s="3">
        <v>45281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36.288000000000011</v>
      </c>
      <c r="S1890" s="1">
        <v>7</v>
      </c>
      <c r="T1890" s="1">
        <v>0.2</v>
      </c>
      <c r="U1890" s="1">
        <v>12.700800000000001</v>
      </c>
      <c r="V1890">
        <f>YEAR(Table1[[#This Row],[Order Date]])</f>
        <v>2023</v>
      </c>
      <c r="W1890" t="str">
        <f>TEXT(Table1[[#This Row],[Order Date]],"mmm")</f>
        <v>Dec</v>
      </c>
      <c r="X1890">
        <f t="shared" si="87"/>
        <v>1.8144000000000002</v>
      </c>
      <c r="Y1890" t="str">
        <f t="shared" si="88"/>
        <v>Profit</v>
      </c>
      <c r="Z1890" t="str">
        <f t="shared" si="89"/>
        <v>Low</v>
      </c>
    </row>
    <row r="1891" spans="1:26" x14ac:dyDescent="0.35">
      <c r="A1891" s="1">
        <v>1890</v>
      </c>
      <c r="B1891" s="2" t="s">
        <v>4805</v>
      </c>
      <c r="C1891" s="3">
        <v>45276</v>
      </c>
      <c r="D1891" s="3">
        <v>45280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  <c r="V1891">
        <f>YEAR(Table1[[#This Row],[Order Date]])</f>
        <v>2023</v>
      </c>
      <c r="W1891" t="str">
        <f>TEXT(Table1[[#This Row],[Order Date]],"mmm")</f>
        <v>Dec</v>
      </c>
      <c r="X1891">
        <f t="shared" si="87"/>
        <v>10.506399999999999</v>
      </c>
      <c r="Y1891" t="str">
        <f t="shared" si="88"/>
        <v>Profit</v>
      </c>
      <c r="Z1891" t="str">
        <f t="shared" si="89"/>
        <v>No Discount</v>
      </c>
    </row>
    <row r="1892" spans="1:26" x14ac:dyDescent="0.35">
      <c r="A1892" s="1">
        <v>1891</v>
      </c>
      <c r="B1892" s="2" t="s">
        <v>4790</v>
      </c>
      <c r="C1892" s="3">
        <v>45276</v>
      </c>
      <c r="D1892" s="3">
        <v>45277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</v>
      </c>
      <c r="S1892" s="1">
        <v>5</v>
      </c>
      <c r="T1892" s="1">
        <v>0</v>
      </c>
      <c r="U1892" s="1">
        <v>39.499999999999957</v>
      </c>
      <c r="V1892">
        <f>YEAR(Table1[[#This Row],[Order Date]])</f>
        <v>2023</v>
      </c>
      <c r="W1892" t="str">
        <f>TEXT(Table1[[#This Row],[Order Date]],"mmm")</f>
        <v>Dec</v>
      </c>
      <c r="X1892">
        <f t="shared" si="87"/>
        <v>7.8999999999999915</v>
      </c>
      <c r="Y1892" t="str">
        <f t="shared" si="88"/>
        <v>Profit</v>
      </c>
      <c r="Z1892" t="str">
        <f t="shared" si="89"/>
        <v>No Discount</v>
      </c>
    </row>
    <row r="1893" spans="1:26" x14ac:dyDescent="0.35">
      <c r="A1893" s="1">
        <v>1892</v>
      </c>
      <c r="B1893" s="2" t="s">
        <v>4797</v>
      </c>
      <c r="C1893" s="3">
        <v>45276</v>
      </c>
      <c r="D1893" s="3">
        <v>45278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</v>
      </c>
      <c r="T1893" s="1">
        <v>0</v>
      </c>
      <c r="U1893" s="1">
        <v>7.9983999999999895</v>
      </c>
      <c r="V1893">
        <f>YEAR(Table1[[#This Row],[Order Date]])</f>
        <v>2023</v>
      </c>
      <c r="W1893" t="str">
        <f>TEXT(Table1[[#This Row],[Order Date]],"mmm")</f>
        <v>Dec</v>
      </c>
      <c r="X1893">
        <f t="shared" si="87"/>
        <v>3.9991999999999948</v>
      </c>
      <c r="Y1893" t="str">
        <f t="shared" si="88"/>
        <v>Profit</v>
      </c>
      <c r="Z1893" t="str">
        <f t="shared" si="89"/>
        <v>No Discount</v>
      </c>
    </row>
    <row r="1894" spans="1:26" x14ac:dyDescent="0.35">
      <c r="A1894" s="1">
        <v>1893</v>
      </c>
      <c r="B1894" s="2" t="s">
        <v>4793</v>
      </c>
      <c r="C1894" s="3">
        <v>45276</v>
      </c>
      <c r="D1894" s="3">
        <v>45278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319.96800000000002</v>
      </c>
      <c r="S1894" s="1">
        <v>4</v>
      </c>
      <c r="T1894" s="1">
        <v>0.2</v>
      </c>
      <c r="U1894" s="1">
        <v>95.990400000000008</v>
      </c>
      <c r="V1894">
        <f>YEAR(Table1[[#This Row],[Order Date]])</f>
        <v>2023</v>
      </c>
      <c r="W1894" t="str">
        <f>TEXT(Table1[[#This Row],[Order Date]],"mmm")</f>
        <v>Dec</v>
      </c>
      <c r="X1894">
        <f t="shared" si="87"/>
        <v>23.997600000000002</v>
      </c>
      <c r="Y1894" t="str">
        <f t="shared" si="88"/>
        <v>Profit</v>
      </c>
      <c r="Z1894" t="str">
        <f t="shared" si="89"/>
        <v>Low</v>
      </c>
    </row>
    <row r="1895" spans="1:26" x14ac:dyDescent="0.35">
      <c r="A1895" s="1">
        <v>1894</v>
      </c>
      <c r="B1895" s="2" t="s">
        <v>4790</v>
      </c>
      <c r="C1895" s="3">
        <v>45276</v>
      </c>
      <c r="D1895" s="3">
        <v>45277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627.16800000000012</v>
      </c>
      <c r="S1895" s="1">
        <v>4</v>
      </c>
      <c r="T1895" s="1">
        <v>0.2</v>
      </c>
      <c r="U1895" s="1">
        <v>70.55639999999994</v>
      </c>
      <c r="V1895">
        <f>YEAR(Table1[[#This Row],[Order Date]])</f>
        <v>2023</v>
      </c>
      <c r="W1895" t="str">
        <f>TEXT(Table1[[#This Row],[Order Date]],"mmm")</f>
        <v>Dec</v>
      </c>
      <c r="X1895">
        <f t="shared" si="87"/>
        <v>17.639099999999985</v>
      </c>
      <c r="Y1895" t="str">
        <f t="shared" si="88"/>
        <v>Profit</v>
      </c>
      <c r="Z1895" t="str">
        <f t="shared" si="89"/>
        <v>Low</v>
      </c>
    </row>
    <row r="1896" spans="1:26" x14ac:dyDescent="0.35">
      <c r="A1896" s="1">
        <v>1895</v>
      </c>
      <c r="B1896" s="2" t="s">
        <v>4810</v>
      </c>
      <c r="C1896" s="3">
        <v>45277</v>
      </c>
      <c r="D1896" s="3">
        <v>45279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40.049999999999997</v>
      </c>
      <c r="S1896" s="1">
        <v>3</v>
      </c>
      <c r="T1896" s="1">
        <v>0</v>
      </c>
      <c r="U1896" s="1">
        <v>11.213999999999999</v>
      </c>
      <c r="V1896">
        <f>YEAR(Table1[[#This Row],[Order Date]])</f>
        <v>2023</v>
      </c>
      <c r="W1896" t="str">
        <f>TEXT(Table1[[#This Row],[Order Date]],"mmm")</f>
        <v>Dec</v>
      </c>
      <c r="X1896">
        <f t="shared" si="87"/>
        <v>3.7379999999999995</v>
      </c>
      <c r="Y1896" t="str">
        <f t="shared" si="88"/>
        <v>Profit</v>
      </c>
      <c r="Z1896" t="str">
        <f t="shared" si="89"/>
        <v>No Discount</v>
      </c>
    </row>
    <row r="1897" spans="1:26" x14ac:dyDescent="0.35">
      <c r="A1897" s="1">
        <v>1896</v>
      </c>
      <c r="B1897" s="2" t="s">
        <v>4811</v>
      </c>
      <c r="C1897" s="3">
        <v>45277</v>
      </c>
      <c r="D1897" s="3">
        <v>45284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5.4840000000000009</v>
      </c>
      <c r="S1897" s="1">
        <v>4</v>
      </c>
      <c r="T1897" s="1">
        <v>0.7</v>
      </c>
      <c r="U1897" s="1">
        <v>-4.0215999999999994</v>
      </c>
      <c r="V1897">
        <f>YEAR(Table1[[#This Row],[Order Date]])</f>
        <v>2023</v>
      </c>
      <c r="W1897" t="str">
        <f>TEXT(Table1[[#This Row],[Order Date]],"mmm")</f>
        <v>Dec</v>
      </c>
      <c r="X1897">
        <f t="shared" si="87"/>
        <v>-1.0053999999999998</v>
      </c>
      <c r="Y1897" t="str">
        <f t="shared" si="88"/>
        <v>Loss</v>
      </c>
      <c r="Z1897" t="str">
        <f t="shared" si="89"/>
        <v>High</v>
      </c>
    </row>
    <row r="1898" spans="1:26" x14ac:dyDescent="0.35">
      <c r="A1898" s="1">
        <v>1897</v>
      </c>
      <c r="B1898" s="2" t="s">
        <v>4814</v>
      </c>
      <c r="C1898" s="3">
        <v>45279</v>
      </c>
      <c r="D1898" s="3">
        <v>45281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1819.8600000000001</v>
      </c>
      <c r="S1898" s="1">
        <v>14</v>
      </c>
      <c r="T1898" s="1">
        <v>0</v>
      </c>
      <c r="U1898" s="1">
        <v>163.78740000000002</v>
      </c>
      <c r="V1898">
        <f>YEAR(Table1[[#This Row],[Order Date]])</f>
        <v>2023</v>
      </c>
      <c r="W1898" t="str">
        <f>TEXT(Table1[[#This Row],[Order Date]],"mmm")</f>
        <v>Dec</v>
      </c>
      <c r="X1898">
        <f t="shared" si="87"/>
        <v>11.699100000000001</v>
      </c>
      <c r="Y1898" t="str">
        <f t="shared" si="88"/>
        <v>Profit</v>
      </c>
      <c r="Z1898" t="str">
        <f t="shared" si="89"/>
        <v>No Discount</v>
      </c>
    </row>
    <row r="1899" spans="1:26" x14ac:dyDescent="0.35">
      <c r="A1899" s="1">
        <v>1898</v>
      </c>
      <c r="B1899" s="2" t="s">
        <v>4820</v>
      </c>
      <c r="C1899" s="3">
        <v>45279</v>
      </c>
      <c r="D1899" s="3">
        <v>45285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4.8120000000000003</v>
      </c>
      <c r="S1899" s="1">
        <v>2</v>
      </c>
      <c r="T1899" s="1">
        <v>0.7</v>
      </c>
      <c r="U1899" s="1">
        <v>-3.6891999999999996</v>
      </c>
      <c r="V1899">
        <f>YEAR(Table1[[#This Row],[Order Date]])</f>
        <v>2023</v>
      </c>
      <c r="W1899" t="str">
        <f>TEXT(Table1[[#This Row],[Order Date]],"mmm")</f>
        <v>Dec</v>
      </c>
      <c r="X1899">
        <f t="shared" si="87"/>
        <v>-1.8445999999999998</v>
      </c>
      <c r="Y1899" t="str">
        <f t="shared" si="88"/>
        <v>Loss</v>
      </c>
      <c r="Z1899" t="str">
        <f t="shared" si="89"/>
        <v>High</v>
      </c>
    </row>
    <row r="1900" spans="1:26" x14ac:dyDescent="0.35">
      <c r="A1900" s="1">
        <v>1899</v>
      </c>
      <c r="B1900" s="2" t="s">
        <v>4814</v>
      </c>
      <c r="C1900" s="3">
        <v>45279</v>
      </c>
      <c r="D1900" s="3">
        <v>45281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  <c r="V1900">
        <f>YEAR(Table1[[#This Row],[Order Date]])</f>
        <v>2023</v>
      </c>
      <c r="W1900" t="str">
        <f>TEXT(Table1[[#This Row],[Order Date]],"mmm")</f>
        <v>Dec</v>
      </c>
      <c r="X1900">
        <f t="shared" si="87"/>
        <v>12.4754</v>
      </c>
      <c r="Y1900" t="str">
        <f t="shared" si="88"/>
        <v>Profit</v>
      </c>
      <c r="Z1900" t="str">
        <f t="shared" si="89"/>
        <v>No Discount</v>
      </c>
    </row>
    <row r="1901" spans="1:26" x14ac:dyDescent="0.35">
      <c r="A1901" s="1">
        <v>1900</v>
      </c>
      <c r="B1901" s="2" t="s">
        <v>4825</v>
      </c>
      <c r="C1901" s="3">
        <v>45279</v>
      </c>
      <c r="D1901" s="3">
        <v>45281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22.549999999999997</v>
      </c>
      <c r="S1901" s="1">
        <v>5</v>
      </c>
      <c r="T1901" s="1">
        <v>0</v>
      </c>
      <c r="U1901" s="1">
        <v>8.7945000000000011</v>
      </c>
      <c r="V1901">
        <f>YEAR(Table1[[#This Row],[Order Date]])</f>
        <v>2023</v>
      </c>
      <c r="W1901" t="str">
        <f>TEXT(Table1[[#This Row],[Order Date]],"mmm")</f>
        <v>Dec</v>
      </c>
      <c r="X1901">
        <f t="shared" si="87"/>
        <v>1.7589000000000001</v>
      </c>
      <c r="Y1901" t="str">
        <f t="shared" si="88"/>
        <v>Profit</v>
      </c>
      <c r="Z1901" t="str">
        <f t="shared" si="89"/>
        <v>No Discount</v>
      </c>
    </row>
    <row r="1902" spans="1:26" x14ac:dyDescent="0.35">
      <c r="A1902" s="1">
        <v>1901</v>
      </c>
      <c r="B1902" s="2" t="s">
        <v>4825</v>
      </c>
      <c r="C1902" s="3">
        <v>45279</v>
      </c>
      <c r="D1902" s="3">
        <v>45281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</v>
      </c>
      <c r="T1902" s="1">
        <v>0</v>
      </c>
      <c r="U1902" s="1">
        <v>6.8713999999999995</v>
      </c>
      <c r="V1902">
        <f>YEAR(Table1[[#This Row],[Order Date]])</f>
        <v>2023</v>
      </c>
      <c r="W1902" t="str">
        <f>TEXT(Table1[[#This Row],[Order Date]],"mmm")</f>
        <v>Dec</v>
      </c>
      <c r="X1902">
        <f t="shared" si="87"/>
        <v>3.4356999999999998</v>
      </c>
      <c r="Y1902" t="str">
        <f t="shared" si="88"/>
        <v>Profit</v>
      </c>
      <c r="Z1902" t="str">
        <f t="shared" si="89"/>
        <v>No Discount</v>
      </c>
    </row>
    <row r="1903" spans="1:26" x14ac:dyDescent="0.35">
      <c r="A1903" s="1">
        <v>1902</v>
      </c>
      <c r="B1903" s="2" t="s">
        <v>4828</v>
      </c>
      <c r="C1903" s="3">
        <v>45279</v>
      </c>
      <c r="D1903" s="3">
        <v>45285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15.552000000000003</v>
      </c>
      <c r="S1903" s="1">
        <v>3</v>
      </c>
      <c r="T1903" s="1">
        <v>0.2</v>
      </c>
      <c r="U1903" s="1">
        <v>5.4432</v>
      </c>
      <c r="V1903">
        <f>YEAR(Table1[[#This Row],[Order Date]])</f>
        <v>2023</v>
      </c>
      <c r="W1903" t="str">
        <f>TEXT(Table1[[#This Row],[Order Date]],"mmm")</f>
        <v>Dec</v>
      </c>
      <c r="X1903">
        <f t="shared" si="87"/>
        <v>1.8144</v>
      </c>
      <c r="Y1903" t="str">
        <f t="shared" si="88"/>
        <v>Profit</v>
      </c>
      <c r="Z1903" t="str">
        <f t="shared" si="89"/>
        <v>Low</v>
      </c>
    </row>
    <row r="1904" spans="1:26" x14ac:dyDescent="0.35">
      <c r="A1904" s="1">
        <v>1903</v>
      </c>
      <c r="B1904" s="2" t="s">
        <v>4828</v>
      </c>
      <c r="C1904" s="3">
        <v>45279</v>
      </c>
      <c r="D1904" s="3">
        <v>45285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32.591999999999999</v>
      </c>
      <c r="S1904" s="1">
        <v>3</v>
      </c>
      <c r="T1904" s="1">
        <v>0.2</v>
      </c>
      <c r="U1904" s="1">
        <v>-7.7406000000000006</v>
      </c>
      <c r="V1904">
        <f>YEAR(Table1[[#This Row],[Order Date]])</f>
        <v>2023</v>
      </c>
      <c r="W1904" t="str">
        <f>TEXT(Table1[[#This Row],[Order Date]],"mmm")</f>
        <v>Dec</v>
      </c>
      <c r="X1904">
        <f t="shared" si="87"/>
        <v>-2.5802</v>
      </c>
      <c r="Y1904" t="str">
        <f t="shared" si="88"/>
        <v>Loss</v>
      </c>
      <c r="Z1904" t="str">
        <f t="shared" si="89"/>
        <v>Low</v>
      </c>
    </row>
    <row r="1905" spans="1:26" x14ac:dyDescent="0.35">
      <c r="A1905" s="1">
        <v>1904</v>
      </c>
      <c r="B1905" s="2" t="s">
        <v>4814</v>
      </c>
      <c r="C1905" s="3">
        <v>45279</v>
      </c>
      <c r="D1905" s="3">
        <v>45281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</v>
      </c>
      <c r="T1905" s="1">
        <v>0</v>
      </c>
      <c r="U1905" s="1">
        <v>1.9629000000000003</v>
      </c>
      <c r="V1905">
        <f>YEAR(Table1[[#This Row],[Order Date]])</f>
        <v>2023</v>
      </c>
      <c r="W1905" t="str">
        <f>TEXT(Table1[[#This Row],[Order Date]],"mmm")</f>
        <v>Dec</v>
      </c>
      <c r="X1905">
        <f t="shared" si="87"/>
        <v>1.9629000000000003</v>
      </c>
      <c r="Y1905" t="str">
        <f t="shared" si="88"/>
        <v>Profit</v>
      </c>
      <c r="Z1905" t="str">
        <f t="shared" si="89"/>
        <v>No Discount</v>
      </c>
    </row>
    <row r="1906" spans="1:26" x14ac:dyDescent="0.35">
      <c r="A1906" s="1">
        <v>1905</v>
      </c>
      <c r="B1906" s="2" t="s">
        <v>4820</v>
      </c>
      <c r="C1906" s="3">
        <v>45279</v>
      </c>
      <c r="D1906" s="3">
        <v>45285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</v>
      </c>
      <c r="T1906" s="1">
        <v>0.2</v>
      </c>
      <c r="U1906" s="1">
        <v>-18.584999999999994</v>
      </c>
      <c r="V1906">
        <f>YEAR(Table1[[#This Row],[Order Date]])</f>
        <v>2023</v>
      </c>
      <c r="W1906" t="str">
        <f>TEXT(Table1[[#This Row],[Order Date]],"mmm")</f>
        <v>Dec</v>
      </c>
      <c r="X1906">
        <f t="shared" si="87"/>
        <v>-3.7169999999999987</v>
      </c>
      <c r="Y1906" t="str">
        <f t="shared" si="88"/>
        <v>Loss</v>
      </c>
      <c r="Z1906" t="str">
        <f t="shared" si="89"/>
        <v>Low</v>
      </c>
    </row>
    <row r="1907" spans="1:26" x14ac:dyDescent="0.35">
      <c r="A1907" s="1">
        <v>1906</v>
      </c>
      <c r="B1907" s="2" t="s">
        <v>4825</v>
      </c>
      <c r="C1907" s="3">
        <v>45279</v>
      </c>
      <c r="D1907" s="3">
        <v>45281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583.79999999999995</v>
      </c>
      <c r="S1907" s="1">
        <v>5</v>
      </c>
      <c r="T1907" s="1">
        <v>0.2</v>
      </c>
      <c r="U1907" s="1">
        <v>72.974999999999909</v>
      </c>
      <c r="V1907">
        <f>YEAR(Table1[[#This Row],[Order Date]])</f>
        <v>2023</v>
      </c>
      <c r="W1907" t="str">
        <f>TEXT(Table1[[#This Row],[Order Date]],"mmm")</f>
        <v>Dec</v>
      </c>
      <c r="X1907">
        <f t="shared" si="87"/>
        <v>14.594999999999981</v>
      </c>
      <c r="Y1907" t="str">
        <f t="shared" si="88"/>
        <v>Profit</v>
      </c>
      <c r="Z1907" t="str">
        <f t="shared" si="89"/>
        <v>Low</v>
      </c>
    </row>
    <row r="1908" spans="1:26" x14ac:dyDescent="0.35">
      <c r="A1908" s="1">
        <v>1907</v>
      </c>
      <c r="B1908" s="2" t="s">
        <v>4825</v>
      </c>
      <c r="C1908" s="3">
        <v>45279</v>
      </c>
      <c r="D1908" s="3">
        <v>45281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211.16800000000001</v>
      </c>
      <c r="S1908" s="1">
        <v>4</v>
      </c>
      <c r="T1908" s="1">
        <v>0.2</v>
      </c>
      <c r="U1908" s="1">
        <v>15.837600000000009</v>
      </c>
      <c r="V1908">
        <f>YEAR(Table1[[#This Row],[Order Date]])</f>
        <v>2023</v>
      </c>
      <c r="W1908" t="str">
        <f>TEXT(Table1[[#This Row],[Order Date]],"mmm")</f>
        <v>Dec</v>
      </c>
      <c r="X1908">
        <f t="shared" si="87"/>
        <v>3.9594000000000023</v>
      </c>
      <c r="Y1908" t="str">
        <f t="shared" si="88"/>
        <v>Profit</v>
      </c>
      <c r="Z1908" t="str">
        <f t="shared" si="89"/>
        <v>Low</v>
      </c>
    </row>
    <row r="1909" spans="1:26" x14ac:dyDescent="0.35">
      <c r="A1909" s="1">
        <v>1908</v>
      </c>
      <c r="B1909" s="2" t="s">
        <v>4828</v>
      </c>
      <c r="C1909" s="3">
        <v>45279</v>
      </c>
      <c r="D1909" s="3">
        <v>45285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323.97600000000006</v>
      </c>
      <c r="S1909" s="1">
        <v>3</v>
      </c>
      <c r="T1909" s="1">
        <v>0.2</v>
      </c>
      <c r="U1909" s="1">
        <v>36.44729999999997</v>
      </c>
      <c r="V1909">
        <f>YEAR(Table1[[#This Row],[Order Date]])</f>
        <v>2023</v>
      </c>
      <c r="W1909" t="str">
        <f>TEXT(Table1[[#This Row],[Order Date]],"mmm")</f>
        <v>Dec</v>
      </c>
      <c r="X1909">
        <f t="shared" si="87"/>
        <v>12.14909999999999</v>
      </c>
      <c r="Y1909" t="str">
        <f t="shared" si="88"/>
        <v>Profit</v>
      </c>
      <c r="Z1909" t="str">
        <f t="shared" si="89"/>
        <v>Low</v>
      </c>
    </row>
    <row r="1910" spans="1:26" x14ac:dyDescent="0.35">
      <c r="A1910" s="1">
        <v>1909</v>
      </c>
      <c r="B1910" s="2" t="s">
        <v>4837</v>
      </c>
      <c r="C1910" s="3">
        <v>45280</v>
      </c>
      <c r="D1910" s="3">
        <v>45285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</v>
      </c>
      <c r="T1910" s="1">
        <v>0.2</v>
      </c>
      <c r="U1910" s="1">
        <v>74.573999999999955</v>
      </c>
      <c r="V1910">
        <f>YEAR(Table1[[#This Row],[Order Date]])</f>
        <v>2023</v>
      </c>
      <c r="W1910" t="str">
        <f>TEXT(Table1[[#This Row],[Order Date]],"mmm")</f>
        <v>Dec</v>
      </c>
      <c r="X1910">
        <f t="shared" si="87"/>
        <v>24.857999999999986</v>
      </c>
      <c r="Y1910" t="str">
        <f t="shared" si="88"/>
        <v>Profit</v>
      </c>
      <c r="Z1910" t="str">
        <f t="shared" si="89"/>
        <v>Low</v>
      </c>
    </row>
    <row r="1911" spans="1:26" x14ac:dyDescent="0.35">
      <c r="A1911" s="1">
        <v>1910</v>
      </c>
      <c r="B1911" s="2" t="s">
        <v>4840</v>
      </c>
      <c r="C1911" s="3">
        <v>45280</v>
      </c>
      <c r="D1911" s="3">
        <v>45282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242.35200000000003</v>
      </c>
      <c r="S1911" s="1">
        <v>3</v>
      </c>
      <c r="T1911" s="1">
        <v>0.2</v>
      </c>
      <c r="U1911" s="1">
        <v>-42.411600000000035</v>
      </c>
      <c r="V1911">
        <f>YEAR(Table1[[#This Row],[Order Date]])</f>
        <v>2023</v>
      </c>
      <c r="W1911" t="str">
        <f>TEXT(Table1[[#This Row],[Order Date]],"mmm")</f>
        <v>Dec</v>
      </c>
      <c r="X1911">
        <f t="shared" si="87"/>
        <v>-14.137200000000012</v>
      </c>
      <c r="Y1911" t="str">
        <f t="shared" si="88"/>
        <v>Loss</v>
      </c>
      <c r="Z1911" t="str">
        <f t="shared" si="89"/>
        <v>Low</v>
      </c>
    </row>
    <row r="1912" spans="1:26" x14ac:dyDescent="0.35">
      <c r="A1912" s="1">
        <v>1911</v>
      </c>
      <c r="B1912" s="2" t="s">
        <v>4843</v>
      </c>
      <c r="C1912" s="3">
        <v>45280</v>
      </c>
      <c r="D1912" s="3">
        <v>45283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192.18600000000004</v>
      </c>
      <c r="S1912" s="1">
        <v>3</v>
      </c>
      <c r="T1912" s="1">
        <v>0.1</v>
      </c>
      <c r="U1912" s="1">
        <v>36.3018</v>
      </c>
      <c r="V1912">
        <f>YEAR(Table1[[#This Row],[Order Date]])</f>
        <v>2023</v>
      </c>
      <c r="W1912" t="str">
        <f>TEXT(Table1[[#This Row],[Order Date]],"mmm")</f>
        <v>Dec</v>
      </c>
      <c r="X1912">
        <f t="shared" si="87"/>
        <v>12.1006</v>
      </c>
      <c r="Y1912" t="str">
        <f t="shared" si="88"/>
        <v>Profit</v>
      </c>
      <c r="Z1912" t="str">
        <f t="shared" si="89"/>
        <v>Low</v>
      </c>
    </row>
    <row r="1913" spans="1:26" x14ac:dyDescent="0.35">
      <c r="A1913" s="1">
        <v>1912</v>
      </c>
      <c r="B1913" s="2" t="s">
        <v>4840</v>
      </c>
      <c r="C1913" s="3">
        <v>45280</v>
      </c>
      <c r="D1913" s="3">
        <v>45282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51.967999999999996</v>
      </c>
      <c r="S1913" s="1">
        <v>2</v>
      </c>
      <c r="T1913" s="1">
        <v>0.2</v>
      </c>
      <c r="U1913" s="1">
        <v>10.393599999999998</v>
      </c>
      <c r="V1913">
        <f>YEAR(Table1[[#This Row],[Order Date]])</f>
        <v>2023</v>
      </c>
      <c r="W1913" t="str">
        <f>TEXT(Table1[[#This Row],[Order Date]],"mmm")</f>
        <v>Dec</v>
      </c>
      <c r="X1913">
        <f t="shared" si="87"/>
        <v>5.1967999999999988</v>
      </c>
      <c r="Y1913" t="str">
        <f t="shared" si="88"/>
        <v>Profit</v>
      </c>
      <c r="Z1913" t="str">
        <f t="shared" si="89"/>
        <v>Low</v>
      </c>
    </row>
    <row r="1914" spans="1:26" x14ac:dyDescent="0.35">
      <c r="A1914" s="1">
        <v>1913</v>
      </c>
      <c r="B1914" s="2" t="s">
        <v>4846</v>
      </c>
      <c r="C1914" s="3">
        <v>45280</v>
      </c>
      <c r="D1914" s="3">
        <v>45287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190.84800000000001</v>
      </c>
      <c r="S1914" s="1">
        <v>3</v>
      </c>
      <c r="T1914" s="1">
        <v>0.2</v>
      </c>
      <c r="U1914" s="1">
        <v>-21.470400000000026</v>
      </c>
      <c r="V1914">
        <f>YEAR(Table1[[#This Row],[Order Date]])</f>
        <v>2023</v>
      </c>
      <c r="W1914" t="str">
        <f>TEXT(Table1[[#This Row],[Order Date]],"mmm")</f>
        <v>Dec</v>
      </c>
      <c r="X1914">
        <f t="shared" si="87"/>
        <v>-7.1568000000000085</v>
      </c>
      <c r="Y1914" t="str">
        <f t="shared" si="88"/>
        <v>Loss</v>
      </c>
      <c r="Z1914" t="str">
        <f t="shared" si="89"/>
        <v>Low</v>
      </c>
    </row>
    <row r="1915" spans="1:26" x14ac:dyDescent="0.35">
      <c r="A1915" s="1">
        <v>1914</v>
      </c>
      <c r="B1915" s="2" t="s">
        <v>4847</v>
      </c>
      <c r="C1915" s="3">
        <v>45280</v>
      </c>
      <c r="D1915" s="3">
        <v>45281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</v>
      </c>
      <c r="T1915" s="1">
        <v>0</v>
      </c>
      <c r="U1915" s="1">
        <v>100.12200000000001</v>
      </c>
      <c r="V1915">
        <f>YEAR(Table1[[#This Row],[Order Date]])</f>
        <v>2023</v>
      </c>
      <c r="W1915" t="str">
        <f>TEXT(Table1[[#This Row],[Order Date]],"mmm")</f>
        <v>Dec</v>
      </c>
      <c r="X1915">
        <f t="shared" si="87"/>
        <v>50.061000000000007</v>
      </c>
      <c r="Y1915" t="str">
        <f t="shared" si="88"/>
        <v>Profit</v>
      </c>
      <c r="Z1915" t="str">
        <f t="shared" si="89"/>
        <v>No Discount</v>
      </c>
    </row>
    <row r="1916" spans="1:26" x14ac:dyDescent="0.35">
      <c r="A1916" s="1">
        <v>1915</v>
      </c>
      <c r="B1916" s="2" t="s">
        <v>4847</v>
      </c>
      <c r="C1916" s="3">
        <v>45280</v>
      </c>
      <c r="D1916" s="3">
        <v>45281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</v>
      </c>
      <c r="T1916" s="1">
        <v>0</v>
      </c>
      <c r="U1916" s="1">
        <v>493.78559999999993</v>
      </c>
      <c r="V1916">
        <f>YEAR(Table1[[#This Row],[Order Date]])</f>
        <v>2023</v>
      </c>
      <c r="W1916" t="str">
        <f>TEXT(Table1[[#This Row],[Order Date]],"mmm")</f>
        <v>Dec</v>
      </c>
      <c r="X1916">
        <f t="shared" si="87"/>
        <v>70.54079999999999</v>
      </c>
      <c r="Y1916" t="str">
        <f t="shared" si="88"/>
        <v>Profit</v>
      </c>
      <c r="Z1916" t="str">
        <f t="shared" si="89"/>
        <v>No Discount</v>
      </c>
    </row>
    <row r="1917" spans="1:26" x14ac:dyDescent="0.35">
      <c r="A1917" s="1">
        <v>1916</v>
      </c>
      <c r="B1917" s="2" t="s">
        <v>4852</v>
      </c>
      <c r="C1917" s="3">
        <v>45280</v>
      </c>
      <c r="D1917" s="3">
        <v>45285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19.431999999999995</v>
      </c>
      <c r="S1917" s="1">
        <v>2</v>
      </c>
      <c r="T1917" s="1">
        <v>0.8</v>
      </c>
      <c r="U1917" s="1">
        <v>-49.551600000000022</v>
      </c>
      <c r="V1917">
        <f>YEAR(Table1[[#This Row],[Order Date]])</f>
        <v>2023</v>
      </c>
      <c r="W1917" t="str">
        <f>TEXT(Table1[[#This Row],[Order Date]],"mmm")</f>
        <v>Dec</v>
      </c>
      <c r="X1917">
        <f t="shared" si="87"/>
        <v>-24.775800000000011</v>
      </c>
      <c r="Y1917" t="str">
        <f t="shared" si="88"/>
        <v>Loss</v>
      </c>
      <c r="Z1917" t="str">
        <f t="shared" si="89"/>
        <v>High</v>
      </c>
    </row>
    <row r="1918" spans="1:26" x14ac:dyDescent="0.35">
      <c r="A1918" s="1">
        <v>1917</v>
      </c>
      <c r="B1918" s="2" t="s">
        <v>4837</v>
      </c>
      <c r="C1918" s="3">
        <v>45280</v>
      </c>
      <c r="D1918" s="3">
        <v>45285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</v>
      </c>
      <c r="T1918" s="1">
        <v>0.2</v>
      </c>
      <c r="U1918" s="1">
        <v>3.8073000000000015</v>
      </c>
      <c r="V1918">
        <f>YEAR(Table1[[#This Row],[Order Date]])</f>
        <v>2023</v>
      </c>
      <c r="W1918" t="str">
        <f>TEXT(Table1[[#This Row],[Order Date]],"mmm")</f>
        <v>Dec</v>
      </c>
      <c r="X1918">
        <f t="shared" si="87"/>
        <v>0.54390000000000016</v>
      </c>
      <c r="Y1918" t="str">
        <f t="shared" si="88"/>
        <v>Profit</v>
      </c>
      <c r="Z1918" t="str">
        <f t="shared" si="89"/>
        <v>Low</v>
      </c>
    </row>
    <row r="1919" spans="1:26" x14ac:dyDescent="0.35">
      <c r="A1919" s="1">
        <v>1918</v>
      </c>
      <c r="B1919" s="2" t="s">
        <v>4858</v>
      </c>
      <c r="C1919" s="3">
        <v>45280</v>
      </c>
      <c r="D1919" s="3">
        <v>45283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</v>
      </c>
      <c r="T1919" s="1">
        <v>0</v>
      </c>
      <c r="U1919" s="1">
        <v>12.298000000000002</v>
      </c>
      <c r="V1919">
        <f>YEAR(Table1[[#This Row],[Order Date]])</f>
        <v>2023</v>
      </c>
      <c r="W1919" t="str">
        <f>TEXT(Table1[[#This Row],[Order Date]],"mmm")</f>
        <v>Dec</v>
      </c>
      <c r="X1919">
        <f t="shared" si="87"/>
        <v>6.1490000000000009</v>
      </c>
      <c r="Y1919" t="str">
        <f t="shared" si="88"/>
        <v>Profit</v>
      </c>
      <c r="Z1919" t="str">
        <f t="shared" si="89"/>
        <v>No Discount</v>
      </c>
    </row>
    <row r="1920" spans="1:26" x14ac:dyDescent="0.35">
      <c r="A1920" s="1">
        <v>1919</v>
      </c>
      <c r="B1920" s="2" t="s">
        <v>4858</v>
      </c>
      <c r="C1920" s="3">
        <v>45280</v>
      </c>
      <c r="D1920" s="3">
        <v>45283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  <c r="V1920">
        <f>YEAR(Table1[[#This Row],[Order Date]])</f>
        <v>2023</v>
      </c>
      <c r="W1920" t="str">
        <f>TEXT(Table1[[#This Row],[Order Date]],"mmm")</f>
        <v>Dec</v>
      </c>
      <c r="X1920">
        <f t="shared" si="87"/>
        <v>1.1564000000000001</v>
      </c>
      <c r="Y1920" t="str">
        <f t="shared" si="88"/>
        <v>Profit</v>
      </c>
      <c r="Z1920" t="str">
        <f t="shared" si="89"/>
        <v>No Discount</v>
      </c>
    </row>
    <row r="1921" spans="1:26" x14ac:dyDescent="0.35">
      <c r="A1921" s="1">
        <v>1920</v>
      </c>
      <c r="B1921" s="2" t="s">
        <v>4858</v>
      </c>
      <c r="C1921" s="3">
        <v>45280</v>
      </c>
      <c r="D1921" s="3">
        <v>45283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</v>
      </c>
      <c r="T1921" s="1">
        <v>0.2</v>
      </c>
      <c r="U1921" s="1">
        <v>50.413999999999987</v>
      </c>
      <c r="V1921">
        <f>YEAR(Table1[[#This Row],[Order Date]])</f>
        <v>2023</v>
      </c>
      <c r="W1921" t="str">
        <f>TEXT(Table1[[#This Row],[Order Date]],"mmm")</f>
        <v>Dec</v>
      </c>
      <c r="X1921">
        <f t="shared" si="87"/>
        <v>10.082799999999997</v>
      </c>
      <c r="Y1921" t="str">
        <f t="shared" si="88"/>
        <v>Profit</v>
      </c>
      <c r="Z1921" t="str">
        <f t="shared" si="89"/>
        <v>Low</v>
      </c>
    </row>
    <row r="1922" spans="1:26" x14ac:dyDescent="0.35">
      <c r="A1922" s="1">
        <v>1921</v>
      </c>
      <c r="B1922" s="2" t="s">
        <v>4847</v>
      </c>
      <c r="C1922" s="3">
        <v>45280</v>
      </c>
      <c r="D1922" s="3">
        <v>45281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  <c r="V1922">
        <f>YEAR(Table1[[#This Row],[Order Date]])</f>
        <v>2023</v>
      </c>
      <c r="W1922" t="str">
        <f>TEXT(Table1[[#This Row],[Order Date]],"mmm")</f>
        <v>Dec</v>
      </c>
      <c r="X1922">
        <f t="shared" ref="X1922:X1985" si="90">IFERROR(U1922/S1922,0)</f>
        <v>9.7618999999999989</v>
      </c>
      <c r="Y1922" t="str">
        <f t="shared" ref="Y1922:Y1985" si="91">IF(U1922&gt;0,"Profit",IF(U1922&lt;0,"Loss","Break-even"))</f>
        <v>Profit</v>
      </c>
      <c r="Z1922" t="str">
        <f t="shared" ref="Z1922:Z1985" si="92">IF(T1922=0,"No Discount",IF(T1922&lt;=0.2,"Low",IF(T1922&lt;=0.4,"Medium","High")))</f>
        <v>No Discount</v>
      </c>
    </row>
    <row r="1923" spans="1:26" x14ac:dyDescent="0.35">
      <c r="A1923" s="1">
        <v>1922</v>
      </c>
      <c r="B1923" s="2" t="s">
        <v>4861</v>
      </c>
      <c r="C1923" s="3">
        <v>45280</v>
      </c>
      <c r="D1923" s="3">
        <v>45283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</v>
      </c>
      <c r="T1923" s="1">
        <v>0</v>
      </c>
      <c r="U1923" s="1">
        <v>496.78649999999993</v>
      </c>
      <c r="V1923">
        <f>YEAR(Table1[[#This Row],[Order Date]])</f>
        <v>2023</v>
      </c>
      <c r="W1923" t="str">
        <f>TEXT(Table1[[#This Row],[Order Date]],"mmm")</f>
        <v>Dec</v>
      </c>
      <c r="X1923">
        <f t="shared" si="90"/>
        <v>165.59549999999999</v>
      </c>
      <c r="Y1923" t="str">
        <f t="shared" si="91"/>
        <v>Profit</v>
      </c>
      <c r="Z1923" t="str">
        <f t="shared" si="92"/>
        <v>No Discount</v>
      </c>
    </row>
    <row r="1924" spans="1:26" x14ac:dyDescent="0.35">
      <c r="A1924" s="1">
        <v>1923</v>
      </c>
      <c r="B1924" s="2" t="s">
        <v>4858</v>
      </c>
      <c r="C1924" s="3">
        <v>45280</v>
      </c>
      <c r="D1924" s="3">
        <v>45283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487.98400000000004</v>
      </c>
      <c r="S1924" s="1">
        <v>2</v>
      </c>
      <c r="T1924" s="1">
        <v>0.2</v>
      </c>
      <c r="U1924" s="1">
        <v>152.49499999999998</v>
      </c>
      <c r="V1924">
        <f>YEAR(Table1[[#This Row],[Order Date]])</f>
        <v>2023</v>
      </c>
      <c r="W1924" t="str">
        <f>TEXT(Table1[[#This Row],[Order Date]],"mmm")</f>
        <v>Dec</v>
      </c>
      <c r="X1924">
        <f t="shared" si="90"/>
        <v>76.247499999999988</v>
      </c>
      <c r="Y1924" t="str">
        <f t="shared" si="91"/>
        <v>Profit</v>
      </c>
      <c r="Z1924" t="str">
        <f t="shared" si="92"/>
        <v>Low</v>
      </c>
    </row>
    <row r="1925" spans="1:26" x14ac:dyDescent="0.35">
      <c r="A1925" s="1">
        <v>1924</v>
      </c>
      <c r="B1925" s="2" t="s">
        <v>4864</v>
      </c>
      <c r="C1925" s="3">
        <v>45280</v>
      </c>
      <c r="D1925" s="3">
        <v>45285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31.049999999999997</v>
      </c>
      <c r="S1925" s="1">
        <v>3</v>
      </c>
      <c r="T1925" s="1">
        <v>0</v>
      </c>
      <c r="U1925" s="1">
        <v>14.904</v>
      </c>
      <c r="V1925">
        <f>YEAR(Table1[[#This Row],[Order Date]])</f>
        <v>2023</v>
      </c>
      <c r="W1925" t="str">
        <f>TEXT(Table1[[#This Row],[Order Date]],"mmm")</f>
        <v>Dec</v>
      </c>
      <c r="X1925">
        <f t="shared" si="90"/>
        <v>4.968</v>
      </c>
      <c r="Y1925" t="str">
        <f t="shared" si="91"/>
        <v>Profit</v>
      </c>
      <c r="Z1925" t="str">
        <f t="shared" si="92"/>
        <v>No Discount</v>
      </c>
    </row>
    <row r="1926" spans="1:26" x14ac:dyDescent="0.35">
      <c r="A1926" s="1">
        <v>1925</v>
      </c>
      <c r="B1926" s="2" t="s">
        <v>4861</v>
      </c>
      <c r="C1926" s="3">
        <v>45280</v>
      </c>
      <c r="D1926" s="3">
        <v>45283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</v>
      </c>
      <c r="T1926" s="1">
        <v>0</v>
      </c>
      <c r="U1926" s="1">
        <v>1.7343</v>
      </c>
      <c r="V1926">
        <f>YEAR(Table1[[#This Row],[Order Date]])</f>
        <v>2023</v>
      </c>
      <c r="W1926" t="str">
        <f>TEXT(Table1[[#This Row],[Order Date]],"mmm")</f>
        <v>Dec</v>
      </c>
      <c r="X1926">
        <f t="shared" si="90"/>
        <v>1.7343</v>
      </c>
      <c r="Y1926" t="str">
        <f t="shared" si="91"/>
        <v>Profit</v>
      </c>
      <c r="Z1926" t="str">
        <f t="shared" si="92"/>
        <v>No Discount</v>
      </c>
    </row>
    <row r="1927" spans="1:26" x14ac:dyDescent="0.35">
      <c r="A1927" s="1">
        <v>1926</v>
      </c>
      <c r="B1927" s="2" t="s">
        <v>4840</v>
      </c>
      <c r="C1927" s="3">
        <v>45280</v>
      </c>
      <c r="D1927" s="3">
        <v>45282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221.92000000000002</v>
      </c>
      <c r="S1927" s="1">
        <v>5</v>
      </c>
      <c r="T1927" s="1">
        <v>0.2</v>
      </c>
      <c r="U1927" s="1">
        <v>77.671999999999983</v>
      </c>
      <c r="V1927">
        <f>YEAR(Table1[[#This Row],[Order Date]])</f>
        <v>2023</v>
      </c>
      <c r="W1927" t="str">
        <f>TEXT(Table1[[#This Row],[Order Date]],"mmm")</f>
        <v>Dec</v>
      </c>
      <c r="X1927">
        <f t="shared" si="90"/>
        <v>15.534399999999996</v>
      </c>
      <c r="Y1927" t="str">
        <f t="shared" si="91"/>
        <v>Profit</v>
      </c>
      <c r="Z1927" t="str">
        <f t="shared" si="92"/>
        <v>Low</v>
      </c>
    </row>
    <row r="1928" spans="1:26" x14ac:dyDescent="0.35">
      <c r="A1928" s="1">
        <v>1927</v>
      </c>
      <c r="B1928" s="2" t="s">
        <v>4837</v>
      </c>
      <c r="C1928" s="3">
        <v>45280</v>
      </c>
      <c r="D1928" s="3">
        <v>45285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25.920000000000005</v>
      </c>
      <c r="S1928" s="1">
        <v>5</v>
      </c>
      <c r="T1928" s="1">
        <v>0.2</v>
      </c>
      <c r="U1928" s="1">
        <v>9.0719999999999992</v>
      </c>
      <c r="V1928">
        <f>YEAR(Table1[[#This Row],[Order Date]])</f>
        <v>2023</v>
      </c>
      <c r="W1928" t="str">
        <f>TEXT(Table1[[#This Row],[Order Date]],"mmm")</f>
        <v>Dec</v>
      </c>
      <c r="X1928">
        <f t="shared" si="90"/>
        <v>1.8143999999999998</v>
      </c>
      <c r="Y1928" t="str">
        <f t="shared" si="91"/>
        <v>Profit</v>
      </c>
      <c r="Z1928" t="str">
        <f t="shared" si="92"/>
        <v>Low</v>
      </c>
    </row>
    <row r="1929" spans="1:26" x14ac:dyDescent="0.35">
      <c r="A1929" s="1">
        <v>1928</v>
      </c>
      <c r="B1929" s="2" t="s">
        <v>4840</v>
      </c>
      <c r="C1929" s="3">
        <v>45280</v>
      </c>
      <c r="D1929" s="3">
        <v>45282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8.4480000000000004</v>
      </c>
      <c r="S1929" s="1">
        <v>2</v>
      </c>
      <c r="T1929" s="1">
        <v>0.2</v>
      </c>
      <c r="U1929" s="1">
        <v>2.6399999999999997</v>
      </c>
      <c r="V1929">
        <f>YEAR(Table1[[#This Row],[Order Date]])</f>
        <v>2023</v>
      </c>
      <c r="W1929" t="str">
        <f>TEXT(Table1[[#This Row],[Order Date]],"mmm")</f>
        <v>Dec</v>
      </c>
      <c r="X1929">
        <f t="shared" si="90"/>
        <v>1.3199999999999998</v>
      </c>
      <c r="Y1929" t="str">
        <f t="shared" si="91"/>
        <v>Profit</v>
      </c>
      <c r="Z1929" t="str">
        <f t="shared" si="92"/>
        <v>Low</v>
      </c>
    </row>
    <row r="1930" spans="1:26" x14ac:dyDescent="0.35">
      <c r="A1930" s="1">
        <v>1929</v>
      </c>
      <c r="B1930" s="2" t="s">
        <v>4847</v>
      </c>
      <c r="C1930" s="3">
        <v>45280</v>
      </c>
      <c r="D1930" s="3">
        <v>45281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</v>
      </c>
      <c r="T1930" s="1">
        <v>0</v>
      </c>
      <c r="U1930" s="1">
        <v>0</v>
      </c>
      <c r="V1930">
        <f>YEAR(Table1[[#This Row],[Order Date]])</f>
        <v>2023</v>
      </c>
      <c r="W1930" t="str">
        <f>TEXT(Table1[[#This Row],[Order Date]],"mmm")</f>
        <v>Dec</v>
      </c>
      <c r="X1930">
        <f t="shared" si="90"/>
        <v>0</v>
      </c>
      <c r="Y1930" t="str">
        <f t="shared" si="91"/>
        <v>Break-even</v>
      </c>
      <c r="Z1930" t="str">
        <f t="shared" si="92"/>
        <v>No Discount</v>
      </c>
    </row>
    <row r="1931" spans="1:26" x14ac:dyDescent="0.35">
      <c r="A1931" s="1">
        <v>1930</v>
      </c>
      <c r="B1931" s="2" t="s">
        <v>4867</v>
      </c>
      <c r="C1931" s="3">
        <v>45280</v>
      </c>
      <c r="D1931" s="3">
        <v>45280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447.94399999999996</v>
      </c>
      <c r="S1931" s="1">
        <v>7</v>
      </c>
      <c r="T1931" s="1">
        <v>0.2</v>
      </c>
      <c r="U1931" s="1">
        <v>89.588799999999992</v>
      </c>
      <c r="V1931">
        <f>YEAR(Table1[[#This Row],[Order Date]])</f>
        <v>2023</v>
      </c>
      <c r="W1931" t="str">
        <f>TEXT(Table1[[#This Row],[Order Date]],"mmm")</f>
        <v>Dec</v>
      </c>
      <c r="X1931">
        <f t="shared" si="90"/>
        <v>12.798399999999999</v>
      </c>
      <c r="Y1931" t="str">
        <f t="shared" si="91"/>
        <v>Profit</v>
      </c>
      <c r="Z1931" t="str">
        <f t="shared" si="92"/>
        <v>Low</v>
      </c>
    </row>
    <row r="1932" spans="1:26" x14ac:dyDescent="0.35">
      <c r="A1932" s="1">
        <v>1931</v>
      </c>
      <c r="B1932" s="2" t="s">
        <v>4840</v>
      </c>
      <c r="C1932" s="3">
        <v>45280</v>
      </c>
      <c r="D1932" s="3">
        <v>45282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71.975999999999999</v>
      </c>
      <c r="S1932" s="1">
        <v>3</v>
      </c>
      <c r="T1932" s="1">
        <v>0.2</v>
      </c>
      <c r="U1932" s="1">
        <v>21.592800000000011</v>
      </c>
      <c r="V1932">
        <f>YEAR(Table1[[#This Row],[Order Date]])</f>
        <v>2023</v>
      </c>
      <c r="W1932" t="str">
        <f>TEXT(Table1[[#This Row],[Order Date]],"mmm")</f>
        <v>Dec</v>
      </c>
      <c r="X1932">
        <f t="shared" si="90"/>
        <v>7.197600000000004</v>
      </c>
      <c r="Y1932" t="str">
        <f t="shared" si="91"/>
        <v>Profit</v>
      </c>
      <c r="Z1932" t="str">
        <f t="shared" si="92"/>
        <v>Low</v>
      </c>
    </row>
    <row r="1933" spans="1:26" x14ac:dyDescent="0.35">
      <c r="A1933" s="1">
        <v>1932</v>
      </c>
      <c r="B1933" s="2" t="s">
        <v>4852</v>
      </c>
      <c r="C1933" s="3">
        <v>45280</v>
      </c>
      <c r="D1933" s="3">
        <v>45285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</v>
      </c>
      <c r="T1933" s="1">
        <v>0.2</v>
      </c>
      <c r="U1933" s="1">
        <v>-8.1800000000000033</v>
      </c>
      <c r="V1933">
        <f>YEAR(Table1[[#This Row],[Order Date]])</f>
        <v>2023</v>
      </c>
      <c r="W1933" t="str">
        <f>TEXT(Table1[[#This Row],[Order Date]],"mmm")</f>
        <v>Dec</v>
      </c>
      <c r="X1933">
        <f t="shared" si="90"/>
        <v>-1.6360000000000006</v>
      </c>
      <c r="Y1933" t="str">
        <f t="shared" si="91"/>
        <v>Loss</v>
      </c>
      <c r="Z1933" t="str">
        <f t="shared" si="92"/>
        <v>Low</v>
      </c>
    </row>
    <row r="1934" spans="1:26" x14ac:dyDescent="0.35">
      <c r="A1934" s="1">
        <v>1933</v>
      </c>
      <c r="B1934" s="2" t="s">
        <v>4871</v>
      </c>
      <c r="C1934" s="3">
        <v>45280</v>
      </c>
      <c r="D1934" s="3">
        <v>45282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>
        <v>94.2</v>
      </c>
      <c r="S1934" s="4">
        <v>5</v>
      </c>
      <c r="T1934" s="4">
        <v>0</v>
      </c>
      <c r="U1934" s="4">
        <v>39.56</v>
      </c>
      <c r="V1934">
        <f>YEAR(Table1[[#This Row],[Order Date]])</f>
        <v>2023</v>
      </c>
      <c r="W1934" t="str">
        <f>TEXT(Table1[[#This Row],[Order Date]],"mmm")</f>
        <v>Dec</v>
      </c>
      <c r="X1934">
        <f t="shared" si="90"/>
        <v>7.9120000000000008</v>
      </c>
      <c r="Y1934" t="str">
        <f t="shared" si="91"/>
        <v>Profit</v>
      </c>
      <c r="Z1934" t="str">
        <f t="shared" si="92"/>
        <v>No Discount</v>
      </c>
    </row>
    <row r="1935" spans="1:26" x14ac:dyDescent="0.35">
      <c r="A1935" s="1">
        <v>1934</v>
      </c>
      <c r="B1935" s="2" t="s">
        <v>4875</v>
      </c>
      <c r="C1935" s="3">
        <v>45281</v>
      </c>
      <c r="D1935" s="3">
        <v>45287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572.16000000000008</v>
      </c>
      <c r="S1935" s="1">
        <v>3</v>
      </c>
      <c r="T1935" s="1">
        <v>0.2</v>
      </c>
      <c r="U1935" s="1">
        <v>35.759999999999962</v>
      </c>
      <c r="V1935">
        <f>YEAR(Table1[[#This Row],[Order Date]])</f>
        <v>2023</v>
      </c>
      <c r="W1935" t="str">
        <f>TEXT(Table1[[#This Row],[Order Date]],"mmm")</f>
        <v>Dec</v>
      </c>
      <c r="X1935">
        <f t="shared" si="90"/>
        <v>11.919999999999987</v>
      </c>
      <c r="Y1935" t="str">
        <f t="shared" si="91"/>
        <v>Profit</v>
      </c>
      <c r="Z1935" t="str">
        <f t="shared" si="92"/>
        <v>Low</v>
      </c>
    </row>
    <row r="1936" spans="1:26" x14ac:dyDescent="0.35">
      <c r="A1936" s="1">
        <v>1935</v>
      </c>
      <c r="B1936" s="2" t="s">
        <v>4875</v>
      </c>
      <c r="C1936" s="3">
        <v>45281</v>
      </c>
      <c r="D1936" s="3">
        <v>45287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</v>
      </c>
      <c r="T1936" s="1">
        <v>0.2</v>
      </c>
      <c r="U1936" s="1">
        <v>149.14799999999991</v>
      </c>
      <c r="V1936">
        <f>YEAR(Table1[[#This Row],[Order Date]])</f>
        <v>2023</v>
      </c>
      <c r="W1936" t="str">
        <f>TEXT(Table1[[#This Row],[Order Date]],"mmm")</f>
        <v>Dec</v>
      </c>
      <c r="X1936">
        <f t="shared" si="90"/>
        <v>24.857999999999986</v>
      </c>
      <c r="Y1936" t="str">
        <f t="shared" si="91"/>
        <v>Profit</v>
      </c>
      <c r="Z1936" t="str">
        <f t="shared" si="92"/>
        <v>Low</v>
      </c>
    </row>
    <row r="1937" spans="1:26" x14ac:dyDescent="0.35">
      <c r="A1937" s="1">
        <v>1936</v>
      </c>
      <c r="B1937" s="2" t="s">
        <v>4876</v>
      </c>
      <c r="C1937" s="3">
        <v>45281</v>
      </c>
      <c r="D1937" s="3">
        <v>45288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18.240000000000002</v>
      </c>
      <c r="S1937" s="1">
        <v>2</v>
      </c>
      <c r="T1937" s="1">
        <v>0.7</v>
      </c>
      <c r="U1937" s="1">
        <v>-14.591999999999999</v>
      </c>
      <c r="V1937">
        <f>YEAR(Table1[[#This Row],[Order Date]])</f>
        <v>2023</v>
      </c>
      <c r="W1937" t="str">
        <f>TEXT(Table1[[#This Row],[Order Date]],"mmm")</f>
        <v>Dec</v>
      </c>
      <c r="X1937">
        <f t="shared" si="90"/>
        <v>-7.2959999999999994</v>
      </c>
      <c r="Y1937" t="str">
        <f t="shared" si="91"/>
        <v>Loss</v>
      </c>
      <c r="Z1937" t="str">
        <f t="shared" si="92"/>
        <v>High</v>
      </c>
    </row>
    <row r="1938" spans="1:26" x14ac:dyDescent="0.35">
      <c r="A1938" s="1">
        <v>1937</v>
      </c>
      <c r="B1938" s="2" t="s">
        <v>4877</v>
      </c>
      <c r="C1938" s="3">
        <v>45281</v>
      </c>
      <c r="D1938" s="3">
        <v>45285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</v>
      </c>
      <c r="T1938" s="1">
        <v>0</v>
      </c>
      <c r="U1938" s="1">
        <v>7.9487999999999985</v>
      </c>
      <c r="V1938">
        <f>YEAR(Table1[[#This Row],[Order Date]])</f>
        <v>2023</v>
      </c>
      <c r="W1938" t="str">
        <f>TEXT(Table1[[#This Row],[Order Date]],"mmm")</f>
        <v>Dec</v>
      </c>
      <c r="X1938">
        <f t="shared" si="90"/>
        <v>1.3247999999999998</v>
      </c>
      <c r="Y1938" t="str">
        <f t="shared" si="91"/>
        <v>Profit</v>
      </c>
      <c r="Z1938" t="str">
        <f t="shared" si="92"/>
        <v>No Discount</v>
      </c>
    </row>
    <row r="1939" spans="1:26" x14ac:dyDescent="0.35">
      <c r="A1939" s="1">
        <v>1938</v>
      </c>
      <c r="B1939" s="2" t="s">
        <v>4878</v>
      </c>
      <c r="C1939" s="3">
        <v>45282</v>
      </c>
      <c r="D1939" s="3">
        <v>45286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</v>
      </c>
      <c r="T1939" s="1">
        <v>0</v>
      </c>
      <c r="U1939" s="1">
        <v>3.1752000000000002</v>
      </c>
      <c r="V1939">
        <f>YEAR(Table1[[#This Row],[Order Date]])</f>
        <v>2023</v>
      </c>
      <c r="W1939" t="str">
        <f>TEXT(Table1[[#This Row],[Order Date]],"mmm")</f>
        <v>Dec</v>
      </c>
      <c r="X1939">
        <f t="shared" si="90"/>
        <v>0.79380000000000006</v>
      </c>
      <c r="Y1939" t="str">
        <f t="shared" si="91"/>
        <v>Profit</v>
      </c>
      <c r="Z1939" t="str">
        <f t="shared" si="92"/>
        <v>No Discount</v>
      </c>
    </row>
    <row r="1940" spans="1:26" x14ac:dyDescent="0.35">
      <c r="A1940" s="1">
        <v>1939</v>
      </c>
      <c r="B1940" s="2" t="s">
        <v>4883</v>
      </c>
      <c r="C1940" s="3">
        <v>45282</v>
      </c>
      <c r="D1940" s="3">
        <v>45289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17.903999999999996</v>
      </c>
      <c r="S1940" s="1">
        <v>6</v>
      </c>
      <c r="T1940" s="1">
        <v>0.8</v>
      </c>
      <c r="U1940" s="1">
        <v>-31.332000000000008</v>
      </c>
      <c r="V1940">
        <f>YEAR(Table1[[#This Row],[Order Date]])</f>
        <v>2023</v>
      </c>
      <c r="W1940" t="str">
        <f>TEXT(Table1[[#This Row],[Order Date]],"mmm")</f>
        <v>Dec</v>
      </c>
      <c r="X1940">
        <f t="shared" si="90"/>
        <v>-5.2220000000000013</v>
      </c>
      <c r="Y1940" t="str">
        <f t="shared" si="91"/>
        <v>Loss</v>
      </c>
      <c r="Z1940" t="str">
        <f t="shared" si="92"/>
        <v>High</v>
      </c>
    </row>
    <row r="1941" spans="1:26" x14ac:dyDescent="0.35">
      <c r="A1941" s="1">
        <v>1940</v>
      </c>
      <c r="B1941" s="2" t="s">
        <v>4886</v>
      </c>
      <c r="C1941" s="3">
        <v>45282</v>
      </c>
      <c r="D1941" s="3">
        <v>45286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296.71200000000005</v>
      </c>
      <c r="S1941" s="1">
        <v>13</v>
      </c>
      <c r="T1941" s="1">
        <v>0.2</v>
      </c>
      <c r="U1941" s="1">
        <v>100.14029999999998</v>
      </c>
      <c r="V1941">
        <f>YEAR(Table1[[#This Row],[Order Date]])</f>
        <v>2023</v>
      </c>
      <c r="W1941" t="str">
        <f>TEXT(Table1[[#This Row],[Order Date]],"mmm")</f>
        <v>Dec</v>
      </c>
      <c r="X1941">
        <f t="shared" si="90"/>
        <v>7.7030999999999983</v>
      </c>
      <c r="Y1941" t="str">
        <f t="shared" si="91"/>
        <v>Profit</v>
      </c>
      <c r="Z1941" t="str">
        <f t="shared" si="92"/>
        <v>Low</v>
      </c>
    </row>
    <row r="1942" spans="1:26" x14ac:dyDescent="0.35">
      <c r="A1942" s="1">
        <v>1941</v>
      </c>
      <c r="B1942" s="2" t="s">
        <v>4883</v>
      </c>
      <c r="C1942" s="3">
        <v>45282</v>
      </c>
      <c r="D1942" s="3">
        <v>45289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</v>
      </c>
      <c r="T1942" s="1">
        <v>0.2</v>
      </c>
      <c r="U1942" s="1">
        <v>44.961600000000004</v>
      </c>
      <c r="V1942">
        <f>YEAR(Table1[[#This Row],[Order Date]])</f>
        <v>2023</v>
      </c>
      <c r="W1942" t="str">
        <f>TEXT(Table1[[#This Row],[Order Date]],"mmm")</f>
        <v>Dec</v>
      </c>
      <c r="X1942">
        <f t="shared" si="90"/>
        <v>11.240400000000001</v>
      </c>
      <c r="Y1942" t="str">
        <f t="shared" si="91"/>
        <v>Profit</v>
      </c>
      <c r="Z1942" t="str">
        <f t="shared" si="92"/>
        <v>Low</v>
      </c>
    </row>
    <row r="1943" spans="1:26" x14ac:dyDescent="0.35">
      <c r="A1943" s="1">
        <v>1942</v>
      </c>
      <c r="B1943" s="2" t="s">
        <v>4883</v>
      </c>
      <c r="C1943" s="3">
        <v>45282</v>
      </c>
      <c r="D1943" s="3">
        <v>45289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</v>
      </c>
      <c r="T1943" s="1">
        <v>0.2</v>
      </c>
      <c r="U1943" s="1">
        <v>9.911999999999999</v>
      </c>
      <c r="V1943">
        <f>YEAR(Table1[[#This Row],[Order Date]])</f>
        <v>2023</v>
      </c>
      <c r="W1943" t="str">
        <f>TEXT(Table1[[#This Row],[Order Date]],"mmm")</f>
        <v>Dec</v>
      </c>
      <c r="X1943">
        <f t="shared" si="90"/>
        <v>9.911999999999999</v>
      </c>
      <c r="Y1943" t="str">
        <f t="shared" si="91"/>
        <v>Profit</v>
      </c>
      <c r="Z1943" t="str">
        <f t="shared" si="92"/>
        <v>Low</v>
      </c>
    </row>
    <row r="1944" spans="1:26" x14ac:dyDescent="0.35">
      <c r="A1944" s="1">
        <v>1943</v>
      </c>
      <c r="B1944" s="2" t="s">
        <v>4891</v>
      </c>
      <c r="C1944" s="3">
        <v>45282</v>
      </c>
      <c r="D1944" s="3">
        <v>45286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</v>
      </c>
      <c r="T1944" s="1">
        <v>0</v>
      </c>
      <c r="U1944" s="1">
        <v>56.26400000000001</v>
      </c>
      <c r="V1944">
        <f>YEAR(Table1[[#This Row],[Order Date]])</f>
        <v>2023</v>
      </c>
      <c r="W1944" t="str">
        <f>TEXT(Table1[[#This Row],[Order Date]],"mmm")</f>
        <v>Dec</v>
      </c>
      <c r="X1944">
        <f t="shared" si="90"/>
        <v>14.066000000000003</v>
      </c>
      <c r="Y1944" t="str">
        <f t="shared" si="91"/>
        <v>Profit</v>
      </c>
      <c r="Z1944" t="str">
        <f t="shared" si="92"/>
        <v>No Discount</v>
      </c>
    </row>
    <row r="1945" spans="1:26" x14ac:dyDescent="0.35">
      <c r="A1945" s="1">
        <v>1944</v>
      </c>
      <c r="B1945" s="2" t="s">
        <v>4894</v>
      </c>
      <c r="C1945" s="3">
        <v>45283</v>
      </c>
      <c r="D1945" s="3">
        <v>45287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64.784000000000006</v>
      </c>
      <c r="S1945" s="1">
        <v>1</v>
      </c>
      <c r="T1945" s="1">
        <v>0.2</v>
      </c>
      <c r="U1945" s="1">
        <v>6.4784000000000042</v>
      </c>
      <c r="V1945">
        <f>YEAR(Table1[[#This Row],[Order Date]])</f>
        <v>2023</v>
      </c>
      <c r="W1945" t="str">
        <f>TEXT(Table1[[#This Row],[Order Date]],"mmm")</f>
        <v>Dec</v>
      </c>
      <c r="X1945">
        <f t="shared" si="90"/>
        <v>6.4784000000000042</v>
      </c>
      <c r="Y1945" t="str">
        <f t="shared" si="91"/>
        <v>Profit</v>
      </c>
      <c r="Z1945" t="str">
        <f t="shared" si="92"/>
        <v>Low</v>
      </c>
    </row>
    <row r="1946" spans="1:26" x14ac:dyDescent="0.35">
      <c r="A1946" s="1">
        <v>1945</v>
      </c>
      <c r="B1946" s="2" t="s">
        <v>4897</v>
      </c>
      <c r="C1946" s="3">
        <v>45283</v>
      </c>
      <c r="D1946" s="3">
        <v>45287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53.315999999999995</v>
      </c>
      <c r="S1946" s="1">
        <v>2</v>
      </c>
      <c r="T1946" s="1">
        <v>0.4</v>
      </c>
      <c r="U1946" s="1">
        <v>-19.549200000000006</v>
      </c>
      <c r="V1946">
        <f>YEAR(Table1[[#This Row],[Order Date]])</f>
        <v>2023</v>
      </c>
      <c r="W1946" t="str">
        <f>TEXT(Table1[[#This Row],[Order Date]],"mmm")</f>
        <v>Dec</v>
      </c>
      <c r="X1946">
        <f t="shared" si="90"/>
        <v>-9.7746000000000031</v>
      </c>
      <c r="Y1946" t="str">
        <f t="shared" si="91"/>
        <v>Loss</v>
      </c>
      <c r="Z1946" t="str">
        <f t="shared" si="92"/>
        <v>Medium</v>
      </c>
    </row>
    <row r="1947" spans="1:26" x14ac:dyDescent="0.35">
      <c r="A1947" s="1">
        <v>1946</v>
      </c>
      <c r="B1947" s="2" t="s">
        <v>4900</v>
      </c>
      <c r="C1947" s="3">
        <v>45283</v>
      </c>
      <c r="D1947" s="3">
        <v>45288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  <c r="V1947">
        <f>YEAR(Table1[[#This Row],[Order Date]])</f>
        <v>2023</v>
      </c>
      <c r="W1947" t="str">
        <f>TEXT(Table1[[#This Row],[Order Date]],"mmm")</f>
        <v>Dec</v>
      </c>
      <c r="X1947">
        <f t="shared" si="90"/>
        <v>5.2751999999999999</v>
      </c>
      <c r="Y1947" t="str">
        <f t="shared" si="91"/>
        <v>Profit</v>
      </c>
      <c r="Z1947" t="str">
        <f t="shared" si="92"/>
        <v>No Discount</v>
      </c>
    </row>
    <row r="1948" spans="1:26" x14ac:dyDescent="0.35">
      <c r="A1948" s="1">
        <v>1947</v>
      </c>
      <c r="B1948" s="2" t="s">
        <v>4897</v>
      </c>
      <c r="C1948" s="3">
        <v>45283</v>
      </c>
      <c r="D1948" s="3">
        <v>45287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56.519999999999996</v>
      </c>
      <c r="S1948" s="1">
        <v>3</v>
      </c>
      <c r="T1948" s="1">
        <v>0</v>
      </c>
      <c r="U1948" s="1">
        <v>15.8256</v>
      </c>
      <c r="V1948">
        <f>YEAR(Table1[[#This Row],[Order Date]])</f>
        <v>2023</v>
      </c>
      <c r="W1948" t="str">
        <f>TEXT(Table1[[#This Row],[Order Date]],"mmm")</f>
        <v>Dec</v>
      </c>
      <c r="X1948">
        <f t="shared" si="90"/>
        <v>5.2751999999999999</v>
      </c>
      <c r="Y1948" t="str">
        <f t="shared" si="91"/>
        <v>Profit</v>
      </c>
      <c r="Z1948" t="str">
        <f t="shared" si="92"/>
        <v>No Discount</v>
      </c>
    </row>
    <row r="1949" spans="1:26" x14ac:dyDescent="0.35">
      <c r="A1949" s="1">
        <v>1948</v>
      </c>
      <c r="B1949" s="2" t="s">
        <v>4894</v>
      </c>
      <c r="C1949" s="3">
        <v>45283</v>
      </c>
      <c r="D1949" s="3">
        <v>45287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  <c r="V1949">
        <f>YEAR(Table1[[#This Row],[Order Date]])</f>
        <v>2023</v>
      </c>
      <c r="W1949" t="str">
        <f>TEXT(Table1[[#This Row],[Order Date]],"mmm")</f>
        <v>Dec</v>
      </c>
      <c r="X1949">
        <f t="shared" si="90"/>
        <v>0.504</v>
      </c>
      <c r="Y1949" t="str">
        <f t="shared" si="91"/>
        <v>Profit</v>
      </c>
      <c r="Z1949" t="str">
        <f t="shared" si="92"/>
        <v>Low</v>
      </c>
    </row>
    <row r="1950" spans="1:26" x14ac:dyDescent="0.35">
      <c r="A1950" s="1">
        <v>1949</v>
      </c>
      <c r="B1950" s="2" t="s">
        <v>4905</v>
      </c>
      <c r="C1950" s="3">
        <v>45283</v>
      </c>
      <c r="D1950" s="3">
        <v>45288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5.1840000000000011</v>
      </c>
      <c r="S1950" s="1">
        <v>1</v>
      </c>
      <c r="T1950" s="1">
        <v>0.2</v>
      </c>
      <c r="U1950" s="1">
        <v>1.8144</v>
      </c>
      <c r="V1950">
        <f>YEAR(Table1[[#This Row],[Order Date]])</f>
        <v>2023</v>
      </c>
      <c r="W1950" t="str">
        <f>TEXT(Table1[[#This Row],[Order Date]],"mmm")</f>
        <v>Dec</v>
      </c>
      <c r="X1950">
        <f t="shared" si="90"/>
        <v>1.8144</v>
      </c>
      <c r="Y1950" t="str">
        <f t="shared" si="91"/>
        <v>Profit</v>
      </c>
      <c r="Z1950" t="str">
        <f t="shared" si="92"/>
        <v>Low</v>
      </c>
    </row>
    <row r="1951" spans="1:26" x14ac:dyDescent="0.35">
      <c r="A1951" s="1">
        <v>1950</v>
      </c>
      <c r="B1951" s="2" t="s">
        <v>4894</v>
      </c>
      <c r="C1951" s="3">
        <v>45283</v>
      </c>
      <c r="D1951" s="3">
        <v>45287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45.527999999999999</v>
      </c>
      <c r="S1951" s="1">
        <v>3</v>
      </c>
      <c r="T1951" s="1">
        <v>0.2</v>
      </c>
      <c r="U1951" s="1">
        <v>15.934799999999997</v>
      </c>
      <c r="V1951">
        <f>YEAR(Table1[[#This Row],[Order Date]])</f>
        <v>2023</v>
      </c>
      <c r="W1951" t="str">
        <f>TEXT(Table1[[#This Row],[Order Date]],"mmm")</f>
        <v>Dec</v>
      </c>
      <c r="X1951">
        <f t="shared" si="90"/>
        <v>5.3115999999999994</v>
      </c>
      <c r="Y1951" t="str">
        <f t="shared" si="91"/>
        <v>Profit</v>
      </c>
      <c r="Z1951" t="str">
        <f t="shared" si="92"/>
        <v>Low</v>
      </c>
    </row>
    <row r="1952" spans="1:26" x14ac:dyDescent="0.35">
      <c r="A1952" s="1">
        <v>1951</v>
      </c>
      <c r="B1952" s="2" t="s">
        <v>4894</v>
      </c>
      <c r="C1952" s="3">
        <v>45283</v>
      </c>
      <c r="D1952" s="3">
        <v>45287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424.27200000000005</v>
      </c>
      <c r="S1952" s="1">
        <v>2</v>
      </c>
      <c r="T1952" s="1">
        <v>0.2</v>
      </c>
      <c r="U1952" s="1">
        <v>-10.60680000000005</v>
      </c>
      <c r="V1952">
        <f>YEAR(Table1[[#This Row],[Order Date]])</f>
        <v>2023</v>
      </c>
      <c r="W1952" t="str">
        <f>TEXT(Table1[[#This Row],[Order Date]],"mmm")</f>
        <v>Dec</v>
      </c>
      <c r="X1952">
        <f t="shared" si="90"/>
        <v>-5.3034000000000248</v>
      </c>
      <c r="Y1952" t="str">
        <f t="shared" si="91"/>
        <v>Loss</v>
      </c>
      <c r="Z1952" t="str">
        <f t="shared" si="92"/>
        <v>Low</v>
      </c>
    </row>
    <row r="1953" spans="1:26" x14ac:dyDescent="0.35">
      <c r="A1953" s="1">
        <v>1952</v>
      </c>
      <c r="B1953" s="2" t="s">
        <v>4894</v>
      </c>
      <c r="C1953" s="3">
        <v>45283</v>
      </c>
      <c r="D1953" s="3">
        <v>45287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83.920000000000016</v>
      </c>
      <c r="S1953" s="1">
        <v>5</v>
      </c>
      <c r="T1953" s="1">
        <v>0.2</v>
      </c>
      <c r="U1953" s="1">
        <v>-1.049000000000003</v>
      </c>
      <c r="V1953">
        <f>YEAR(Table1[[#This Row],[Order Date]])</f>
        <v>2023</v>
      </c>
      <c r="W1953" t="str">
        <f>TEXT(Table1[[#This Row],[Order Date]],"mmm")</f>
        <v>Dec</v>
      </c>
      <c r="X1953">
        <f t="shared" si="90"/>
        <v>-0.2098000000000006</v>
      </c>
      <c r="Y1953" t="str">
        <f t="shared" si="91"/>
        <v>Loss</v>
      </c>
      <c r="Z1953" t="str">
        <f t="shared" si="92"/>
        <v>Low</v>
      </c>
    </row>
    <row r="1954" spans="1:26" x14ac:dyDescent="0.35">
      <c r="A1954" s="1">
        <v>1953</v>
      </c>
      <c r="B1954" s="2" t="s">
        <v>4909</v>
      </c>
      <c r="C1954" s="3">
        <v>45284</v>
      </c>
      <c r="D1954" s="3">
        <v>45289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292.27200000000005</v>
      </c>
      <c r="S1954" s="1">
        <v>6</v>
      </c>
      <c r="T1954" s="1">
        <v>0.2</v>
      </c>
      <c r="U1954" s="1">
        <v>18.266999999999967</v>
      </c>
      <c r="V1954">
        <f>YEAR(Table1[[#This Row],[Order Date]])</f>
        <v>2023</v>
      </c>
      <c r="W1954" t="str">
        <f>TEXT(Table1[[#This Row],[Order Date]],"mmm")</f>
        <v>Dec</v>
      </c>
      <c r="X1954">
        <f t="shared" si="90"/>
        <v>3.0444999999999944</v>
      </c>
      <c r="Y1954" t="str">
        <f t="shared" si="91"/>
        <v>Profit</v>
      </c>
      <c r="Z1954" t="str">
        <f t="shared" si="92"/>
        <v>Low</v>
      </c>
    </row>
    <row r="1955" spans="1:26" x14ac:dyDescent="0.35">
      <c r="A1955" s="1">
        <v>1954</v>
      </c>
      <c r="B1955" s="2" t="s">
        <v>4910</v>
      </c>
      <c r="C1955" s="3">
        <v>45284</v>
      </c>
      <c r="D1955" s="3">
        <v>45289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</v>
      </c>
      <c r="T1955" s="1">
        <v>0</v>
      </c>
      <c r="U1955" s="1">
        <v>5.5176999999999978</v>
      </c>
      <c r="V1955">
        <f>YEAR(Table1[[#This Row],[Order Date]])</f>
        <v>2023</v>
      </c>
      <c r="W1955" t="str">
        <f>TEXT(Table1[[#This Row],[Order Date]],"mmm")</f>
        <v>Dec</v>
      </c>
      <c r="X1955">
        <f t="shared" si="90"/>
        <v>5.5176999999999978</v>
      </c>
      <c r="Y1955" t="str">
        <f t="shared" si="91"/>
        <v>Profit</v>
      </c>
      <c r="Z1955" t="str">
        <f t="shared" si="92"/>
        <v>No Discount</v>
      </c>
    </row>
    <row r="1956" spans="1:26" x14ac:dyDescent="0.35">
      <c r="A1956" s="1">
        <v>1955</v>
      </c>
      <c r="B1956" s="2" t="s">
        <v>4913</v>
      </c>
      <c r="C1956" s="3">
        <v>45284</v>
      </c>
      <c r="D1956" s="3">
        <v>45286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  <c r="V1956">
        <f>YEAR(Table1[[#This Row],[Order Date]])</f>
        <v>2023</v>
      </c>
      <c r="W1956" t="str">
        <f>TEXT(Table1[[#This Row],[Order Date]],"mmm")</f>
        <v>Dec</v>
      </c>
      <c r="X1956">
        <f t="shared" si="90"/>
        <v>1.7457</v>
      </c>
      <c r="Y1956" t="str">
        <f t="shared" si="91"/>
        <v>Profit</v>
      </c>
      <c r="Z1956" t="str">
        <f t="shared" si="92"/>
        <v>Low</v>
      </c>
    </row>
    <row r="1957" spans="1:26" x14ac:dyDescent="0.35">
      <c r="A1957" s="1">
        <v>1956</v>
      </c>
      <c r="B1957" s="2" t="s">
        <v>4910</v>
      </c>
      <c r="C1957" s="3">
        <v>45284</v>
      </c>
      <c r="D1957" s="3">
        <v>45289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</v>
      </c>
      <c r="T1957" s="1">
        <v>0</v>
      </c>
      <c r="U1957" s="1">
        <v>101.34879999999998</v>
      </c>
      <c r="V1957">
        <f>YEAR(Table1[[#This Row],[Order Date]])</f>
        <v>2023</v>
      </c>
      <c r="W1957" t="str">
        <f>TEXT(Table1[[#This Row],[Order Date]],"mmm")</f>
        <v>Dec</v>
      </c>
      <c r="X1957">
        <f t="shared" si="90"/>
        <v>50.674399999999991</v>
      </c>
      <c r="Y1957" t="str">
        <f t="shared" si="91"/>
        <v>Profit</v>
      </c>
      <c r="Z1957" t="str">
        <f t="shared" si="92"/>
        <v>No Discount</v>
      </c>
    </row>
    <row r="1958" spans="1:26" x14ac:dyDescent="0.35">
      <c r="A1958" s="1">
        <v>1957</v>
      </c>
      <c r="B1958" s="2" t="s">
        <v>4918</v>
      </c>
      <c r="C1958" s="3">
        <v>45284</v>
      </c>
      <c r="D1958" s="3">
        <v>45286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</v>
      </c>
      <c r="T1958" s="1">
        <v>0</v>
      </c>
      <c r="U1958" s="1">
        <v>3.632200000000001</v>
      </c>
      <c r="V1958">
        <f>YEAR(Table1[[#This Row],[Order Date]])</f>
        <v>2023</v>
      </c>
      <c r="W1958" t="str">
        <f>TEXT(Table1[[#This Row],[Order Date]],"mmm")</f>
        <v>Dec</v>
      </c>
      <c r="X1958">
        <f t="shared" si="90"/>
        <v>3.632200000000001</v>
      </c>
      <c r="Y1958" t="str">
        <f t="shared" si="91"/>
        <v>Profit</v>
      </c>
      <c r="Z1958" t="str">
        <f t="shared" si="92"/>
        <v>No Discount</v>
      </c>
    </row>
    <row r="1959" spans="1:26" x14ac:dyDescent="0.35">
      <c r="A1959" s="1">
        <v>1958</v>
      </c>
      <c r="B1959" s="2" t="s">
        <v>4921</v>
      </c>
      <c r="C1959" s="3">
        <v>45284</v>
      </c>
      <c r="D1959" s="3">
        <v>45286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9.5680000000000014</v>
      </c>
      <c r="S1959" s="1">
        <v>2</v>
      </c>
      <c r="T1959" s="1">
        <v>0.2</v>
      </c>
      <c r="U1959" s="1">
        <v>3.4683999999999999</v>
      </c>
      <c r="V1959">
        <f>YEAR(Table1[[#This Row],[Order Date]])</f>
        <v>2023</v>
      </c>
      <c r="W1959" t="str">
        <f>TEXT(Table1[[#This Row],[Order Date]],"mmm")</f>
        <v>Dec</v>
      </c>
      <c r="X1959">
        <f t="shared" si="90"/>
        <v>1.7342</v>
      </c>
      <c r="Y1959" t="str">
        <f t="shared" si="91"/>
        <v>Profit</v>
      </c>
      <c r="Z1959" t="str">
        <f t="shared" si="92"/>
        <v>Low</v>
      </c>
    </row>
    <row r="1960" spans="1:26" x14ac:dyDescent="0.35">
      <c r="A1960" s="1">
        <v>1959</v>
      </c>
      <c r="B1960" s="2" t="s">
        <v>4910</v>
      </c>
      <c r="C1960" s="3">
        <v>45284</v>
      </c>
      <c r="D1960" s="3">
        <v>45289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</v>
      </c>
      <c r="T1960" s="1">
        <v>0</v>
      </c>
      <c r="U1960" s="1">
        <v>0.20339999999999847</v>
      </c>
      <c r="V1960">
        <f>YEAR(Table1[[#This Row],[Order Date]])</f>
        <v>2023</v>
      </c>
      <c r="W1960" t="str">
        <f>TEXT(Table1[[#This Row],[Order Date]],"mmm")</f>
        <v>Dec</v>
      </c>
      <c r="X1960">
        <f t="shared" si="90"/>
        <v>0.20339999999999847</v>
      </c>
      <c r="Y1960" t="str">
        <f t="shared" si="91"/>
        <v>Profit</v>
      </c>
      <c r="Z1960" t="str">
        <f t="shared" si="92"/>
        <v>No Discount</v>
      </c>
    </row>
    <row r="1961" spans="1:26" x14ac:dyDescent="0.35">
      <c r="A1961" s="1">
        <v>1960</v>
      </c>
      <c r="B1961" s="2" t="s">
        <v>4909</v>
      </c>
      <c r="C1961" s="3">
        <v>45284</v>
      </c>
      <c r="D1961" s="3">
        <v>45289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142.86000000000001</v>
      </c>
      <c r="S1961" s="1">
        <v>1</v>
      </c>
      <c r="T1961" s="1">
        <v>0</v>
      </c>
      <c r="U1961" s="1">
        <v>41.429399999999987</v>
      </c>
      <c r="V1961">
        <f>YEAR(Table1[[#This Row],[Order Date]])</f>
        <v>2023</v>
      </c>
      <c r="W1961" t="str">
        <f>TEXT(Table1[[#This Row],[Order Date]],"mmm")</f>
        <v>Dec</v>
      </c>
      <c r="X1961">
        <f t="shared" si="90"/>
        <v>41.429399999999987</v>
      </c>
      <c r="Y1961" t="str">
        <f t="shared" si="91"/>
        <v>Profit</v>
      </c>
      <c r="Z1961" t="str">
        <f t="shared" si="92"/>
        <v>No Discount</v>
      </c>
    </row>
    <row r="1962" spans="1:26" x14ac:dyDescent="0.35">
      <c r="A1962" s="1">
        <v>1961</v>
      </c>
      <c r="B1962" s="2" t="s">
        <v>4910</v>
      </c>
      <c r="C1962" s="3">
        <v>45284</v>
      </c>
      <c r="D1962" s="3">
        <v>45289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62.849999999999994</v>
      </c>
      <c r="S1962" s="1">
        <v>3</v>
      </c>
      <c r="T1962" s="1">
        <v>0</v>
      </c>
      <c r="U1962" s="1">
        <v>13.198499999999999</v>
      </c>
      <c r="V1962">
        <f>YEAR(Table1[[#This Row],[Order Date]])</f>
        <v>2023</v>
      </c>
      <c r="W1962" t="str">
        <f>TEXT(Table1[[#This Row],[Order Date]],"mmm")</f>
        <v>Dec</v>
      </c>
      <c r="X1962">
        <f t="shared" si="90"/>
        <v>4.3994999999999997</v>
      </c>
      <c r="Y1962" t="str">
        <f t="shared" si="91"/>
        <v>Profit</v>
      </c>
      <c r="Z1962" t="str">
        <f t="shared" si="92"/>
        <v>No Discount</v>
      </c>
    </row>
    <row r="1963" spans="1:26" x14ac:dyDescent="0.35">
      <c r="A1963" s="1">
        <v>1962</v>
      </c>
      <c r="B1963" s="2" t="s">
        <v>4910</v>
      </c>
      <c r="C1963" s="3">
        <v>45284</v>
      </c>
      <c r="D1963" s="3">
        <v>45289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173.65600000000003</v>
      </c>
      <c r="S1963" s="1">
        <v>7</v>
      </c>
      <c r="T1963" s="1">
        <v>0.2</v>
      </c>
      <c r="U1963" s="1">
        <v>17.365599999999993</v>
      </c>
      <c r="V1963">
        <f>YEAR(Table1[[#This Row],[Order Date]])</f>
        <v>2023</v>
      </c>
      <c r="W1963" t="str">
        <f>TEXT(Table1[[#This Row],[Order Date]],"mmm")</f>
        <v>Dec</v>
      </c>
      <c r="X1963">
        <f t="shared" si="90"/>
        <v>2.480799999999999</v>
      </c>
      <c r="Y1963" t="str">
        <f t="shared" si="91"/>
        <v>Profit</v>
      </c>
      <c r="Z1963" t="str">
        <f t="shared" si="92"/>
        <v>Low</v>
      </c>
    </row>
    <row r="1964" spans="1:26" x14ac:dyDescent="0.35">
      <c r="A1964" s="1">
        <v>1963</v>
      </c>
      <c r="B1964" s="2" t="s">
        <v>4910</v>
      </c>
      <c r="C1964" s="3">
        <v>45284</v>
      </c>
      <c r="D1964" s="3">
        <v>45289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818.37600000000009</v>
      </c>
      <c r="S1964" s="1">
        <v>3</v>
      </c>
      <c r="T1964" s="1">
        <v>0.2</v>
      </c>
      <c r="U1964" s="1">
        <v>51.148499999999984</v>
      </c>
      <c r="V1964">
        <f>YEAR(Table1[[#This Row],[Order Date]])</f>
        <v>2023</v>
      </c>
      <c r="W1964" t="str">
        <f>TEXT(Table1[[#This Row],[Order Date]],"mmm")</f>
        <v>Dec</v>
      </c>
      <c r="X1964">
        <f t="shared" si="90"/>
        <v>17.049499999999995</v>
      </c>
      <c r="Y1964" t="str">
        <f t="shared" si="91"/>
        <v>Profit</v>
      </c>
      <c r="Z1964" t="str">
        <f t="shared" si="92"/>
        <v>Low</v>
      </c>
    </row>
    <row r="1965" spans="1:26" x14ac:dyDescent="0.35">
      <c r="A1965" s="1">
        <v>1964</v>
      </c>
      <c r="B1965" s="2" t="s">
        <v>4926</v>
      </c>
      <c r="C1965" s="3">
        <v>45286</v>
      </c>
      <c r="D1965" s="3">
        <v>45288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230.35200000000003</v>
      </c>
      <c r="S1965" s="1">
        <v>3</v>
      </c>
      <c r="T1965" s="1">
        <v>0.2</v>
      </c>
      <c r="U1965" s="1">
        <v>20.155800000000013</v>
      </c>
      <c r="V1965">
        <f>YEAR(Table1[[#This Row],[Order Date]])</f>
        <v>2023</v>
      </c>
      <c r="W1965" t="str">
        <f>TEXT(Table1[[#This Row],[Order Date]],"mmm")</f>
        <v>Dec</v>
      </c>
      <c r="X1965">
        <f t="shared" si="90"/>
        <v>6.7186000000000048</v>
      </c>
      <c r="Y1965" t="str">
        <f t="shared" si="91"/>
        <v>Profit</v>
      </c>
      <c r="Z1965" t="str">
        <f t="shared" si="92"/>
        <v>Low</v>
      </c>
    </row>
    <row r="1966" spans="1:26" x14ac:dyDescent="0.35">
      <c r="A1966" s="1">
        <v>1965</v>
      </c>
      <c r="B1966" s="2" t="s">
        <v>4930</v>
      </c>
      <c r="C1966" s="3">
        <v>45286</v>
      </c>
      <c r="D1966" s="3">
        <v>45288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600.55799999999999</v>
      </c>
      <c r="S1966" s="1">
        <v>3</v>
      </c>
      <c r="T1966" s="1">
        <v>0.3</v>
      </c>
      <c r="U1966" s="1">
        <v>-8.5794000000000779</v>
      </c>
      <c r="V1966">
        <f>YEAR(Table1[[#This Row],[Order Date]])</f>
        <v>2023</v>
      </c>
      <c r="W1966" t="str">
        <f>TEXT(Table1[[#This Row],[Order Date]],"mmm")</f>
        <v>Dec</v>
      </c>
      <c r="X1966">
        <f t="shared" si="90"/>
        <v>-2.8598000000000261</v>
      </c>
      <c r="Y1966" t="str">
        <f t="shared" si="91"/>
        <v>Loss</v>
      </c>
      <c r="Z1966" t="str">
        <f t="shared" si="92"/>
        <v>Medium</v>
      </c>
    </row>
    <row r="1967" spans="1:26" x14ac:dyDescent="0.35">
      <c r="A1967" s="1">
        <v>1966</v>
      </c>
      <c r="B1967" s="2" t="s">
        <v>4931</v>
      </c>
      <c r="C1967" s="3">
        <v>45286</v>
      </c>
      <c r="D1967" s="3">
        <v>45290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  <c r="V1967">
        <f>YEAR(Table1[[#This Row],[Order Date]])</f>
        <v>2023</v>
      </c>
      <c r="W1967" t="str">
        <f>TEXT(Table1[[#This Row],[Order Date]],"mmm")</f>
        <v>Dec</v>
      </c>
      <c r="X1967">
        <f t="shared" si="90"/>
        <v>0.55679999999999996</v>
      </c>
      <c r="Y1967" t="str">
        <f t="shared" si="91"/>
        <v>Profit</v>
      </c>
      <c r="Z1967" t="str">
        <f t="shared" si="92"/>
        <v>No Discount</v>
      </c>
    </row>
    <row r="1968" spans="1:26" x14ac:dyDescent="0.35">
      <c r="A1968" s="1">
        <v>1967</v>
      </c>
      <c r="B1968" s="2" t="s">
        <v>4926</v>
      </c>
      <c r="C1968" s="3">
        <v>45286</v>
      </c>
      <c r="D1968" s="3">
        <v>45288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218.35200000000003</v>
      </c>
      <c r="S1968" s="1">
        <v>3</v>
      </c>
      <c r="T1968" s="1">
        <v>0.2</v>
      </c>
      <c r="U1968" s="1">
        <v>-24.564599999999999</v>
      </c>
      <c r="V1968">
        <f>YEAR(Table1[[#This Row],[Order Date]])</f>
        <v>2023</v>
      </c>
      <c r="W1968" t="str">
        <f>TEXT(Table1[[#This Row],[Order Date]],"mmm")</f>
        <v>Dec</v>
      </c>
      <c r="X1968">
        <f t="shared" si="90"/>
        <v>-8.1882000000000001</v>
      </c>
      <c r="Y1968" t="str">
        <f t="shared" si="91"/>
        <v>Loss</v>
      </c>
      <c r="Z1968" t="str">
        <f t="shared" si="92"/>
        <v>Low</v>
      </c>
    </row>
    <row r="1969" spans="1:26" x14ac:dyDescent="0.35">
      <c r="A1969" s="1">
        <v>1968</v>
      </c>
      <c r="B1969" s="2" t="s">
        <v>4926</v>
      </c>
      <c r="C1969" s="3">
        <v>45286</v>
      </c>
      <c r="D1969" s="3">
        <v>45288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  <c r="V1969">
        <f>YEAR(Table1[[#This Row],[Order Date]])</f>
        <v>2023</v>
      </c>
      <c r="W1969" t="str">
        <f>TEXT(Table1[[#This Row],[Order Date]],"mmm")</f>
        <v>Dec</v>
      </c>
      <c r="X1969">
        <f t="shared" si="90"/>
        <v>9.8574000000000002</v>
      </c>
      <c r="Y1969" t="str">
        <f t="shared" si="91"/>
        <v>Profit</v>
      </c>
      <c r="Z1969" t="str">
        <f t="shared" si="92"/>
        <v>Low</v>
      </c>
    </row>
    <row r="1970" spans="1:26" x14ac:dyDescent="0.35">
      <c r="A1970" s="1">
        <v>1969</v>
      </c>
      <c r="B1970" s="2" t="s">
        <v>4934</v>
      </c>
      <c r="C1970" s="3">
        <v>45286</v>
      </c>
      <c r="D1970" s="3">
        <v>45291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34.655999999999999</v>
      </c>
      <c r="S1970" s="1">
        <v>2</v>
      </c>
      <c r="T1970" s="1">
        <v>0.2</v>
      </c>
      <c r="U1970" s="1">
        <v>5.6315999999999971</v>
      </c>
      <c r="V1970">
        <f>YEAR(Table1[[#This Row],[Order Date]])</f>
        <v>2023</v>
      </c>
      <c r="W1970" t="str">
        <f>TEXT(Table1[[#This Row],[Order Date]],"mmm")</f>
        <v>Dec</v>
      </c>
      <c r="X1970">
        <f t="shared" si="90"/>
        <v>2.8157999999999985</v>
      </c>
      <c r="Y1970" t="str">
        <f t="shared" si="91"/>
        <v>Profit</v>
      </c>
      <c r="Z1970" t="str">
        <f t="shared" si="92"/>
        <v>Low</v>
      </c>
    </row>
    <row r="1971" spans="1:26" x14ac:dyDescent="0.35">
      <c r="A1971" s="1">
        <v>1970</v>
      </c>
      <c r="B1971" s="2" t="s">
        <v>4934</v>
      </c>
      <c r="C1971" s="3">
        <v>45286</v>
      </c>
      <c r="D1971" s="3">
        <v>45291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81.552000000000007</v>
      </c>
      <c r="S1971" s="1">
        <v>2</v>
      </c>
      <c r="T1971" s="1">
        <v>0.2</v>
      </c>
      <c r="U1971" s="1">
        <v>8.1551999999999971</v>
      </c>
      <c r="V1971">
        <f>YEAR(Table1[[#This Row],[Order Date]])</f>
        <v>2023</v>
      </c>
      <c r="W1971" t="str">
        <f>TEXT(Table1[[#This Row],[Order Date]],"mmm")</f>
        <v>Dec</v>
      </c>
      <c r="X1971">
        <f t="shared" si="90"/>
        <v>4.0775999999999986</v>
      </c>
      <c r="Y1971" t="str">
        <f t="shared" si="91"/>
        <v>Profit</v>
      </c>
      <c r="Z1971" t="str">
        <f t="shared" si="92"/>
        <v>Low</v>
      </c>
    </row>
    <row r="1972" spans="1:26" x14ac:dyDescent="0.35">
      <c r="A1972" s="1">
        <v>1971</v>
      </c>
      <c r="B1972" s="2" t="s">
        <v>4939</v>
      </c>
      <c r="C1972" s="3">
        <v>45286</v>
      </c>
      <c r="D1972" s="3">
        <v>45290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</v>
      </c>
      <c r="T1972" s="1">
        <v>0.2</v>
      </c>
      <c r="U1972" s="1">
        <v>1.102199999999999</v>
      </c>
      <c r="V1972">
        <f>YEAR(Table1[[#This Row],[Order Date]])</f>
        <v>2023</v>
      </c>
      <c r="W1972" t="str">
        <f>TEXT(Table1[[#This Row],[Order Date]],"mmm")</f>
        <v>Dec</v>
      </c>
      <c r="X1972">
        <f t="shared" si="90"/>
        <v>0.36739999999999967</v>
      </c>
      <c r="Y1972" t="str">
        <f t="shared" si="91"/>
        <v>Profit</v>
      </c>
      <c r="Z1972" t="str">
        <f t="shared" si="92"/>
        <v>Low</v>
      </c>
    </row>
    <row r="1973" spans="1:26" x14ac:dyDescent="0.35">
      <c r="A1973" s="1">
        <v>1972</v>
      </c>
      <c r="B1973" s="2" t="s">
        <v>4942</v>
      </c>
      <c r="C1973" s="3">
        <v>45286</v>
      </c>
      <c r="D1973" s="3">
        <v>45291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8.6899999999999977</v>
      </c>
      <c r="S1973" s="1">
        <v>5</v>
      </c>
      <c r="T1973" s="1">
        <v>0.8</v>
      </c>
      <c r="U1973" s="1">
        <v>-14.773</v>
      </c>
      <c r="V1973">
        <f>YEAR(Table1[[#This Row],[Order Date]])</f>
        <v>2023</v>
      </c>
      <c r="W1973" t="str">
        <f>TEXT(Table1[[#This Row],[Order Date]],"mmm")</f>
        <v>Dec</v>
      </c>
      <c r="X1973">
        <f t="shared" si="90"/>
        <v>-2.9546000000000001</v>
      </c>
      <c r="Y1973" t="str">
        <f t="shared" si="91"/>
        <v>Loss</v>
      </c>
      <c r="Z1973" t="str">
        <f t="shared" si="92"/>
        <v>High</v>
      </c>
    </row>
    <row r="1974" spans="1:26" x14ac:dyDescent="0.35">
      <c r="A1974" s="1">
        <v>1973</v>
      </c>
      <c r="B1974" s="2" t="s">
        <v>4926</v>
      </c>
      <c r="C1974" s="3">
        <v>45286</v>
      </c>
      <c r="D1974" s="3">
        <v>45288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78.600000000000009</v>
      </c>
      <c r="S1974" s="1">
        <v>5</v>
      </c>
      <c r="T1974" s="1">
        <v>0.7</v>
      </c>
      <c r="U1974" s="1">
        <v>-62.88000000000001</v>
      </c>
      <c r="V1974">
        <f>YEAR(Table1[[#This Row],[Order Date]])</f>
        <v>2023</v>
      </c>
      <c r="W1974" t="str">
        <f>TEXT(Table1[[#This Row],[Order Date]],"mmm")</f>
        <v>Dec</v>
      </c>
      <c r="X1974">
        <f t="shared" si="90"/>
        <v>-12.576000000000002</v>
      </c>
      <c r="Y1974" t="str">
        <f t="shared" si="91"/>
        <v>Loss</v>
      </c>
      <c r="Z1974" t="str">
        <f t="shared" si="92"/>
        <v>High</v>
      </c>
    </row>
    <row r="1975" spans="1:26" x14ac:dyDescent="0.35">
      <c r="A1975" s="1">
        <v>1974</v>
      </c>
      <c r="B1975" s="2" t="s">
        <v>4926</v>
      </c>
      <c r="C1975" s="3">
        <v>45286</v>
      </c>
      <c r="D1975" s="3">
        <v>45288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27.552000000000003</v>
      </c>
      <c r="S1975" s="1">
        <v>3</v>
      </c>
      <c r="T1975" s="1">
        <v>0.2</v>
      </c>
      <c r="U1975" s="1">
        <v>9.2987999999999964</v>
      </c>
      <c r="V1975">
        <f>YEAR(Table1[[#This Row],[Order Date]])</f>
        <v>2023</v>
      </c>
      <c r="W1975" t="str">
        <f>TEXT(Table1[[#This Row],[Order Date]],"mmm")</f>
        <v>Dec</v>
      </c>
      <c r="X1975">
        <f t="shared" si="90"/>
        <v>3.0995999999999988</v>
      </c>
      <c r="Y1975" t="str">
        <f t="shared" si="91"/>
        <v>Profit</v>
      </c>
      <c r="Z1975" t="str">
        <f t="shared" si="92"/>
        <v>Low</v>
      </c>
    </row>
    <row r="1976" spans="1:26" x14ac:dyDescent="0.35">
      <c r="A1976" s="1">
        <v>1975</v>
      </c>
      <c r="B1976" s="2" t="s">
        <v>4934</v>
      </c>
      <c r="C1976" s="3">
        <v>45286</v>
      </c>
      <c r="D1976" s="3">
        <v>45291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18.264000000000003</v>
      </c>
      <c r="S1976" s="1">
        <v>3</v>
      </c>
      <c r="T1976" s="1">
        <v>0.2</v>
      </c>
      <c r="U1976" s="1">
        <v>6.1640999999999995</v>
      </c>
      <c r="V1976">
        <f>YEAR(Table1[[#This Row],[Order Date]])</f>
        <v>2023</v>
      </c>
      <c r="W1976" t="str">
        <f>TEXT(Table1[[#This Row],[Order Date]],"mmm")</f>
        <v>Dec</v>
      </c>
      <c r="X1976">
        <f t="shared" si="90"/>
        <v>2.0547</v>
      </c>
      <c r="Y1976" t="str">
        <f t="shared" si="91"/>
        <v>Profit</v>
      </c>
      <c r="Z1976" t="str">
        <f t="shared" si="92"/>
        <v>Low</v>
      </c>
    </row>
    <row r="1977" spans="1:26" x14ac:dyDescent="0.35">
      <c r="A1977" s="1">
        <v>1976</v>
      </c>
      <c r="B1977" s="2" t="s">
        <v>4943</v>
      </c>
      <c r="C1977" s="3">
        <v>45286</v>
      </c>
      <c r="D1977" s="3">
        <v>45292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</v>
      </c>
      <c r="T1977" s="1">
        <v>0</v>
      </c>
      <c r="U1977" s="1">
        <v>19.188000000000002</v>
      </c>
      <c r="V1977">
        <f>YEAR(Table1[[#This Row],[Order Date]])</f>
        <v>2023</v>
      </c>
      <c r="W1977" t="str">
        <f>TEXT(Table1[[#This Row],[Order Date]],"mmm")</f>
        <v>Dec</v>
      </c>
      <c r="X1977">
        <f t="shared" si="90"/>
        <v>3.1980000000000004</v>
      </c>
      <c r="Y1977" t="str">
        <f t="shared" si="91"/>
        <v>Profit</v>
      </c>
      <c r="Z1977" t="str">
        <f t="shared" si="92"/>
        <v>No Discount</v>
      </c>
    </row>
    <row r="1978" spans="1:26" x14ac:dyDescent="0.35">
      <c r="A1978" s="1">
        <v>1977</v>
      </c>
      <c r="B1978" s="2" t="s">
        <v>4934</v>
      </c>
      <c r="C1978" s="3">
        <v>45286</v>
      </c>
      <c r="D1978" s="3">
        <v>45291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227.13600000000002</v>
      </c>
      <c r="S1978" s="1">
        <v>4</v>
      </c>
      <c r="T1978" s="1">
        <v>0.2</v>
      </c>
      <c r="U1978" s="1">
        <v>-42.588000000000036</v>
      </c>
      <c r="V1978">
        <f>YEAR(Table1[[#This Row],[Order Date]])</f>
        <v>2023</v>
      </c>
      <c r="W1978" t="str">
        <f>TEXT(Table1[[#This Row],[Order Date]],"mmm")</f>
        <v>Dec</v>
      </c>
      <c r="X1978">
        <f t="shared" si="90"/>
        <v>-10.647000000000009</v>
      </c>
      <c r="Y1978" t="str">
        <f t="shared" si="91"/>
        <v>Loss</v>
      </c>
      <c r="Z1978" t="str">
        <f t="shared" si="92"/>
        <v>Low</v>
      </c>
    </row>
    <row r="1979" spans="1:26" x14ac:dyDescent="0.35">
      <c r="A1979" s="1">
        <v>1978</v>
      </c>
      <c r="B1979" s="2" t="s">
        <v>4931</v>
      </c>
      <c r="C1979" s="3">
        <v>45286</v>
      </c>
      <c r="D1979" s="3">
        <v>45290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</v>
      </c>
      <c r="T1979" s="1">
        <v>0</v>
      </c>
      <c r="U1979" s="1">
        <v>0.11909999999999954</v>
      </c>
      <c r="V1979">
        <f>YEAR(Table1[[#This Row],[Order Date]])</f>
        <v>2023</v>
      </c>
      <c r="W1979" t="str">
        <f>TEXT(Table1[[#This Row],[Order Date]],"mmm")</f>
        <v>Dec</v>
      </c>
      <c r="X1979">
        <f t="shared" si="90"/>
        <v>3.9699999999999847E-2</v>
      </c>
      <c r="Y1979" t="str">
        <f t="shared" si="91"/>
        <v>Profit</v>
      </c>
      <c r="Z1979" t="str">
        <f t="shared" si="92"/>
        <v>No Discount</v>
      </c>
    </row>
    <row r="1980" spans="1:26" x14ac:dyDescent="0.35">
      <c r="A1980" s="1">
        <v>1979</v>
      </c>
      <c r="B1980" s="2" t="s">
        <v>4946</v>
      </c>
      <c r="C1980" s="3">
        <v>45287</v>
      </c>
      <c r="D1980" s="3">
        <v>45291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767.21400000000006</v>
      </c>
      <c r="S1980" s="1">
        <v>14</v>
      </c>
      <c r="T1980" s="1">
        <v>0.1</v>
      </c>
      <c r="U1980" s="1">
        <v>161.96739999999997</v>
      </c>
      <c r="V1980">
        <f>YEAR(Table1[[#This Row],[Order Date]])</f>
        <v>2023</v>
      </c>
      <c r="W1980" t="str">
        <f>TEXT(Table1[[#This Row],[Order Date]],"mmm")</f>
        <v>Dec</v>
      </c>
      <c r="X1980">
        <f t="shared" si="90"/>
        <v>11.569099999999997</v>
      </c>
      <c r="Y1980" t="str">
        <f t="shared" si="91"/>
        <v>Profit</v>
      </c>
      <c r="Z1980" t="str">
        <f t="shared" si="92"/>
        <v>Low</v>
      </c>
    </row>
    <row r="1981" spans="1:26" x14ac:dyDescent="0.35">
      <c r="A1981" s="1">
        <v>1980</v>
      </c>
      <c r="B1981" s="2" t="s">
        <v>4949</v>
      </c>
      <c r="C1981" s="3">
        <v>45287</v>
      </c>
      <c r="D1981" s="3">
        <v>45293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230.28000000000003</v>
      </c>
      <c r="S1981" s="1">
        <v>3</v>
      </c>
      <c r="T1981" s="1">
        <v>0.2</v>
      </c>
      <c r="U1981" s="1">
        <v>23.027999999999992</v>
      </c>
      <c r="V1981">
        <f>YEAR(Table1[[#This Row],[Order Date]])</f>
        <v>2023</v>
      </c>
      <c r="W1981" t="str">
        <f>TEXT(Table1[[#This Row],[Order Date]],"mmm")</f>
        <v>Dec</v>
      </c>
      <c r="X1981">
        <f t="shared" si="90"/>
        <v>7.6759999999999975</v>
      </c>
      <c r="Y1981" t="str">
        <f t="shared" si="91"/>
        <v>Profit</v>
      </c>
      <c r="Z1981" t="str">
        <f t="shared" si="92"/>
        <v>Low</v>
      </c>
    </row>
    <row r="1982" spans="1:26" x14ac:dyDescent="0.35">
      <c r="A1982" s="1">
        <v>1981</v>
      </c>
      <c r="B1982" s="2" t="s">
        <v>4950</v>
      </c>
      <c r="C1982" s="3">
        <v>45287</v>
      </c>
      <c r="D1982" s="3">
        <v>45291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32.952000000000005</v>
      </c>
      <c r="S1982" s="1">
        <v>6</v>
      </c>
      <c r="T1982" s="1">
        <v>0.6</v>
      </c>
      <c r="U1982" s="1">
        <v>-19.771199999999997</v>
      </c>
      <c r="V1982">
        <f>YEAR(Table1[[#This Row],[Order Date]])</f>
        <v>2023</v>
      </c>
      <c r="W1982" t="str">
        <f>TEXT(Table1[[#This Row],[Order Date]],"mmm")</f>
        <v>Dec</v>
      </c>
      <c r="X1982">
        <f t="shared" si="90"/>
        <v>-3.2951999999999995</v>
      </c>
      <c r="Y1982" t="str">
        <f t="shared" si="91"/>
        <v>Loss</v>
      </c>
      <c r="Z1982" t="str">
        <f t="shared" si="92"/>
        <v>High</v>
      </c>
    </row>
    <row r="1983" spans="1:26" x14ac:dyDescent="0.35">
      <c r="A1983" s="1">
        <v>1982</v>
      </c>
      <c r="B1983" s="2" t="s">
        <v>4951</v>
      </c>
      <c r="C1983" s="3">
        <v>45287</v>
      </c>
      <c r="D1983" s="3">
        <v>45292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182.35200000000003</v>
      </c>
      <c r="S1983" s="1">
        <v>3</v>
      </c>
      <c r="T1983" s="1">
        <v>0.2</v>
      </c>
      <c r="U1983" s="1">
        <v>-18.23520000000002</v>
      </c>
      <c r="V1983">
        <f>YEAR(Table1[[#This Row],[Order Date]])</f>
        <v>2023</v>
      </c>
      <c r="W1983" t="str">
        <f>TEXT(Table1[[#This Row],[Order Date]],"mmm")</f>
        <v>Dec</v>
      </c>
      <c r="X1983">
        <f t="shared" si="90"/>
        <v>-6.0784000000000065</v>
      </c>
      <c r="Y1983" t="str">
        <f t="shared" si="91"/>
        <v>Loss</v>
      </c>
      <c r="Z1983" t="str">
        <f t="shared" si="92"/>
        <v>Low</v>
      </c>
    </row>
    <row r="1984" spans="1:26" x14ac:dyDescent="0.35">
      <c r="A1984" s="1">
        <v>1983</v>
      </c>
      <c r="B1984" s="2" t="s">
        <v>4954</v>
      </c>
      <c r="C1984" s="3">
        <v>45287</v>
      </c>
      <c r="D1984" s="3">
        <v>45291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</v>
      </c>
      <c r="T1984" s="1">
        <v>0</v>
      </c>
      <c r="U1984" s="1">
        <v>2.9646000000000008</v>
      </c>
      <c r="V1984">
        <f>YEAR(Table1[[#This Row],[Order Date]])</f>
        <v>2023</v>
      </c>
      <c r="W1984" t="str">
        <f>TEXT(Table1[[#This Row],[Order Date]],"mmm")</f>
        <v>Dec</v>
      </c>
      <c r="X1984">
        <f t="shared" si="90"/>
        <v>2.9646000000000008</v>
      </c>
      <c r="Y1984" t="str">
        <f t="shared" si="91"/>
        <v>Profit</v>
      </c>
      <c r="Z1984" t="str">
        <f t="shared" si="92"/>
        <v>No Discount</v>
      </c>
    </row>
    <row r="1985" spans="1:26" x14ac:dyDescent="0.35">
      <c r="A1985" s="1">
        <v>1984</v>
      </c>
      <c r="B1985" s="2" t="s">
        <v>4955</v>
      </c>
      <c r="C1985" s="3">
        <v>45287</v>
      </c>
      <c r="D1985" s="3">
        <v>45290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4.9839999999999991</v>
      </c>
      <c r="S1985" s="1">
        <v>1</v>
      </c>
      <c r="T1985" s="1">
        <v>0.8</v>
      </c>
      <c r="U1985" s="1">
        <v>-8.472800000000003</v>
      </c>
      <c r="V1985">
        <f>YEAR(Table1[[#This Row],[Order Date]])</f>
        <v>2023</v>
      </c>
      <c r="W1985" t="str">
        <f>TEXT(Table1[[#This Row],[Order Date]],"mmm")</f>
        <v>Dec</v>
      </c>
      <c r="X1985">
        <f t="shared" si="90"/>
        <v>-8.472800000000003</v>
      </c>
      <c r="Y1985" t="str">
        <f t="shared" si="91"/>
        <v>Loss</v>
      </c>
      <c r="Z1985" t="str">
        <f t="shared" si="92"/>
        <v>High</v>
      </c>
    </row>
    <row r="1986" spans="1:26" x14ac:dyDescent="0.35">
      <c r="A1986" s="1">
        <v>1985</v>
      </c>
      <c r="B1986" s="2" t="s">
        <v>4954</v>
      </c>
      <c r="C1986" s="3">
        <v>45287</v>
      </c>
      <c r="D1986" s="3">
        <v>45291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  <c r="V1986">
        <f>YEAR(Table1[[#This Row],[Order Date]])</f>
        <v>2023</v>
      </c>
      <c r="W1986" t="str">
        <f>TEXT(Table1[[#This Row],[Order Date]],"mmm")</f>
        <v>Dec</v>
      </c>
      <c r="X1986">
        <f t="shared" ref="X1986:X2000" si="93">IFERROR(U1986/S1986,0)</f>
        <v>4.6320000000000006</v>
      </c>
      <c r="Y1986" t="str">
        <f t="shared" ref="Y1986:Y2000" si="94">IF(U1986&gt;0,"Profit",IF(U1986&lt;0,"Loss","Break-even"))</f>
        <v>Profit</v>
      </c>
      <c r="Z1986" t="str">
        <f t="shared" ref="Z1986:Z2000" si="95">IF(T1986=0,"No Discount",IF(T1986&lt;=0.2,"Low",IF(T1986&lt;=0.4,"Medium","High")))</f>
        <v>Low</v>
      </c>
    </row>
    <row r="1987" spans="1:26" x14ac:dyDescent="0.35">
      <c r="A1987" s="1">
        <v>1986</v>
      </c>
      <c r="B1987" s="2" t="s">
        <v>4956</v>
      </c>
      <c r="C1987" s="3">
        <v>45287</v>
      </c>
      <c r="D1987" s="3">
        <v>45291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946.76400000000024</v>
      </c>
      <c r="S1987" s="1">
        <v>6</v>
      </c>
      <c r="T1987" s="1">
        <v>0.7</v>
      </c>
      <c r="U1987" s="1">
        <v>-694.29359999999997</v>
      </c>
      <c r="V1987">
        <f>YEAR(Table1[[#This Row],[Order Date]])</f>
        <v>2023</v>
      </c>
      <c r="W1987" t="str">
        <f>TEXT(Table1[[#This Row],[Order Date]],"mmm")</f>
        <v>Dec</v>
      </c>
      <c r="X1987">
        <f t="shared" si="93"/>
        <v>-115.71559999999999</v>
      </c>
      <c r="Y1987" t="str">
        <f t="shared" si="94"/>
        <v>Loss</v>
      </c>
      <c r="Z1987" t="str">
        <f t="shared" si="95"/>
        <v>High</v>
      </c>
    </row>
    <row r="1988" spans="1:26" x14ac:dyDescent="0.35">
      <c r="A1988" s="1">
        <v>1987</v>
      </c>
      <c r="B1988" s="2" t="s">
        <v>4954</v>
      </c>
      <c r="C1988" s="3">
        <v>45287</v>
      </c>
      <c r="D1988" s="3">
        <v>45291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</v>
      </c>
      <c r="T1988" s="1">
        <v>0</v>
      </c>
      <c r="U1988" s="1">
        <v>3.6156000000000001</v>
      </c>
      <c r="V1988">
        <f>YEAR(Table1[[#This Row],[Order Date]])</f>
        <v>2023</v>
      </c>
      <c r="W1988" t="str">
        <f>TEXT(Table1[[#This Row],[Order Date]],"mmm")</f>
        <v>Dec</v>
      </c>
      <c r="X1988">
        <f t="shared" si="93"/>
        <v>1.2052</v>
      </c>
      <c r="Y1988" t="str">
        <f t="shared" si="94"/>
        <v>Profit</v>
      </c>
      <c r="Z1988" t="str">
        <f t="shared" si="95"/>
        <v>No Discount</v>
      </c>
    </row>
    <row r="1989" spans="1:26" x14ac:dyDescent="0.35">
      <c r="A1989" s="1">
        <v>1988</v>
      </c>
      <c r="B1989" s="2" t="s">
        <v>4958</v>
      </c>
      <c r="C1989" s="3">
        <v>45287</v>
      </c>
      <c r="D1989" s="3">
        <v>45290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  <c r="V1989">
        <f>YEAR(Table1[[#This Row],[Order Date]])</f>
        <v>2023</v>
      </c>
      <c r="W1989" t="str">
        <f>TEXT(Table1[[#This Row],[Order Date]],"mmm")</f>
        <v>Dec</v>
      </c>
      <c r="X1989">
        <f t="shared" si="93"/>
        <v>1.3583000000000001</v>
      </c>
      <c r="Y1989" t="str">
        <f t="shared" si="94"/>
        <v>Profit</v>
      </c>
      <c r="Z1989" t="str">
        <f t="shared" si="95"/>
        <v>No Discount</v>
      </c>
    </row>
    <row r="1990" spans="1:26" x14ac:dyDescent="0.35">
      <c r="A1990" s="1">
        <v>1989</v>
      </c>
      <c r="B1990" s="2" t="s">
        <v>4959</v>
      </c>
      <c r="C1990" s="3">
        <v>45287</v>
      </c>
      <c r="D1990" s="3">
        <v>45294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  <c r="V1990">
        <f>YEAR(Table1[[#This Row],[Order Date]])</f>
        <v>2023</v>
      </c>
      <c r="W1990" t="str">
        <f>TEXT(Table1[[#This Row],[Order Date]],"mmm")</f>
        <v>Dec</v>
      </c>
      <c r="X1990">
        <f t="shared" si="93"/>
        <v>2.9302000000000001</v>
      </c>
      <c r="Y1990" t="str">
        <f t="shared" si="94"/>
        <v>Profit</v>
      </c>
      <c r="Z1990" t="str">
        <f t="shared" si="95"/>
        <v>No Discount</v>
      </c>
    </row>
    <row r="1991" spans="1:26" x14ac:dyDescent="0.35">
      <c r="A1991" s="1">
        <v>1990</v>
      </c>
      <c r="B1991" s="2" t="s">
        <v>4949</v>
      </c>
      <c r="C1991" s="3">
        <v>45287</v>
      </c>
      <c r="D1991" s="3">
        <v>45293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</v>
      </c>
      <c r="T1991" s="1">
        <v>0</v>
      </c>
      <c r="U1991" s="1">
        <v>5.7779999999999987</v>
      </c>
      <c r="V1991">
        <f>YEAR(Table1[[#This Row],[Order Date]])</f>
        <v>2023</v>
      </c>
      <c r="W1991" t="str">
        <f>TEXT(Table1[[#This Row],[Order Date]],"mmm")</f>
        <v>Dec</v>
      </c>
      <c r="X1991">
        <f t="shared" si="93"/>
        <v>1.9259999999999995</v>
      </c>
      <c r="Y1991" t="str">
        <f t="shared" si="94"/>
        <v>Profit</v>
      </c>
      <c r="Z1991" t="str">
        <f t="shared" si="95"/>
        <v>No Discount</v>
      </c>
    </row>
    <row r="1992" spans="1:26" x14ac:dyDescent="0.35">
      <c r="A1992" s="1">
        <v>1991</v>
      </c>
      <c r="B1992" s="2" t="s">
        <v>4950</v>
      </c>
      <c r="C1992" s="3">
        <v>45287</v>
      </c>
      <c r="D1992" s="3">
        <v>45291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30.016000000000005</v>
      </c>
      <c r="S1992" s="1">
        <v>4</v>
      </c>
      <c r="T1992" s="1">
        <v>0.2</v>
      </c>
      <c r="U1992" s="1">
        <v>3.0015999999999998</v>
      </c>
      <c r="V1992">
        <f>YEAR(Table1[[#This Row],[Order Date]])</f>
        <v>2023</v>
      </c>
      <c r="W1992" t="str">
        <f>TEXT(Table1[[#This Row],[Order Date]],"mmm")</f>
        <v>Dec</v>
      </c>
      <c r="X1992">
        <f t="shared" si="93"/>
        <v>0.75039999999999996</v>
      </c>
      <c r="Y1992" t="str">
        <f t="shared" si="94"/>
        <v>Profit</v>
      </c>
      <c r="Z1992" t="str">
        <f t="shared" si="95"/>
        <v>Low</v>
      </c>
    </row>
    <row r="1993" spans="1:26" x14ac:dyDescent="0.35">
      <c r="A1993" s="1">
        <v>1992</v>
      </c>
      <c r="B1993" s="2" t="s">
        <v>4951</v>
      </c>
      <c r="C1993" s="3">
        <v>45287</v>
      </c>
      <c r="D1993" s="3">
        <v>45292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</v>
      </c>
      <c r="T1993" s="1">
        <v>0.2</v>
      </c>
      <c r="U1993" s="1">
        <v>-25.108999999999988</v>
      </c>
      <c r="V1993">
        <f>YEAR(Table1[[#This Row],[Order Date]])</f>
        <v>2023</v>
      </c>
      <c r="W1993" t="str">
        <f>TEXT(Table1[[#This Row],[Order Date]],"mmm")</f>
        <v>Dec</v>
      </c>
      <c r="X1993">
        <f t="shared" si="93"/>
        <v>-12.554499999999994</v>
      </c>
      <c r="Y1993" t="str">
        <f t="shared" si="94"/>
        <v>Loss</v>
      </c>
      <c r="Z1993" t="str">
        <f t="shared" si="95"/>
        <v>Low</v>
      </c>
    </row>
    <row r="1994" spans="1:26" x14ac:dyDescent="0.35">
      <c r="A1994" s="1">
        <v>1993</v>
      </c>
      <c r="B1994" s="2" t="s">
        <v>4954</v>
      </c>
      <c r="C1994" s="3">
        <v>45287</v>
      </c>
      <c r="D1994" s="3">
        <v>45291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51.449999999999996</v>
      </c>
      <c r="S1994" s="1">
        <v>3</v>
      </c>
      <c r="T1994" s="1">
        <v>0</v>
      </c>
      <c r="U1994" s="1">
        <v>13.891499999999999</v>
      </c>
      <c r="V1994">
        <f>YEAR(Table1[[#This Row],[Order Date]])</f>
        <v>2023</v>
      </c>
      <c r="W1994" t="str">
        <f>TEXT(Table1[[#This Row],[Order Date]],"mmm")</f>
        <v>Dec</v>
      </c>
      <c r="X1994">
        <f t="shared" si="93"/>
        <v>4.6304999999999996</v>
      </c>
      <c r="Y1994" t="str">
        <f t="shared" si="94"/>
        <v>Profit</v>
      </c>
      <c r="Z1994" t="str">
        <f t="shared" si="95"/>
        <v>No Discount</v>
      </c>
    </row>
    <row r="1995" spans="1:26" x14ac:dyDescent="0.35">
      <c r="A1995" s="1">
        <v>1994</v>
      </c>
      <c r="B1995" s="2" t="s">
        <v>4959</v>
      </c>
      <c r="C1995" s="3">
        <v>45287</v>
      </c>
      <c r="D1995" s="3">
        <v>45294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</v>
      </c>
      <c r="S1995" s="1">
        <v>5</v>
      </c>
      <c r="T1995" s="1">
        <v>0</v>
      </c>
      <c r="U1995" s="1">
        <v>184.26</v>
      </c>
      <c r="V1995">
        <f>YEAR(Table1[[#This Row],[Order Date]])</f>
        <v>2023</v>
      </c>
      <c r="W1995" t="str">
        <f>TEXT(Table1[[#This Row],[Order Date]],"mmm")</f>
        <v>Dec</v>
      </c>
      <c r="X1995">
        <f t="shared" si="93"/>
        <v>36.851999999999997</v>
      </c>
      <c r="Y1995" t="str">
        <f t="shared" si="94"/>
        <v>Profit</v>
      </c>
      <c r="Z1995" t="str">
        <f t="shared" si="95"/>
        <v>No Discount</v>
      </c>
    </row>
    <row r="1996" spans="1:26" x14ac:dyDescent="0.35">
      <c r="A1996" s="1">
        <v>1995</v>
      </c>
      <c r="B1996" s="2" t="s">
        <v>4969</v>
      </c>
      <c r="C1996" s="3">
        <v>45288</v>
      </c>
      <c r="D1996" s="3">
        <v>45292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1737.1799999999998</v>
      </c>
      <c r="S1996" s="1">
        <v>6</v>
      </c>
      <c r="T1996" s="1">
        <v>0</v>
      </c>
      <c r="U1996" s="1">
        <v>503.78219999999976</v>
      </c>
      <c r="V1996">
        <f>YEAR(Table1[[#This Row],[Order Date]])</f>
        <v>2023</v>
      </c>
      <c r="W1996" t="str">
        <f>TEXT(Table1[[#This Row],[Order Date]],"mmm")</f>
        <v>Dec</v>
      </c>
      <c r="X1996">
        <f t="shared" si="93"/>
        <v>83.96369999999996</v>
      </c>
      <c r="Y1996" t="str">
        <f t="shared" si="94"/>
        <v>Profit</v>
      </c>
      <c r="Z1996" t="str">
        <f t="shared" si="95"/>
        <v>No Discount</v>
      </c>
    </row>
    <row r="1997" spans="1:26" x14ac:dyDescent="0.35">
      <c r="A1997" s="1">
        <v>1996</v>
      </c>
      <c r="B1997" s="2" t="s">
        <v>4973</v>
      </c>
      <c r="C1997" s="3">
        <v>45288</v>
      </c>
      <c r="D1997" s="3">
        <v>45290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99.13600000000001</v>
      </c>
      <c r="S1997" s="1">
        <v>4</v>
      </c>
      <c r="T1997" s="1">
        <v>0.2</v>
      </c>
      <c r="U1997" s="1">
        <v>8.674399999999995</v>
      </c>
      <c r="V1997">
        <f>YEAR(Table1[[#This Row],[Order Date]])</f>
        <v>2023</v>
      </c>
      <c r="W1997" t="str">
        <f>TEXT(Table1[[#This Row],[Order Date]],"mmm")</f>
        <v>Dec</v>
      </c>
      <c r="X1997">
        <f t="shared" si="93"/>
        <v>2.1685999999999988</v>
      </c>
      <c r="Y1997" t="str">
        <f t="shared" si="94"/>
        <v>Profit</v>
      </c>
      <c r="Z1997" t="str">
        <f t="shared" si="95"/>
        <v>Low</v>
      </c>
    </row>
    <row r="1998" spans="1:26" x14ac:dyDescent="0.35">
      <c r="A1998" s="1">
        <v>1997</v>
      </c>
      <c r="B1998" s="2" t="s">
        <v>4969</v>
      </c>
      <c r="C1998" s="3">
        <v>45288</v>
      </c>
      <c r="D1998" s="3">
        <v>45292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</v>
      </c>
      <c r="T1998" s="1">
        <v>0</v>
      </c>
      <c r="U1998" s="1">
        <v>66.627199999999988</v>
      </c>
      <c r="V1998">
        <f>YEAR(Table1[[#This Row],[Order Date]])</f>
        <v>2023</v>
      </c>
      <c r="W1998" t="str">
        <f>TEXT(Table1[[#This Row],[Order Date]],"mmm")</f>
        <v>Dec</v>
      </c>
      <c r="X1998">
        <f t="shared" si="93"/>
        <v>16.656799999999997</v>
      </c>
      <c r="Y1998" t="str">
        <f t="shared" si="94"/>
        <v>Profit</v>
      </c>
      <c r="Z1998" t="str">
        <f t="shared" si="95"/>
        <v>No Discount</v>
      </c>
    </row>
    <row r="1999" spans="1:26" x14ac:dyDescent="0.35">
      <c r="A1999" s="1">
        <v>1998</v>
      </c>
      <c r="B1999" s="2" t="s">
        <v>4969</v>
      </c>
      <c r="C1999" s="3">
        <v>45288</v>
      </c>
      <c r="D1999" s="3">
        <v>45292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</v>
      </c>
      <c r="T1999" s="1">
        <v>0</v>
      </c>
      <c r="U1999" s="1">
        <v>84.51</v>
      </c>
      <c r="V1999">
        <f>YEAR(Table1[[#This Row],[Order Date]])</f>
        <v>2023</v>
      </c>
      <c r="W1999" t="str">
        <f>TEXT(Table1[[#This Row],[Order Date]],"mmm")</f>
        <v>Dec</v>
      </c>
      <c r="X1999">
        <f t="shared" si="93"/>
        <v>16.902000000000001</v>
      </c>
      <c r="Y1999" t="str">
        <f t="shared" si="94"/>
        <v>Profit</v>
      </c>
      <c r="Z1999" t="str">
        <f t="shared" si="95"/>
        <v>No Discount</v>
      </c>
    </row>
    <row r="2000" spans="1:26" x14ac:dyDescent="0.35">
      <c r="A2000" s="1">
        <v>1999</v>
      </c>
      <c r="B2000" s="2" t="s">
        <v>4980</v>
      </c>
      <c r="C2000" s="3">
        <v>45288</v>
      </c>
      <c r="D2000" s="3">
        <v>45294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</v>
      </c>
      <c r="T2000" s="1">
        <v>0</v>
      </c>
      <c r="U2000" s="1">
        <v>29.964600000000061</v>
      </c>
      <c r="V2000">
        <f>YEAR(Table1[[#This Row],[Order Date]])</f>
        <v>2023</v>
      </c>
      <c r="W2000" t="str">
        <f>TEXT(Table1[[#This Row],[Order Date]],"mmm")</f>
        <v>Dec</v>
      </c>
      <c r="X2000">
        <f t="shared" si="93"/>
        <v>3.3294000000000068</v>
      </c>
      <c r="Y2000" t="str">
        <f t="shared" si="94"/>
        <v>Profit</v>
      </c>
      <c r="Z2000" t="str">
        <f t="shared" si="95"/>
        <v>No Discount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Category</vt:lpstr>
      <vt:lpstr>Sales &amp; Profit by Region</vt:lpstr>
      <vt:lpstr>Monthly Sales Trend</vt:lpstr>
      <vt:lpstr>Profit by Sub-Category,</vt:lpstr>
      <vt:lpstr>Segment Performance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kcn</dc:creator>
  <cp:lastModifiedBy>Sudharshan kcn</cp:lastModifiedBy>
  <dcterms:created xsi:type="dcterms:W3CDTF">2026-09-12T12:06:03Z</dcterms:created>
  <dcterms:modified xsi:type="dcterms:W3CDTF">2026-09-12T12:02:30Z</dcterms:modified>
</cp:coreProperties>
</file>